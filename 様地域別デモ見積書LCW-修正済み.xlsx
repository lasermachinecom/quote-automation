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2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3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drawings/drawing4.xml" ContentType="application/vnd.openxmlformats-officedocument.drawing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drawings/drawing5.xml" ContentType="application/vnd.openxmlformats-officedocument.drawing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drawings/drawing6.xml" ContentType="application/vnd.openxmlformats-officedocument.drawing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"/>
    </mc:Choice>
  </mc:AlternateContent>
  <xr:revisionPtr revIDLastSave="0" documentId="13_ncr:1_{5BEC647C-54EA-4563-BC27-A03C26DF4687}" xr6:coauthVersionLast="47" xr6:coauthVersionMax="47" xr10:uidLastSave="{00000000-0000-0000-0000-000000000000}"/>
  <bookViews>
    <workbookView xWindow="5730" yWindow="525" windowWidth="20715" windowHeight="20025" tabRatio="657" xr2:uid="{00000000-000D-0000-FFFF-FFFF00000000}"/>
  </bookViews>
  <sheets>
    <sheet name="出張デモ1" sheetId="1" r:id="rId1"/>
    <sheet name="出張デモ2" sheetId="8" r:id="rId2"/>
    <sheet name="別紙購入おすすめ品" sheetId="5" r:id="rId3"/>
    <sheet name="USBフラッシュメモリ内一覧" sheetId="3" r:id="rId4"/>
    <sheet name="工具箱内付属一覧" sheetId="4" r:id="rId5"/>
    <sheet name="本体装備品一覧" sheetId="2" r:id="rId6"/>
  </sheets>
  <definedNames>
    <definedName name="_xlnm.Print_Area" localSheetId="3">USBフラッシュメモリ内一覧!$B$3:$AU$30</definedName>
    <definedName name="_xlnm.Print_Area" localSheetId="4">工具箱内付属一覧!$B$3:$AU$30</definedName>
    <definedName name="_xlnm.Print_Area" localSheetId="0">出張デモ1!$B$2:$AT$54</definedName>
    <definedName name="_xlnm.Print_Area" localSheetId="1">出張デモ2!$B$2:$AT$54</definedName>
    <definedName name="_xlnm.Print_Area" localSheetId="2">別紙購入おすすめ品!$B$3:$AU$30</definedName>
    <definedName name="_xlnm.Print_Area" localSheetId="5">本体装備品一覧!$B$3:$AU$30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7" i="8" l="1"/>
  <c r="AF36" i="8"/>
  <c r="AF35" i="8"/>
  <c r="AF34" i="8"/>
  <c r="AF33" i="8"/>
  <c r="AF32" i="8"/>
  <c r="AF31" i="8"/>
  <c r="FH118" i="8" s="1"/>
  <c r="AF30" i="8"/>
  <c r="AF29" i="8"/>
  <c r="AF28" i="8"/>
  <c r="AF27" i="8"/>
  <c r="AF26" i="8"/>
  <c r="FI193" i="8"/>
  <c r="FH193" i="8"/>
  <c r="FG193" i="8"/>
  <c r="FF193" i="8"/>
  <c r="FE193" i="8"/>
  <c r="FD193" i="8"/>
  <c r="FI192" i="8"/>
  <c r="FH192" i="8"/>
  <c r="FG192" i="8"/>
  <c r="FF192" i="8"/>
  <c r="FE192" i="8"/>
  <c r="FD192" i="8"/>
  <c r="FI191" i="8"/>
  <c r="FH191" i="8"/>
  <c r="FG191" i="8"/>
  <c r="FF191" i="8"/>
  <c r="FE191" i="8"/>
  <c r="FD191" i="8"/>
  <c r="FI190" i="8"/>
  <c r="FH190" i="8"/>
  <c r="FG190" i="8"/>
  <c r="FF190" i="8"/>
  <c r="FE190" i="8"/>
  <c r="FD190" i="8"/>
  <c r="FI189" i="8"/>
  <c r="FH189" i="8"/>
  <c r="FG189" i="8"/>
  <c r="FF189" i="8"/>
  <c r="FE189" i="8"/>
  <c r="FD189" i="8"/>
  <c r="FI188" i="8"/>
  <c r="FH188" i="8"/>
  <c r="FG188" i="8"/>
  <c r="FF188" i="8"/>
  <c r="FE188" i="8"/>
  <c r="FD188" i="8"/>
  <c r="FI187" i="8"/>
  <c r="FH187" i="8"/>
  <c r="FG187" i="8"/>
  <c r="FF187" i="8"/>
  <c r="FE187" i="8"/>
  <c r="FD187" i="8"/>
  <c r="FI186" i="8"/>
  <c r="FH186" i="8"/>
  <c r="FG186" i="8"/>
  <c r="FF186" i="8"/>
  <c r="FE186" i="8"/>
  <c r="FD186" i="8"/>
  <c r="FI185" i="8"/>
  <c r="FH185" i="8"/>
  <c r="FG185" i="8"/>
  <c r="FF185" i="8"/>
  <c r="FE185" i="8"/>
  <c r="FD185" i="8"/>
  <c r="FI184" i="8"/>
  <c r="FH184" i="8"/>
  <c r="FG184" i="8"/>
  <c r="FF184" i="8"/>
  <c r="FE184" i="8"/>
  <c r="FD184" i="8"/>
  <c r="FI183" i="8"/>
  <c r="FH183" i="8"/>
  <c r="FG183" i="8"/>
  <c r="FF183" i="8"/>
  <c r="FE183" i="8"/>
  <c r="FD183" i="8"/>
  <c r="FI182" i="8"/>
  <c r="FH182" i="8"/>
  <c r="FG182" i="8"/>
  <c r="FF182" i="8"/>
  <c r="FE182" i="8"/>
  <c r="FD182" i="8"/>
  <c r="FI181" i="8"/>
  <c r="FH181" i="8"/>
  <c r="FG181" i="8"/>
  <c r="FF181" i="8"/>
  <c r="FE181" i="8"/>
  <c r="FD181" i="8"/>
  <c r="FI180" i="8"/>
  <c r="FH180" i="8"/>
  <c r="FG180" i="8"/>
  <c r="FF180" i="8"/>
  <c r="FE180" i="8"/>
  <c r="FD180" i="8"/>
  <c r="FI179" i="8"/>
  <c r="FH179" i="8"/>
  <c r="FG179" i="8"/>
  <c r="FF179" i="8"/>
  <c r="FE179" i="8"/>
  <c r="FD179" i="8"/>
  <c r="FI178" i="8"/>
  <c r="FH178" i="8"/>
  <c r="FG178" i="8"/>
  <c r="FF178" i="8"/>
  <c r="FE178" i="8"/>
  <c r="FD178" i="8"/>
  <c r="FI177" i="8"/>
  <c r="FH177" i="8"/>
  <c r="FG177" i="8"/>
  <c r="FF177" i="8"/>
  <c r="FE177" i="8"/>
  <c r="FD177" i="8"/>
  <c r="FI176" i="8"/>
  <c r="FH176" i="8"/>
  <c r="FG176" i="8"/>
  <c r="FF176" i="8"/>
  <c r="FE176" i="8"/>
  <c r="FD176" i="8"/>
  <c r="FI175" i="8"/>
  <c r="FH175" i="8"/>
  <c r="FG175" i="8"/>
  <c r="FF175" i="8"/>
  <c r="FE175" i="8"/>
  <c r="FD175" i="8"/>
  <c r="FI174" i="8"/>
  <c r="FH174" i="8"/>
  <c r="FG174" i="8"/>
  <c r="FF174" i="8"/>
  <c r="FE174" i="8"/>
  <c r="FD174" i="8"/>
  <c r="FI173" i="8"/>
  <c r="FH173" i="8"/>
  <c r="FG173" i="8"/>
  <c r="FF173" i="8"/>
  <c r="FE173" i="8"/>
  <c r="FD173" i="8"/>
  <c r="FI172" i="8"/>
  <c r="FH172" i="8"/>
  <c r="FG172" i="8"/>
  <c r="FF172" i="8"/>
  <c r="FE172" i="8"/>
  <c r="FD172" i="8"/>
  <c r="FI171" i="8"/>
  <c r="FH171" i="8"/>
  <c r="FG171" i="8"/>
  <c r="FF171" i="8"/>
  <c r="FE171" i="8"/>
  <c r="FD171" i="8"/>
  <c r="FI170" i="8"/>
  <c r="FH170" i="8"/>
  <c r="FG170" i="8"/>
  <c r="FF170" i="8"/>
  <c r="FE170" i="8"/>
  <c r="FD170" i="8"/>
  <c r="FI169" i="8"/>
  <c r="FH169" i="8"/>
  <c r="FG169" i="8"/>
  <c r="FF169" i="8"/>
  <c r="FE169" i="8"/>
  <c r="FD169" i="8"/>
  <c r="FI168" i="8"/>
  <c r="FH168" i="8"/>
  <c r="FG168" i="8"/>
  <c r="FF168" i="8"/>
  <c r="FE168" i="8"/>
  <c r="FD168" i="8"/>
  <c r="FI167" i="8"/>
  <c r="FH167" i="8"/>
  <c r="FG167" i="8"/>
  <c r="FF167" i="8"/>
  <c r="FE167" i="8"/>
  <c r="FD167" i="8"/>
  <c r="FI166" i="8"/>
  <c r="FH166" i="8"/>
  <c r="FG166" i="8"/>
  <c r="FF166" i="8"/>
  <c r="FE166" i="8"/>
  <c r="FD166" i="8"/>
  <c r="FI165" i="8"/>
  <c r="FH165" i="8"/>
  <c r="FG165" i="8"/>
  <c r="FF165" i="8"/>
  <c r="FE165" i="8"/>
  <c r="FD165" i="8"/>
  <c r="FI164" i="8"/>
  <c r="FH164" i="8"/>
  <c r="FG164" i="8"/>
  <c r="FF164" i="8"/>
  <c r="FE164" i="8"/>
  <c r="FD164" i="8"/>
  <c r="FI163" i="8"/>
  <c r="FH163" i="8"/>
  <c r="FG163" i="8"/>
  <c r="FF163" i="8"/>
  <c r="FE163" i="8"/>
  <c r="FD163" i="8"/>
  <c r="FI162" i="8"/>
  <c r="FH162" i="8"/>
  <c r="FG162" i="8"/>
  <c r="FF162" i="8"/>
  <c r="FE162" i="8"/>
  <c r="FD162" i="8"/>
  <c r="FI161" i="8"/>
  <c r="FH161" i="8"/>
  <c r="FG161" i="8"/>
  <c r="FF161" i="8"/>
  <c r="FE161" i="8"/>
  <c r="FD161" i="8"/>
  <c r="FI160" i="8"/>
  <c r="FH160" i="8"/>
  <c r="FG160" i="8"/>
  <c r="FF160" i="8"/>
  <c r="FE160" i="8"/>
  <c r="FD160" i="8"/>
  <c r="FI159" i="8"/>
  <c r="FH159" i="8"/>
  <c r="FG159" i="8"/>
  <c r="FF159" i="8"/>
  <c r="FE159" i="8"/>
  <c r="FD159" i="8"/>
  <c r="FI158" i="8"/>
  <c r="FH158" i="8"/>
  <c r="FG158" i="8"/>
  <c r="FF158" i="8"/>
  <c r="FE158" i="8"/>
  <c r="FD158" i="8"/>
  <c r="FI157" i="8"/>
  <c r="FH157" i="8"/>
  <c r="FG157" i="8"/>
  <c r="FF157" i="8"/>
  <c r="FE157" i="8"/>
  <c r="FD157" i="8"/>
  <c r="FI156" i="8"/>
  <c r="FH156" i="8"/>
  <c r="FG156" i="8"/>
  <c r="FF156" i="8"/>
  <c r="FE156" i="8"/>
  <c r="FD156" i="8"/>
  <c r="FI155" i="8"/>
  <c r="FH155" i="8"/>
  <c r="FG155" i="8"/>
  <c r="FF155" i="8"/>
  <c r="FE155" i="8"/>
  <c r="FD155" i="8"/>
  <c r="FI154" i="8"/>
  <c r="FH154" i="8"/>
  <c r="FG154" i="8"/>
  <c r="FF154" i="8"/>
  <c r="FE154" i="8"/>
  <c r="FD154" i="8"/>
  <c r="FI153" i="8"/>
  <c r="FH153" i="8"/>
  <c r="FG153" i="8"/>
  <c r="FF153" i="8"/>
  <c r="FE153" i="8"/>
  <c r="FD153" i="8"/>
  <c r="FI152" i="8"/>
  <c r="FH152" i="8"/>
  <c r="FG152" i="8"/>
  <c r="FF152" i="8"/>
  <c r="FE152" i="8"/>
  <c r="FD152" i="8"/>
  <c r="FI151" i="8"/>
  <c r="FH151" i="8"/>
  <c r="FG151" i="8"/>
  <c r="FF151" i="8"/>
  <c r="FE151" i="8"/>
  <c r="FD151" i="8"/>
  <c r="FI150" i="8"/>
  <c r="FH150" i="8"/>
  <c r="FG150" i="8"/>
  <c r="FF150" i="8"/>
  <c r="FE150" i="8"/>
  <c r="FD150" i="8"/>
  <c r="FI149" i="8"/>
  <c r="FH149" i="8"/>
  <c r="FG149" i="8"/>
  <c r="FF149" i="8"/>
  <c r="FE149" i="8"/>
  <c r="FD149" i="8"/>
  <c r="FI148" i="8"/>
  <c r="FH148" i="8"/>
  <c r="FG148" i="8"/>
  <c r="FF148" i="8"/>
  <c r="FE148" i="8"/>
  <c r="FD148" i="8"/>
  <c r="FI147" i="8"/>
  <c r="FG147" i="8"/>
  <c r="FF147" i="8"/>
  <c r="FE147" i="8"/>
  <c r="FD147" i="8"/>
  <c r="FI146" i="8"/>
  <c r="FG146" i="8"/>
  <c r="FF146" i="8"/>
  <c r="FE146" i="8"/>
  <c r="FD146" i="8"/>
  <c r="FI145" i="8"/>
  <c r="FG145" i="8"/>
  <c r="FF145" i="8"/>
  <c r="FE145" i="8"/>
  <c r="FD145" i="8"/>
  <c r="FI144" i="8"/>
  <c r="FG144" i="8"/>
  <c r="FF144" i="8"/>
  <c r="FE144" i="8"/>
  <c r="FD144" i="8"/>
  <c r="FI143" i="8"/>
  <c r="FG143" i="8"/>
  <c r="FF143" i="8"/>
  <c r="FE143" i="8"/>
  <c r="FD143" i="8"/>
  <c r="FI142" i="8"/>
  <c r="FG142" i="8"/>
  <c r="FF142" i="8"/>
  <c r="FE142" i="8"/>
  <c r="FD142" i="8"/>
  <c r="FI141" i="8"/>
  <c r="FG141" i="8"/>
  <c r="FF141" i="8"/>
  <c r="FE141" i="8"/>
  <c r="FD141" i="8"/>
  <c r="FI140" i="8"/>
  <c r="FG140" i="8"/>
  <c r="FF140" i="8"/>
  <c r="FE140" i="8"/>
  <c r="FD140" i="8"/>
  <c r="FI139" i="8"/>
  <c r="FG139" i="8"/>
  <c r="FF139" i="8"/>
  <c r="FE139" i="8"/>
  <c r="FD139" i="8"/>
  <c r="FI138" i="8"/>
  <c r="FG138" i="8"/>
  <c r="FF138" i="8"/>
  <c r="FE138" i="8"/>
  <c r="FD138" i="8"/>
  <c r="FI137" i="8"/>
  <c r="FG137" i="8"/>
  <c r="FF137" i="8"/>
  <c r="FE137" i="8"/>
  <c r="FD137" i="8"/>
  <c r="FI136" i="8"/>
  <c r="FG136" i="8"/>
  <c r="FF136" i="8"/>
  <c r="FE136" i="8"/>
  <c r="FD136" i="8"/>
  <c r="FI135" i="8"/>
  <c r="FG135" i="8"/>
  <c r="FF135" i="8"/>
  <c r="FE135" i="8"/>
  <c r="FD135" i="8"/>
  <c r="FI134" i="8"/>
  <c r="FG134" i="8"/>
  <c r="FF134" i="8"/>
  <c r="FE134" i="8"/>
  <c r="FD134" i="8"/>
  <c r="FI133" i="8"/>
  <c r="FG133" i="8"/>
  <c r="FF133" i="8"/>
  <c r="FE133" i="8"/>
  <c r="FD133" i="8"/>
  <c r="FI132" i="8"/>
  <c r="FG132" i="8"/>
  <c r="FF132" i="8"/>
  <c r="FE132" i="8"/>
  <c r="FD132" i="8"/>
  <c r="FI131" i="8"/>
  <c r="FG131" i="8"/>
  <c r="FF131" i="8"/>
  <c r="FE131" i="8"/>
  <c r="FD131" i="8"/>
  <c r="FI130" i="8"/>
  <c r="FG130" i="8"/>
  <c r="FF130" i="8"/>
  <c r="FE130" i="8"/>
  <c r="FD130" i="8"/>
  <c r="FI129" i="8"/>
  <c r="FG129" i="8"/>
  <c r="FF129" i="8"/>
  <c r="FE129" i="8"/>
  <c r="FD129" i="8"/>
  <c r="FI128" i="8"/>
  <c r="FG128" i="8"/>
  <c r="FF128" i="8"/>
  <c r="FE128" i="8"/>
  <c r="FD128" i="8"/>
  <c r="FI127" i="8"/>
  <c r="FG127" i="8"/>
  <c r="FF127" i="8"/>
  <c r="FE127" i="8"/>
  <c r="FD127" i="8"/>
  <c r="FI126" i="8"/>
  <c r="FG126" i="8"/>
  <c r="FF126" i="8"/>
  <c r="FE126" i="8"/>
  <c r="FD126" i="8"/>
  <c r="FI125" i="8"/>
  <c r="FF125" i="8"/>
  <c r="FE125" i="8"/>
  <c r="FD125" i="8"/>
  <c r="FI124" i="8"/>
  <c r="FG124" i="8"/>
  <c r="FF124" i="8"/>
  <c r="FE124" i="8"/>
  <c r="FD124" i="8"/>
  <c r="FI123" i="8"/>
  <c r="FG123" i="8"/>
  <c r="FF123" i="8"/>
  <c r="FE123" i="8"/>
  <c r="FD123" i="8"/>
  <c r="FI122" i="8"/>
  <c r="FG122" i="8"/>
  <c r="FF122" i="8"/>
  <c r="FE122" i="8"/>
  <c r="FD122" i="8"/>
  <c r="FI121" i="8"/>
  <c r="FG121" i="8"/>
  <c r="FF121" i="8"/>
  <c r="FE121" i="8"/>
  <c r="FD121" i="8"/>
  <c r="FI120" i="8"/>
  <c r="FG120" i="8"/>
  <c r="FF120" i="8"/>
  <c r="FE120" i="8"/>
  <c r="FD120" i="8"/>
  <c r="FI119" i="8"/>
  <c r="FG119" i="8"/>
  <c r="FF119" i="8"/>
  <c r="FE119" i="8"/>
  <c r="FD119" i="8"/>
  <c r="CK119" i="8"/>
  <c r="FI118" i="8"/>
  <c r="FG118" i="8"/>
  <c r="FF118" i="8"/>
  <c r="FE118" i="8"/>
  <c r="FD118" i="8"/>
  <c r="CK118" i="8"/>
  <c r="FI117" i="8"/>
  <c r="FG117" i="8"/>
  <c r="FF117" i="8"/>
  <c r="FE117" i="8"/>
  <c r="FD117" i="8"/>
  <c r="CK117" i="8"/>
  <c r="CE117" i="8"/>
  <c r="FI116" i="8"/>
  <c r="FG116" i="8"/>
  <c r="FF116" i="8"/>
  <c r="FE116" i="8"/>
  <c r="FD116" i="8"/>
  <c r="FI115" i="8"/>
  <c r="FG115" i="8"/>
  <c r="FF115" i="8"/>
  <c r="FE115" i="8"/>
  <c r="FD115" i="8"/>
  <c r="FI114" i="8"/>
  <c r="FG114" i="8"/>
  <c r="FF114" i="8"/>
  <c r="FE114" i="8"/>
  <c r="FD114" i="8"/>
  <c r="FI113" i="8"/>
  <c r="FH113" i="8"/>
  <c r="FG113" i="8"/>
  <c r="FF113" i="8"/>
  <c r="FE113" i="8"/>
  <c r="FD113" i="8"/>
  <c r="FH124" i="8"/>
  <c r="FH123" i="8"/>
  <c r="FH122" i="8"/>
  <c r="FH121" i="8"/>
  <c r="FH120" i="8"/>
  <c r="FH119" i="8"/>
  <c r="FH117" i="8"/>
  <c r="FH116" i="8"/>
  <c r="FH115" i="8"/>
  <c r="FH114" i="8"/>
  <c r="AA50" i="8"/>
  <c r="AF37" i="1"/>
  <c r="AF36" i="1"/>
  <c r="AF35" i="1"/>
  <c r="AG29" i="5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G8" i="5"/>
  <c r="AG7" i="5"/>
  <c r="AB30" i="5" l="1"/>
  <c r="CK116" i="8"/>
  <c r="CK127" i="8" s="1"/>
  <c r="H50" i="8"/>
  <c r="AB7" i="2"/>
  <c r="FG125" i="8" s="1"/>
  <c r="AF29" i="1"/>
  <c r="AF30" i="1"/>
  <c r="P68" i="8" l="1"/>
  <c r="H51" i="8"/>
  <c r="AF28" i="1"/>
  <c r="J20" i="8" l="1"/>
  <c r="J19" i="8"/>
  <c r="AF32" i="1"/>
  <c r="AF31" i="1"/>
  <c r="AF27" i="1"/>
  <c r="AF33" i="1" l="1"/>
  <c r="P178" i="5" l="1"/>
  <c r="CM120" i="5"/>
  <c r="DO119" i="5"/>
  <c r="CM119" i="5"/>
  <c r="CS116" i="5"/>
  <c r="CS115" i="5"/>
  <c r="CS114" i="5"/>
  <c r="CS113" i="5"/>
  <c r="CS112" i="5"/>
  <c r="CS111" i="5"/>
  <c r="CS110" i="5"/>
  <c r="CS109" i="5"/>
  <c r="CS108" i="5"/>
  <c r="CS107" i="5"/>
  <c r="CS106" i="5"/>
  <c r="CS105" i="5"/>
  <c r="CS104" i="5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P178" i="3"/>
  <c r="CM120" i="3"/>
  <c r="DO119" i="3"/>
  <c r="CM119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8" i="3"/>
  <c r="AG7" i="3"/>
  <c r="FH122" i="1"/>
  <c r="AF34" i="1"/>
  <c r="FH121" i="1" s="1"/>
  <c r="FH124" i="1"/>
  <c r="FH118" i="1"/>
  <c r="FH117" i="1"/>
  <c r="FH116" i="1"/>
  <c r="FH115" i="1"/>
  <c r="FH114" i="1"/>
  <c r="AF26" i="1"/>
  <c r="FH119" i="1"/>
  <c r="FH120" i="1"/>
  <c r="AG29" i="2"/>
  <c r="AG28" i="2"/>
  <c r="AG27" i="2"/>
  <c r="FH145" i="8" s="1"/>
  <c r="AG26" i="2"/>
  <c r="AG25" i="2"/>
  <c r="FH143" i="8" s="1"/>
  <c r="AG24" i="2"/>
  <c r="AG23" i="2"/>
  <c r="FH141" i="8" s="1"/>
  <c r="AG22" i="2"/>
  <c r="FH140" i="8" s="1"/>
  <c r="AG21" i="2"/>
  <c r="AG20" i="2"/>
  <c r="AG19" i="2"/>
  <c r="AG18" i="2"/>
  <c r="AG17" i="2"/>
  <c r="AG16" i="2"/>
  <c r="AG15" i="2"/>
  <c r="FH133" i="8" s="1"/>
  <c r="AG14" i="2"/>
  <c r="AG13" i="2"/>
  <c r="AG12" i="2"/>
  <c r="AG11" i="2"/>
  <c r="AG10" i="2"/>
  <c r="FH128" i="8" s="1"/>
  <c r="AG9" i="2"/>
  <c r="AG8" i="2"/>
  <c r="AG7" i="2"/>
  <c r="FI193" i="1"/>
  <c r="FH193" i="1"/>
  <c r="FG193" i="1"/>
  <c r="FF193" i="1"/>
  <c r="FE193" i="1"/>
  <c r="FD193" i="1"/>
  <c r="FI192" i="1"/>
  <c r="FH192" i="1"/>
  <c r="FG192" i="1"/>
  <c r="FF192" i="1"/>
  <c r="FE192" i="1"/>
  <c r="FD192" i="1"/>
  <c r="FI191" i="1"/>
  <c r="FH191" i="1"/>
  <c r="FG191" i="1"/>
  <c r="FF191" i="1"/>
  <c r="FE191" i="1"/>
  <c r="FD191" i="1"/>
  <c r="FI190" i="1"/>
  <c r="FH190" i="1"/>
  <c r="FG190" i="1"/>
  <c r="FF190" i="1"/>
  <c r="FE190" i="1"/>
  <c r="FD190" i="1"/>
  <c r="FI189" i="1"/>
  <c r="FH189" i="1"/>
  <c r="FG189" i="1"/>
  <c r="FF189" i="1"/>
  <c r="FE189" i="1"/>
  <c r="FD189" i="1"/>
  <c r="FI188" i="1"/>
  <c r="FH188" i="1"/>
  <c r="FG188" i="1"/>
  <c r="FF188" i="1"/>
  <c r="FE188" i="1"/>
  <c r="FD188" i="1"/>
  <c r="FI187" i="1"/>
  <c r="FH187" i="1"/>
  <c r="FG187" i="1"/>
  <c r="FF187" i="1"/>
  <c r="FE187" i="1"/>
  <c r="FD187" i="1"/>
  <c r="FI186" i="1"/>
  <c r="FH186" i="1"/>
  <c r="FG186" i="1"/>
  <c r="FF186" i="1"/>
  <c r="FE186" i="1"/>
  <c r="FD186" i="1"/>
  <c r="FI185" i="1"/>
  <c r="FH185" i="1"/>
  <c r="FG185" i="1"/>
  <c r="FF185" i="1"/>
  <c r="FE185" i="1"/>
  <c r="FD185" i="1"/>
  <c r="FI184" i="1"/>
  <c r="FH184" i="1"/>
  <c r="FG184" i="1"/>
  <c r="FF184" i="1"/>
  <c r="FE184" i="1"/>
  <c r="FD184" i="1"/>
  <c r="FI183" i="1"/>
  <c r="FH183" i="1"/>
  <c r="FG183" i="1"/>
  <c r="FF183" i="1"/>
  <c r="FE183" i="1"/>
  <c r="FD183" i="1"/>
  <c r="FI182" i="1"/>
  <c r="FH182" i="1"/>
  <c r="FG182" i="1"/>
  <c r="FF182" i="1"/>
  <c r="FE182" i="1"/>
  <c r="FD182" i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CK119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CK118" i="1"/>
  <c r="FI147" i="1"/>
  <c r="FG147" i="1"/>
  <c r="FF147" i="1"/>
  <c r="FE147" i="1"/>
  <c r="FD147" i="1"/>
  <c r="FI146" i="1"/>
  <c r="FG146" i="1"/>
  <c r="FF146" i="1"/>
  <c r="FE146" i="1"/>
  <c r="FD146" i="1"/>
  <c r="FI145" i="1"/>
  <c r="FG145" i="1"/>
  <c r="FF145" i="1"/>
  <c r="FE145" i="1"/>
  <c r="FD145" i="1"/>
  <c r="FI144" i="1"/>
  <c r="FG144" i="1"/>
  <c r="FF144" i="1"/>
  <c r="FE144" i="1"/>
  <c r="FD144" i="1"/>
  <c r="FI143" i="1"/>
  <c r="FH143" i="1"/>
  <c r="FG143" i="1"/>
  <c r="FF143" i="1"/>
  <c r="FE143" i="1"/>
  <c r="FD143" i="1"/>
  <c r="FI142" i="1"/>
  <c r="FG142" i="1"/>
  <c r="FF142" i="1"/>
  <c r="FE142" i="1"/>
  <c r="FD142" i="1"/>
  <c r="FI141" i="1"/>
  <c r="FG141" i="1"/>
  <c r="FF141" i="1"/>
  <c r="FE141" i="1"/>
  <c r="FD141" i="1"/>
  <c r="FI140" i="1"/>
  <c r="FG140" i="1"/>
  <c r="FF140" i="1"/>
  <c r="FE140" i="1"/>
  <c r="FD140" i="1"/>
  <c r="FI139" i="1"/>
  <c r="FG139" i="1"/>
  <c r="FF139" i="1"/>
  <c r="FE139" i="1"/>
  <c r="FD139" i="1"/>
  <c r="FI138" i="1"/>
  <c r="FG138" i="1"/>
  <c r="FF138" i="1"/>
  <c r="FE138" i="1"/>
  <c r="FD138" i="1"/>
  <c r="FI137" i="1"/>
  <c r="FG137" i="1"/>
  <c r="FF137" i="1"/>
  <c r="FE137" i="1"/>
  <c r="FD137" i="1"/>
  <c r="FI136" i="1"/>
  <c r="FG136" i="1"/>
  <c r="FF136" i="1"/>
  <c r="FE136" i="1"/>
  <c r="FD13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G131" i="1"/>
  <c r="FF131" i="1"/>
  <c r="FE131" i="1"/>
  <c r="FD131" i="1"/>
  <c r="FI130" i="1"/>
  <c r="FG130" i="1"/>
  <c r="FF130" i="1"/>
  <c r="FE130" i="1"/>
  <c r="FD130" i="1"/>
  <c r="FI129" i="1"/>
  <c r="FG129" i="1"/>
  <c r="FF129" i="1"/>
  <c r="FE129" i="1"/>
  <c r="FD129" i="1"/>
  <c r="FI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CK117" i="1"/>
  <c r="FH123" i="1"/>
  <c r="CE117" i="1"/>
  <c r="FI114" i="1"/>
  <c r="FI115" i="1"/>
  <c r="FI116" i="1"/>
  <c r="FI117" i="1"/>
  <c r="FI118" i="1"/>
  <c r="FI119" i="1"/>
  <c r="FI120" i="1"/>
  <c r="FI121" i="1"/>
  <c r="FI122" i="1"/>
  <c r="FI123" i="1"/>
  <c r="FI124" i="1"/>
  <c r="FI113" i="1"/>
  <c r="FG114" i="1"/>
  <c r="FG115" i="1"/>
  <c r="FG116" i="1"/>
  <c r="FG117" i="1"/>
  <c r="FG118" i="1"/>
  <c r="FG119" i="1"/>
  <c r="FG120" i="1"/>
  <c r="FG121" i="1"/>
  <c r="FG122" i="1"/>
  <c r="FG123" i="1"/>
  <c r="FG124" i="1"/>
  <c r="FG113" i="1"/>
  <c r="FF114" i="1"/>
  <c r="FF115" i="1"/>
  <c r="FF116" i="1"/>
  <c r="FF117" i="1"/>
  <c r="FF118" i="1"/>
  <c r="FF119" i="1"/>
  <c r="FF120" i="1"/>
  <c r="FF121" i="1"/>
  <c r="FF122" i="1"/>
  <c r="FF123" i="1"/>
  <c r="FF124" i="1"/>
  <c r="FF113" i="1"/>
  <c r="FE114" i="1"/>
  <c r="FE115" i="1"/>
  <c r="FE116" i="1"/>
  <c r="FE117" i="1"/>
  <c r="FE118" i="1"/>
  <c r="FE119" i="1"/>
  <c r="FE120" i="1"/>
  <c r="FE121" i="1"/>
  <c r="FE122" i="1"/>
  <c r="FE123" i="1"/>
  <c r="FE124" i="1"/>
  <c r="FE113" i="1"/>
  <c r="FD114" i="1"/>
  <c r="FD115" i="1"/>
  <c r="FD116" i="1"/>
  <c r="FD117" i="1"/>
  <c r="FD118" i="1"/>
  <c r="FD119" i="1"/>
  <c r="FD120" i="1"/>
  <c r="FD121" i="1"/>
  <c r="FD122" i="1"/>
  <c r="FD123" i="1"/>
  <c r="FD124" i="1"/>
  <c r="FD113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FH136" i="1" l="1"/>
  <c r="FH136" i="8"/>
  <c r="FH137" i="1"/>
  <c r="FH137" i="8"/>
  <c r="FH138" i="1"/>
  <c r="FH138" i="8"/>
  <c r="FH135" i="1"/>
  <c r="FH135" i="8"/>
  <c r="FH142" i="1"/>
  <c r="FH142" i="8"/>
  <c r="FH139" i="1"/>
  <c r="FH139" i="8"/>
  <c r="FH125" i="1"/>
  <c r="FH125" i="8"/>
  <c r="FH144" i="1"/>
  <c r="FH144" i="8"/>
  <c r="FH126" i="1"/>
  <c r="FH126" i="8"/>
  <c r="FH146" i="1"/>
  <c r="FH146" i="8"/>
  <c r="FH128" i="1"/>
  <c r="FH147" i="1"/>
  <c r="FH147" i="8"/>
  <c r="FH127" i="1"/>
  <c r="FH127" i="8"/>
  <c r="FH129" i="1"/>
  <c r="FH129" i="8"/>
  <c r="FH140" i="1"/>
  <c r="FH130" i="1"/>
  <c r="FH130" i="8"/>
  <c r="FH131" i="1"/>
  <c r="FH131" i="8"/>
  <c r="FH141" i="1"/>
  <c r="FH132" i="1"/>
  <c r="FH132" i="8"/>
  <c r="FH145" i="1"/>
  <c r="FH134" i="1"/>
  <c r="FH134" i="8"/>
  <c r="FH113" i="1"/>
  <c r="AA50" i="1"/>
  <c r="H50" i="1" s="1"/>
  <c r="CK116" i="1" l="1"/>
  <c r="CK127" i="1" s="1"/>
  <c r="H51" i="1" s="1"/>
  <c r="J20" i="1" s="1"/>
  <c r="P68" i="1" l="1"/>
  <c r="J19" i="1"/>
</calcChain>
</file>

<file path=xl/sharedStrings.xml><?xml version="1.0" encoding="utf-8"?>
<sst xmlns="http://schemas.openxmlformats.org/spreadsheetml/2006/main" count="411" uniqueCount="179">
  <si>
    <t>CODE</t>
    <phoneticPr fontId="3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</si>
  <si>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3"/>
  </si>
  <si>
    <t>〒160-8511</t>
    <phoneticPr fontId="3"/>
  </si>
  <si>
    <t>No.</t>
    <phoneticPr fontId="3"/>
  </si>
  <si>
    <t>FL2504075</t>
    <phoneticPr fontId="3"/>
  </si>
  <si>
    <t>東京都新宿区四谷4-1</t>
    <phoneticPr fontId="3"/>
  </si>
  <si>
    <t>令和</t>
    <rPh sb="0" eb="2">
      <t>レイワ</t>
    </rPh>
    <phoneticPr fontId="3"/>
  </si>
  <si>
    <t>年</t>
    <rPh sb="0" eb="1">
      <t>ネン</t>
    </rPh>
    <phoneticPr fontId="3"/>
  </si>
  <si>
    <t>月</t>
    <rPh sb="0" eb="1">
      <t>ツキ</t>
    </rPh>
    <phoneticPr fontId="3"/>
  </si>
  <si>
    <t>日</t>
    <rPh sb="0" eb="1">
      <t>ニチ</t>
    </rPh>
    <phoneticPr fontId="3"/>
  </si>
  <si>
    <t>大塚刷毛製造株式会社</t>
    <rPh sb="0" eb="2">
      <t>オオツカ</t>
    </rPh>
    <rPh sb="2" eb="4">
      <t>ハケ</t>
    </rPh>
    <rPh sb="4" eb="6">
      <t>セイゾウ</t>
    </rPh>
    <rPh sb="6" eb="10">
      <t>カブシキガイシャ</t>
    </rPh>
    <phoneticPr fontId="3"/>
  </si>
  <si>
    <t>様</t>
    <rPh sb="0" eb="1">
      <t>サマ</t>
    </rPh>
    <phoneticPr fontId="3"/>
  </si>
  <si>
    <t>受渡期日</t>
    <rPh sb="0" eb="2">
      <t>ウケワタシ</t>
    </rPh>
    <rPh sb="2" eb="4">
      <t>キジツ</t>
    </rPh>
    <phoneticPr fontId="3"/>
  </si>
  <si>
    <t>受渡場所</t>
    <rPh sb="0" eb="2">
      <t>ウケワタシ</t>
    </rPh>
    <rPh sb="2" eb="4">
      <t>バショ</t>
    </rPh>
    <phoneticPr fontId="3"/>
  </si>
  <si>
    <t>貴社指定場所</t>
    <rPh sb="0" eb="2">
      <t>キシャ</t>
    </rPh>
    <rPh sb="2" eb="6">
      <t>シテイバショ</t>
    </rPh>
    <phoneticPr fontId="3"/>
  </si>
  <si>
    <t>振込先：</t>
    <rPh sb="0" eb="2">
      <t>フリコミ</t>
    </rPh>
    <rPh sb="2" eb="3">
      <t>サキ</t>
    </rPh>
    <phoneticPr fontId="3"/>
  </si>
  <si>
    <t>十六銀行　柳ヶ瀬支店　普通：0777577</t>
    <phoneticPr fontId="3"/>
  </si>
  <si>
    <t>現金支払</t>
    <rPh sb="0" eb="4">
      <t>ゲンキンシハラ</t>
    </rPh>
    <phoneticPr fontId="3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</si>
  <si>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3"/>
  </si>
  <si>
    <t>名義：</t>
    <rPh sb="0" eb="2">
      <t>メイギ</t>
    </rPh>
    <phoneticPr fontId="3"/>
  </si>
  <si>
    <t>ｶ)ﾘﾝｼｭﾝﾄﾞｳ</t>
    <phoneticPr fontId="3"/>
  </si>
  <si>
    <t>担当者</t>
    <rPh sb="0" eb="3">
      <t>タントウシャ</t>
    </rPh>
    <phoneticPr fontId="3"/>
  </si>
  <si>
    <t>田中　健吾</t>
    <rPh sb="0" eb="2">
      <t>タナカ</t>
    </rPh>
    <phoneticPr fontId="3"/>
  </si>
  <si>
    <t>税込合計</t>
    <rPh sb="0" eb="2">
      <t>ゼイコ</t>
    </rPh>
    <rPh sb="2" eb="4">
      <t>ゴウケイ</t>
    </rPh>
    <phoneticPr fontId="3"/>
  </si>
  <si>
    <t>見積書有効期限発効後1年</t>
    <rPh sb="0" eb="3">
      <t>ミツモリショ</t>
    </rPh>
    <rPh sb="3" eb="7">
      <t>ユウコウキゲン</t>
    </rPh>
    <rPh sb="7" eb="10">
      <t>ハッコウゴ</t>
    </rPh>
    <rPh sb="11" eb="12">
      <t>ネン</t>
    </rPh>
    <phoneticPr fontId="3"/>
  </si>
  <si>
    <t>品　　名</t>
    <rPh sb="0" eb="1">
      <t>シナ</t>
    </rPh>
    <rPh sb="3" eb="4">
      <t>メイ</t>
    </rPh>
    <phoneticPr fontId="3"/>
  </si>
  <si>
    <t>数　量</t>
    <rPh sb="0" eb="1">
      <t>カズ</t>
    </rPh>
    <rPh sb="2" eb="3">
      <t>リョウ</t>
    </rPh>
    <phoneticPr fontId="3"/>
  </si>
  <si>
    <t>税別単価</t>
    <rPh sb="0" eb="2">
      <t>ゼイベツ</t>
    </rPh>
    <rPh sb="2" eb="3">
      <t>タン</t>
    </rPh>
    <rPh sb="3" eb="4">
      <t>アタイ</t>
    </rPh>
    <phoneticPr fontId="3"/>
  </si>
  <si>
    <t>金　額</t>
    <rPh sb="0" eb="1">
      <t>キン</t>
    </rPh>
    <rPh sb="2" eb="3">
      <t>ガク</t>
    </rPh>
    <phoneticPr fontId="3"/>
  </si>
  <si>
    <t>備　考</t>
    <rPh sb="0" eb="1">
      <t>ソナエ</t>
    </rPh>
    <rPh sb="2" eb="3">
      <t>コウ</t>
    </rPh>
    <phoneticPr fontId="3"/>
  </si>
  <si>
    <t>FL-LCW 1500w　加工デモ　日帰り　ハイエース使用</t>
    <rPh sb="13" eb="15">
      <t>カコウ</t>
    </rPh>
    <rPh sb="18" eb="20">
      <t>ヒガエ</t>
    </rPh>
    <phoneticPr fontId="3"/>
  </si>
  <si>
    <t>一式</t>
    <rPh sb="0" eb="2">
      <t>イッシキ</t>
    </rPh>
    <phoneticPr fontId="3"/>
  </si>
  <si>
    <t>岐阜市内客先</t>
    <rPh sb="0" eb="3">
      <t>ギフシ</t>
    </rPh>
    <rPh sb="3" eb="4">
      <t>ナイ</t>
    </rPh>
    <rPh sb="4" eb="6">
      <t>キャクサキ</t>
    </rPh>
    <phoneticPr fontId="3"/>
  </si>
  <si>
    <t>FL-LCW 1500w　加工デモ　一泊二日　　公共交通</t>
    <rPh sb="13" eb="15">
      <t>カコウ</t>
    </rPh>
    <phoneticPr fontId="3"/>
  </si>
  <si>
    <t>茨城営業所内</t>
    <rPh sb="0" eb="2">
      <t>イバラギ</t>
    </rPh>
    <rPh sb="2" eb="5">
      <t>エイギョウショ</t>
    </rPh>
    <rPh sb="5" eb="6">
      <t>ナイ</t>
    </rPh>
    <phoneticPr fontId="3"/>
  </si>
  <si>
    <t>FL-LCW 1500w　加工デモ　一泊二日　　公共交通</t>
    <rPh sb="13" eb="15">
      <t>カコウ</t>
    </rPh>
    <rPh sb="18" eb="22">
      <t>イッパクフツカ</t>
    </rPh>
    <phoneticPr fontId="3"/>
  </si>
  <si>
    <t>横浜市内客先</t>
    <rPh sb="0" eb="3">
      <t>ヨコハマシ</t>
    </rPh>
    <rPh sb="3" eb="4">
      <t>ナイ</t>
    </rPh>
    <phoneticPr fontId="3"/>
  </si>
  <si>
    <t>岡崎市内客先</t>
    <rPh sb="0" eb="4">
      <t>オカザキシナイ</t>
    </rPh>
    <phoneticPr fontId="3"/>
  </si>
  <si>
    <t>FL-LCW 1500w　加工デモ　一泊二日　公共交通</t>
    <rPh sb="13" eb="15">
      <t>カコウ</t>
    </rPh>
    <phoneticPr fontId="3"/>
  </si>
  <si>
    <t>函館市内客先</t>
    <rPh sb="0" eb="4">
      <t>ハコダテシナイ</t>
    </rPh>
    <phoneticPr fontId="3"/>
  </si>
  <si>
    <t>四日市市内客先</t>
    <rPh sb="0" eb="5">
      <t>ヨッカイチシナイ</t>
    </rPh>
    <phoneticPr fontId="3"/>
  </si>
  <si>
    <t>FL-LCW 1500w　加工デモ　一泊二日　公共交通</t>
    <rPh sb="13" eb="15">
      <t>カコウ</t>
    </rPh>
    <rPh sb="23" eb="27">
      <t>コウキョウコウツウ</t>
    </rPh>
    <phoneticPr fontId="3"/>
  </si>
  <si>
    <t>行田市内客先</t>
    <rPh sb="0" eb="1">
      <t>イ</t>
    </rPh>
    <rPh sb="1" eb="2">
      <t>タ</t>
    </rPh>
    <rPh sb="2" eb="3">
      <t>シ</t>
    </rPh>
    <rPh sb="3" eb="4">
      <t>ナイ</t>
    </rPh>
    <phoneticPr fontId="3"/>
  </si>
  <si>
    <t>大阪市内客先</t>
    <rPh sb="0" eb="4">
      <t>オオサカシナイ</t>
    </rPh>
    <phoneticPr fontId="3"/>
  </si>
  <si>
    <t>FL-LCW 1500w加工デモ　一泊二日　ハイエース使用</t>
    <rPh sb="12" eb="14">
      <t>カコウ</t>
    </rPh>
    <phoneticPr fontId="3"/>
  </si>
  <si>
    <t>千葉県内客先</t>
    <rPh sb="0" eb="4">
      <t>チバケンナイ</t>
    </rPh>
    <phoneticPr fontId="3"/>
  </si>
  <si>
    <t>FL-LCW 1500w加工デモ　一泊二日　　公共交通</t>
    <rPh sb="12" eb="14">
      <t>カコウ</t>
    </rPh>
    <rPh sb="17" eb="21">
      <t>イッパクフツカ</t>
    </rPh>
    <phoneticPr fontId="3"/>
  </si>
  <si>
    <t>東京都内</t>
    <rPh sb="0" eb="4">
      <t>トウキョウトナイ</t>
    </rPh>
    <phoneticPr fontId="3"/>
  </si>
  <si>
    <t>新潟市内</t>
    <rPh sb="0" eb="2">
      <t>ニイガタ</t>
    </rPh>
    <rPh sb="2" eb="4">
      <t>シナイ</t>
    </rPh>
    <phoneticPr fontId="3"/>
  </si>
  <si>
    <t>FL-LCW 1500w加工デモ　二泊三日　ハイエース使用</t>
    <rPh sb="12" eb="14">
      <t>カコウ</t>
    </rPh>
    <rPh sb="17" eb="21">
      <t>ニハクミッカ</t>
    </rPh>
    <rPh sb="27" eb="29">
      <t>シヨウ</t>
    </rPh>
    <phoneticPr fontId="3"/>
  </si>
  <si>
    <t>小 計</t>
    <rPh sb="0" eb="1">
      <t>ショウ</t>
    </rPh>
    <rPh sb="2" eb="3">
      <t>ケイ</t>
    </rPh>
    <phoneticPr fontId="3"/>
  </si>
  <si>
    <t>合計金額</t>
    <rPh sb="0" eb="2">
      <t>ゴウケイ</t>
    </rPh>
    <rPh sb="2" eb="4">
      <t>キンガク</t>
    </rPh>
    <phoneticPr fontId="3"/>
  </si>
  <si>
    <t>摘要：</t>
    <rPh sb="0" eb="2">
      <t>テキヨウ</t>
    </rPh>
    <phoneticPr fontId="3"/>
  </si>
  <si>
    <t>４トン車、駐車代別途</t>
    <rPh sb="3" eb="4">
      <t>シャ</t>
    </rPh>
    <rPh sb="5" eb="10">
      <t>チュウシャダイベット</t>
    </rPh>
    <phoneticPr fontId="3"/>
  </si>
  <si>
    <t>加工デモ＝送料設置操作講習同日開催となります。</t>
    <rPh sb="0" eb="2">
      <t>カコウ</t>
    </rPh>
    <phoneticPr fontId="3"/>
  </si>
  <si>
    <t>NO</t>
    <phoneticPr fontId="3"/>
  </si>
  <si>
    <t>明細NO</t>
    <rPh sb="0" eb="2">
      <t>メイサイ</t>
    </rPh>
    <phoneticPr fontId="3"/>
  </si>
  <si>
    <t>品名</t>
    <rPh sb="0" eb="2">
      <t>ヒンメイ</t>
    </rPh>
    <phoneticPr fontId="3"/>
  </si>
  <si>
    <t>数量</t>
    <rPh sb="0" eb="2">
      <t>スウリョウ</t>
    </rPh>
    <phoneticPr fontId="3"/>
  </si>
  <si>
    <t>単位</t>
    <rPh sb="0" eb="2">
      <t>タンイ</t>
    </rPh>
    <phoneticPr fontId="3"/>
  </si>
  <si>
    <t>金額</t>
    <rPh sb="0" eb="2">
      <t>キンガク</t>
    </rPh>
    <phoneticPr fontId="3"/>
  </si>
  <si>
    <t>備考</t>
    <rPh sb="0" eb="2">
      <t>ビコウ</t>
    </rPh>
    <phoneticPr fontId="3"/>
  </si>
  <si>
    <t>ON</t>
    <phoneticPr fontId="3"/>
  </si>
  <si>
    <t>制御</t>
    <rPh sb="0" eb="2">
      <t>セイギョ</t>
    </rPh>
    <phoneticPr fontId="3"/>
  </si>
  <si>
    <t>総計</t>
    <rPh sb="0" eb="2">
      <t>ソウケイ</t>
    </rPh>
    <phoneticPr fontId="3"/>
  </si>
  <si>
    <t>消費税</t>
    <rPh sb="0" eb="3">
      <t>ショウヒゼイ</t>
    </rPh>
    <phoneticPr fontId="3"/>
  </si>
  <si>
    <t xml:space="preserve">     タイトル</t>
    <phoneticPr fontId="3"/>
  </si>
  <si>
    <t>ﾏｽﾀﾊﾞｯｸｱｯﾌﾟ</t>
    <phoneticPr fontId="3"/>
  </si>
  <si>
    <t>OFF</t>
    <phoneticPr fontId="3"/>
  </si>
  <si>
    <t>台</t>
    <rPh sb="0" eb="1">
      <t>ダイ</t>
    </rPh>
    <phoneticPr fontId="3"/>
  </si>
  <si>
    <t>％</t>
    <phoneticPr fontId="3"/>
  </si>
  <si>
    <t>ON</t>
  </si>
  <si>
    <t>個</t>
    <rPh sb="0" eb="1">
      <t>コ</t>
    </rPh>
    <phoneticPr fontId="3"/>
  </si>
  <si>
    <t>納　 品 　書</t>
    <rPh sb="0" eb="1">
      <t>オサム</t>
    </rPh>
    <rPh sb="3" eb="4">
      <t>シナ</t>
    </rPh>
    <rPh sb="6" eb="7">
      <t>ショ</t>
    </rPh>
    <phoneticPr fontId="3"/>
  </si>
  <si>
    <t>画面表示</t>
    <rPh sb="0" eb="2">
      <t>ガメン</t>
    </rPh>
    <rPh sb="2" eb="4">
      <t>ヒョウジ</t>
    </rPh>
    <phoneticPr fontId="3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</si>
  <si>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3"/>
  </si>
  <si>
    <t>ﾃﾞｰﾀ保存ｼｰﾄ</t>
    <rPh sb="4" eb="6">
      <t>ホゾン</t>
    </rPh>
    <phoneticPr fontId="3"/>
  </si>
  <si>
    <t>冊</t>
    <rPh sb="0" eb="1">
      <t>サツ</t>
    </rPh>
    <phoneticPr fontId="3"/>
  </si>
  <si>
    <t>①</t>
    <phoneticPr fontId="3"/>
  </si>
  <si>
    <t>請　 求 　書</t>
    <rPh sb="0" eb="1">
      <t>ショウ</t>
    </rPh>
    <rPh sb="3" eb="4">
      <t>モトム</t>
    </rPh>
    <rPh sb="6" eb="7">
      <t>ショ</t>
    </rPh>
    <phoneticPr fontId="3"/>
  </si>
  <si>
    <t>データ保存　1.xls</t>
    <rPh sb="3" eb="5">
      <t>ホゾン</t>
    </rPh>
    <phoneticPr fontId="3"/>
  </si>
  <si>
    <t>敬称</t>
    <rPh sb="0" eb="2">
      <t>ケイショウ</t>
    </rPh>
    <phoneticPr fontId="3"/>
  </si>
  <si>
    <t>箱</t>
    <rPh sb="0" eb="1">
      <t>ハコ</t>
    </rPh>
    <phoneticPr fontId="3"/>
  </si>
  <si>
    <t>②</t>
    <phoneticPr fontId="3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</si>
  <si>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3"/>
  </si>
  <si>
    <t>鑑</t>
    <rPh sb="0" eb="1">
      <t>カガミ</t>
    </rPh>
    <phoneticPr fontId="3"/>
  </si>
  <si>
    <t>御中</t>
    <rPh sb="0" eb="2">
      <t>オンチュウ</t>
    </rPh>
    <phoneticPr fontId="3"/>
  </si>
  <si>
    <t>C/S</t>
    <phoneticPr fontId="3"/>
  </si>
  <si>
    <t>明細</t>
    <rPh sb="0" eb="2">
      <t>メイサイ</t>
    </rPh>
    <phoneticPr fontId="3"/>
  </si>
  <si>
    <t>SET</t>
    <phoneticPr fontId="3"/>
  </si>
  <si>
    <t>画像ファイル名</t>
    <rPh sb="0" eb="2">
      <t>ガゾウ</t>
    </rPh>
    <rPh sb="6" eb="7">
      <t>メイ</t>
    </rPh>
    <phoneticPr fontId="3"/>
  </si>
  <si>
    <t>画像名</t>
    <rPh sb="0" eb="2">
      <t>ガゾウ</t>
    </rPh>
    <rPh sb="2" eb="3">
      <t>メイ</t>
    </rPh>
    <phoneticPr fontId="3"/>
  </si>
  <si>
    <t>殿</t>
    <rPh sb="0" eb="1">
      <t>ドノ</t>
    </rPh>
    <phoneticPr fontId="3"/>
  </si>
  <si>
    <t>本</t>
    <rPh sb="0" eb="1">
      <t>ホン</t>
    </rPh>
    <phoneticPr fontId="3"/>
  </si>
  <si>
    <t>会社角印.gif</t>
    <phoneticPr fontId="3"/>
  </si>
  <si>
    <t>会社角印</t>
    <rPh sb="0" eb="2">
      <t>カイシャ</t>
    </rPh>
    <rPh sb="2" eb="3">
      <t>カク</t>
    </rPh>
    <rPh sb="3" eb="4">
      <t>イン</t>
    </rPh>
    <phoneticPr fontId="3"/>
  </si>
  <si>
    <t>束</t>
    <rPh sb="0" eb="1">
      <t>タバ</t>
    </rPh>
    <phoneticPr fontId="3"/>
  </si>
  <si>
    <t>林印.png</t>
    <rPh sb="0" eb="1">
      <t>ハヤシ</t>
    </rPh>
    <rPh sb="1" eb="2">
      <t>イン</t>
    </rPh>
    <phoneticPr fontId="3"/>
  </si>
  <si>
    <t>林印</t>
    <rPh sb="0" eb="1">
      <t>ハヤシ</t>
    </rPh>
    <rPh sb="1" eb="2">
      <t>イン</t>
    </rPh>
    <phoneticPr fontId="3"/>
  </si>
  <si>
    <t>枚</t>
    <rPh sb="0" eb="1">
      <t>マイ</t>
    </rPh>
    <phoneticPr fontId="3"/>
  </si>
  <si>
    <t>③</t>
    <phoneticPr fontId="3"/>
  </si>
  <si>
    <t>佐藤.png</t>
    <rPh sb="0" eb="2">
      <t>サトウ</t>
    </rPh>
    <phoneticPr fontId="3"/>
  </si>
  <si>
    <t>佐藤印</t>
    <rPh sb="0" eb="2">
      <t>サトウ</t>
    </rPh>
    <rPh sb="2" eb="3">
      <t>イン</t>
    </rPh>
    <phoneticPr fontId="3"/>
  </si>
  <si>
    <t>ﾊﾟｯｸ</t>
    <phoneticPr fontId="3"/>
  </si>
  <si>
    <t>④</t>
    <phoneticPr fontId="3"/>
  </si>
  <si>
    <t>青木印.gif</t>
    <rPh sb="0" eb="2">
      <t>アオキ</t>
    </rPh>
    <rPh sb="2" eb="3">
      <t>イン</t>
    </rPh>
    <phoneticPr fontId="3"/>
  </si>
  <si>
    <t>青木印</t>
    <rPh sb="0" eb="2">
      <t>アオキ</t>
    </rPh>
    <rPh sb="2" eb="3">
      <t>ジルシ</t>
    </rPh>
    <phoneticPr fontId="3"/>
  </si>
  <si>
    <t>計</t>
    <rPh sb="0" eb="1">
      <t>ケイ</t>
    </rPh>
    <phoneticPr fontId="3"/>
  </si>
  <si>
    <t>ｷｯﾄ</t>
    <phoneticPr fontId="3"/>
  </si>
  <si>
    <t>⑤</t>
    <phoneticPr fontId="3"/>
  </si>
  <si>
    <t>中田印.gif</t>
    <rPh sb="0" eb="2">
      <t>ナカタ</t>
    </rPh>
    <rPh sb="2" eb="3">
      <t>イン</t>
    </rPh>
    <phoneticPr fontId="3"/>
  </si>
  <si>
    <t>中田印</t>
    <rPh sb="0" eb="2">
      <t>ナカタ</t>
    </rPh>
    <rPh sb="2" eb="3">
      <t>ジルシ</t>
    </rPh>
    <phoneticPr fontId="3"/>
  </si>
  <si>
    <t>マスタパス</t>
    <phoneticPr fontId="3"/>
  </si>
  <si>
    <t>C:\Documents and Settings\sato\My Documents\シンプル見積書\</t>
    <phoneticPr fontId="3"/>
  </si>
  <si>
    <t>ﾏｽﾀ</t>
    <phoneticPr fontId="3"/>
  </si>
  <si>
    <t>マスタ 1.xls</t>
    <phoneticPr fontId="3"/>
  </si>
  <si>
    <t>データﾊﾟｽ</t>
    <phoneticPr fontId="3"/>
  </si>
  <si>
    <t>00-F-20-75-29-7C</t>
    <phoneticPr fontId="3"/>
  </si>
  <si>
    <t>単価</t>
    <rPh sb="0" eb="2">
      <t>タンカ</t>
    </rPh>
    <phoneticPr fontId="3"/>
  </si>
  <si>
    <t>FL-LCW 1500w搬入講習費二泊三日　社用車</t>
    <rPh sb="12" eb="14">
      <t>ハンニュウ</t>
    </rPh>
    <rPh sb="14" eb="16">
      <t>コウシュウ</t>
    </rPh>
    <rPh sb="16" eb="17">
      <t>ヒ</t>
    </rPh>
    <rPh sb="17" eb="21">
      <t>ニハクミッカ</t>
    </rPh>
    <rPh sb="22" eb="25">
      <t>シャヨウシャ</t>
    </rPh>
    <phoneticPr fontId="3"/>
  </si>
  <si>
    <t>福島県内</t>
    <rPh sb="0" eb="3">
      <t>フクシマケン</t>
    </rPh>
    <rPh sb="3" eb="4">
      <t>ナイ</t>
    </rPh>
    <phoneticPr fontId="3"/>
  </si>
  <si>
    <t>FL-LCW 1500w搬入講習費一泊二日　社用車</t>
    <rPh sb="12" eb="14">
      <t>ハンニュウ</t>
    </rPh>
    <rPh sb="14" eb="16">
      <t>コウシュウ</t>
    </rPh>
    <rPh sb="16" eb="17">
      <t>ヒ</t>
    </rPh>
    <rPh sb="17" eb="21">
      <t>イッパクフツカ</t>
    </rPh>
    <phoneticPr fontId="3"/>
  </si>
  <si>
    <t>長野県伊那市</t>
    <phoneticPr fontId="3"/>
  </si>
  <si>
    <t>FL-LCW 1500w搬入講習費一泊二日　公共</t>
    <rPh sb="12" eb="14">
      <t>ハンニュウ</t>
    </rPh>
    <rPh sb="14" eb="16">
      <t>コウシュウ</t>
    </rPh>
    <rPh sb="16" eb="17">
      <t>ヒ</t>
    </rPh>
    <rPh sb="17" eb="21">
      <t>イッパクフツカ</t>
    </rPh>
    <rPh sb="22" eb="24">
      <t>コウキョウ</t>
    </rPh>
    <phoneticPr fontId="3"/>
  </si>
  <si>
    <t>仙台市</t>
    <rPh sb="0" eb="3">
      <t>センダイシ</t>
    </rPh>
    <phoneticPr fontId="3"/>
  </si>
  <si>
    <t>FL-LCW1500wデモ機持参講習社用車使用日帰平日</t>
    <rPh sb="13" eb="16">
      <t>キジサン</t>
    </rPh>
    <rPh sb="16" eb="18">
      <t>コウシュウ</t>
    </rPh>
    <rPh sb="18" eb="20">
      <t>シャヨウ</t>
    </rPh>
    <rPh sb="20" eb="21">
      <t>シャ</t>
    </rPh>
    <rPh sb="21" eb="23">
      <t>シヨウ</t>
    </rPh>
    <rPh sb="23" eb="25">
      <t>ヒガエ</t>
    </rPh>
    <rPh sb="25" eb="27">
      <t>ヘイジツ</t>
    </rPh>
    <phoneticPr fontId="3"/>
  </si>
  <si>
    <t>名古屋支店</t>
    <phoneticPr fontId="3"/>
  </si>
  <si>
    <t>高山市組合向け</t>
    <phoneticPr fontId="3"/>
  </si>
  <si>
    <t>FL-LCW1500wデモ機持参講習社用車使用日帰土日</t>
    <rPh sb="13" eb="16">
      <t>キジサン</t>
    </rPh>
    <rPh sb="16" eb="18">
      <t>コウシュウ</t>
    </rPh>
    <rPh sb="18" eb="20">
      <t>シャヨウ</t>
    </rPh>
    <rPh sb="20" eb="21">
      <t>シャ</t>
    </rPh>
    <rPh sb="21" eb="23">
      <t>シヨウ</t>
    </rPh>
    <rPh sb="23" eb="25">
      <t>ヒガエ</t>
    </rPh>
    <rPh sb="25" eb="27">
      <t>ドニチ</t>
    </rPh>
    <phoneticPr fontId="3"/>
  </si>
  <si>
    <t>FL-LCW1500w　新品購入持参　一泊二日　社用車</t>
    <rPh sb="12" eb="16">
      <t>シンピンコウニュウ</t>
    </rPh>
    <rPh sb="16" eb="18">
      <t>ジサン</t>
    </rPh>
    <rPh sb="19" eb="23">
      <t>イッパクフツカ</t>
    </rPh>
    <rPh sb="24" eb="27">
      <t>シャヨウシャ</t>
    </rPh>
    <phoneticPr fontId="3"/>
  </si>
  <si>
    <t>石川県金沢市</t>
    <phoneticPr fontId="3"/>
  </si>
  <si>
    <t>休日割増　土日祝</t>
    <rPh sb="0" eb="4">
      <t>キュウジツワリマシ</t>
    </rPh>
    <rPh sb="5" eb="7">
      <t>ドニチ</t>
    </rPh>
    <rPh sb="7" eb="8">
      <t>シュク</t>
    </rPh>
    <phoneticPr fontId="3"/>
  </si>
  <si>
    <t>別紙購入おすすめ品一覧</t>
    <rPh sb="0" eb="2">
      <t>ベッシ</t>
    </rPh>
    <rPh sb="2" eb="4">
      <t>コウニュウ</t>
    </rPh>
    <rPh sb="8" eb="9">
      <t>ヒン</t>
    </rPh>
    <rPh sb="9" eb="11">
      <t>イチラン</t>
    </rPh>
    <phoneticPr fontId="3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</si>
  <si>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3"/>
  </si>
  <si>
    <t>単　価</t>
    <rPh sb="0" eb="1">
      <t>タン</t>
    </rPh>
    <rPh sb="2" eb="3">
      <t>アタイ</t>
    </rPh>
    <phoneticPr fontId="3"/>
  </si>
  <si>
    <t>反射レンズレンズ＋ステー　</t>
    <rPh sb="0" eb="2">
      <t>ハンシャ</t>
    </rPh>
    <phoneticPr fontId="3"/>
  </si>
  <si>
    <t>枚</t>
  </si>
  <si>
    <t>コリメーターレンズ</t>
    <phoneticPr fontId="3"/>
  </si>
  <si>
    <t>溶接・切断用焦点レンズ【ケース付き】</t>
    <phoneticPr fontId="3"/>
  </si>
  <si>
    <t>洗浄用焦点レンズ【ケース付き】</t>
    <phoneticPr fontId="3"/>
  </si>
  <si>
    <t>シールリング ※シールリングのみ</t>
    <phoneticPr fontId="3"/>
  </si>
  <si>
    <t>溶接・切断用 保護レンズ</t>
    <phoneticPr fontId="3"/>
  </si>
  <si>
    <t>　FAX感熱紙(A4)</t>
    <phoneticPr fontId="3"/>
  </si>
  <si>
    <t>小 計</t>
    <rPh sb="0" eb="1">
      <t>ショウケイ</t>
    </rPh>
    <phoneticPr fontId="3"/>
  </si>
  <si>
    <t>データパス</t>
    <phoneticPr fontId="3"/>
  </si>
  <si>
    <t>USBフラッシュメモリ内一覧</t>
    <rPh sb="11" eb="12">
      <t>ナイ</t>
    </rPh>
    <rPh sb="12" eb="14">
      <t>イチラン</t>
    </rPh>
    <phoneticPr fontId="3"/>
  </si>
  <si>
    <t>User Manual_FL_LCW-3000W Ver.2.0　（取扱
説明書)</t>
    <phoneticPr fontId="3"/>
  </si>
  <si>
    <t>SET</t>
  </si>
  <si>
    <t>焦点レンズの清掃・交換</t>
    <rPh sb="9" eb="11">
      <t>コウカン</t>
    </rPh>
    <phoneticPr fontId="3"/>
  </si>
  <si>
    <t>保護レンズの清掃・交換</t>
    <rPh sb="9" eb="11">
      <t>コウカン</t>
    </rPh>
    <phoneticPr fontId="3"/>
  </si>
  <si>
    <t>溶接の設定出し</t>
    <phoneticPr fontId="3"/>
  </si>
  <si>
    <t>LCW全機種設定表</t>
    <rPh sb="8" eb="9">
      <t>ヒョウ</t>
    </rPh>
    <phoneticPr fontId="3"/>
  </si>
  <si>
    <t>3000W設定表</t>
    <rPh sb="7" eb="8">
      <t>ヒョウ</t>
    </rPh>
    <phoneticPr fontId="3"/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</si>
  <si>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3"/>
  </si>
  <si>
    <t>USBメモリー(取説・設定表・レンズ清掃方法
など)</t>
    <phoneticPr fontId="3"/>
  </si>
  <si>
    <t>一式</t>
  </si>
  <si>
    <t>溶接ノズル AS-12</t>
    <phoneticPr fontId="3"/>
  </si>
  <si>
    <t>個</t>
  </si>
  <si>
    <t>溶接ノズル BS-16</t>
    <phoneticPr fontId="3"/>
  </si>
  <si>
    <t>溶接ノズル CS-12</t>
    <phoneticPr fontId="3"/>
  </si>
  <si>
    <t>溶接ノズル FS-16</t>
    <phoneticPr fontId="3"/>
  </si>
  <si>
    <t>溶接ノズル Ｃタイプ</t>
    <phoneticPr fontId="3"/>
  </si>
  <si>
    <t>切断用ノズル</t>
    <phoneticPr fontId="3"/>
  </si>
  <si>
    <t>ワイヤーノズル　Φ1.0</t>
    <phoneticPr fontId="3"/>
  </si>
  <si>
    <t>ワイヤーノズル　Φ1.2</t>
    <phoneticPr fontId="3"/>
  </si>
  <si>
    <t>ワイヤーノズル　Φ1.6</t>
    <phoneticPr fontId="3"/>
  </si>
  <si>
    <t>レンズクリーナー</t>
    <phoneticPr fontId="3"/>
  </si>
  <si>
    <t>レンズクリーナー用拭き取り棒</t>
    <rPh sb="13" eb="14">
      <t>ボウ</t>
    </rPh>
    <phoneticPr fontId="3"/>
  </si>
  <si>
    <t>光路調整用テープ</t>
    <phoneticPr fontId="3"/>
  </si>
  <si>
    <t>PTFEテープ</t>
    <phoneticPr fontId="3"/>
  </si>
  <si>
    <t>PVCテープ</t>
    <phoneticPr fontId="3"/>
  </si>
  <si>
    <t>保護メガネ</t>
    <phoneticPr fontId="3"/>
  </si>
  <si>
    <t>マイナスドライバー</t>
    <phoneticPr fontId="3"/>
  </si>
  <si>
    <t>ドア施錠キー</t>
    <rPh sb="2" eb="4">
      <t>セジョウ</t>
    </rPh>
    <phoneticPr fontId="3"/>
  </si>
  <si>
    <t>レーザーユニット電源キー</t>
    <phoneticPr fontId="3"/>
  </si>
  <si>
    <t>保護レンズ</t>
    <phoneticPr fontId="3"/>
  </si>
  <si>
    <t>六角レンチセット</t>
    <phoneticPr fontId="3"/>
  </si>
  <si>
    <t>レーザーケーブル保護キャップ</t>
    <phoneticPr fontId="3"/>
  </si>
  <si>
    <t>本体装備品一覧</t>
    <rPh sb="0" eb="2">
      <t>ホンタイ</t>
    </rPh>
    <rPh sb="2" eb="5">
      <t>ソウビヒン</t>
    </rPh>
    <rPh sb="5" eb="7">
      <t>イチラン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</si>
</sst>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color theme="0"/>
      <name val="ＭＳ Ｐゴシック"/>
      <family val="3"/>
      <charset val="128"/>
    </font>
    <font>
      <b/>
      <sz val="16"/>
      <color theme="0"/>
      <name val="ＭＳ Ｐゴシック"/>
      <family val="3"/>
      <charset val="128"/>
    </font>
    <font>
      <sz val="14"/>
      <color theme="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b/>
      <sz val="15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rgb="FF009CD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top"/>
    </xf>
    <xf numFmtId="0" fontId="0" fillId="0" borderId="1" xfId="0" applyBorder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3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1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5" fillId="0" borderId="0" xfId="0" applyFont="1"/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2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3" fillId="2" borderId="0" xfId="0" applyFont="1" applyFill="1"/>
    <xf numFmtId="0" fontId="2" fillId="2" borderId="0" xfId="0" applyFont="1" applyFill="1" applyAlignment="1">
      <alignment vertical="center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9" fillId="0" borderId="0" xfId="0" applyFont="1"/>
    <xf numFmtId="177" fontId="0" fillId="0" borderId="0" xfId="0" applyNumberFormat="1"/>
    <xf numFmtId="0" fontId="0" fillId="0" borderId="3" xfId="0" applyBorder="1"/>
    <xf numFmtId="181" fontId="0" fillId="0" borderId="3" xfId="0" applyNumberFormat="1" applyBorder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6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9" fillId="0" borderId="0" xfId="0" applyFont="1"/>
    <xf numFmtId="0" fontId="0" fillId="0" borderId="1" xfId="0" applyBorder="1" applyAlignment="1">
      <alignment vertical="center"/>
    </xf>
    <xf numFmtId="0" fontId="14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9" fillId="2" borderId="0" xfId="0" applyFont="1" applyFill="1"/>
    <xf numFmtId="176" fontId="23" fillId="0" borderId="0" xfId="0" applyNumberFormat="1" applyFont="1" applyAlignment="1">
      <alignment horizontal="right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>
      <alignment horizontal="left"/>
    </xf>
    <xf numFmtId="0" fontId="0" fillId="4" borderId="3" xfId="0" applyFill="1" applyBorder="1" applyAlignment="1">
      <alignment horizontal="center"/>
    </xf>
    <xf numFmtId="0" fontId="0" fillId="0" borderId="0" xfId="0" applyAlignment="1">
      <alignment horizontal="left" vertical="center"/>
    </xf>
    <xf numFmtId="181" fontId="14" fillId="0" borderId="23" xfId="0" applyNumberFormat="1" applyFont="1" applyBorder="1" applyAlignment="1">
      <alignment horizontal="left" vertical="center" wrapText="1"/>
    </xf>
    <xf numFmtId="181" fontId="14" fillId="0" borderId="6" xfId="0" applyNumberFormat="1" applyFont="1" applyBorder="1" applyAlignment="1">
      <alignment horizontal="left" vertical="center" wrapText="1"/>
    </xf>
    <xf numFmtId="181" fontId="14" fillId="0" borderId="5" xfId="0" applyNumberFormat="1" applyFont="1" applyBorder="1" applyAlignment="1">
      <alignment horizontal="left" vertical="center" wrapText="1"/>
    </xf>
    <xf numFmtId="181" fontId="8" fillId="0" borderId="7" xfId="0" applyNumberFormat="1" applyFont="1" applyBorder="1" applyAlignment="1">
      <alignment horizontal="right" vertical="center"/>
    </xf>
    <xf numFmtId="181" fontId="8" fillId="0" borderId="8" xfId="0" applyNumberFormat="1" applyFont="1" applyBorder="1" applyAlignment="1">
      <alignment horizontal="right" vertical="center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181" fontId="8" fillId="0" borderId="9" xfId="0" applyNumberFormat="1" applyFont="1" applyBorder="1" applyAlignment="1">
      <alignment horizontal="right" vertical="center"/>
    </xf>
    <xf numFmtId="181" fontId="14" fillId="0" borderId="4" xfId="0" applyNumberFormat="1" applyFont="1" applyBorder="1" applyAlignment="1">
      <alignment horizontal="left" vertical="center" wrapText="1"/>
    </xf>
    <xf numFmtId="181" fontId="14" fillId="0" borderId="19" xfId="0" applyNumberFormat="1" applyFont="1" applyBorder="1" applyAlignment="1">
      <alignment horizontal="left" vertical="center" wrapText="1"/>
    </xf>
    <xf numFmtId="181" fontId="8" fillId="0" borderId="4" xfId="0" applyNumberFormat="1" applyFont="1" applyBorder="1" applyAlignment="1">
      <alignment horizontal="right" vertical="center"/>
    </xf>
    <xf numFmtId="181" fontId="8" fillId="0" borderId="6" xfId="0" applyNumberFormat="1" applyFont="1" applyBorder="1" applyAlignment="1">
      <alignment horizontal="right" vertical="center"/>
    </xf>
    <xf numFmtId="181" fontId="0" fillId="0" borderId="6" xfId="0" applyNumberFormat="1" applyBorder="1" applyAlignment="1">
      <alignment horizontal="left" vertical="center"/>
    </xf>
    <xf numFmtId="181" fontId="0" fillId="0" borderId="5" xfId="0" applyNumberFormat="1" applyBorder="1" applyAlignment="1">
      <alignment horizontal="left" vertical="center"/>
    </xf>
    <xf numFmtId="181" fontId="8" fillId="0" borderId="5" xfId="0" applyNumberFormat="1" applyFont="1" applyBorder="1" applyAlignment="1">
      <alignment horizontal="right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4" fillId="6" borderId="4" xfId="0" applyFont="1" applyFill="1" applyBorder="1" applyAlignment="1">
      <alignment horizontal="left" vertical="center"/>
    </xf>
    <xf numFmtId="0" fontId="14" fillId="6" borderId="6" xfId="0" applyFont="1" applyFill="1" applyBorder="1" applyAlignment="1">
      <alignment horizontal="left" vertical="center"/>
    </xf>
    <xf numFmtId="0" fontId="14" fillId="6" borderId="5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/>
    </xf>
    <xf numFmtId="0" fontId="14" fillId="4" borderId="3" xfId="0" applyFont="1" applyFill="1" applyBorder="1" applyAlignment="1">
      <alignment horizontal="center" vertical="center"/>
    </xf>
    <xf numFmtId="49" fontId="16" fillId="0" borderId="3" xfId="1" applyNumberFormat="1" applyFill="1" applyBorder="1" applyAlignment="1" applyProtection="1">
      <alignment horizontal="left" vertical="center"/>
    </xf>
    <xf numFmtId="49" fontId="10" fillId="0" borderId="3" xfId="0" applyNumberFormat="1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/>
    </xf>
    <xf numFmtId="0" fontId="0" fillId="4" borderId="3" xfId="0" applyFill="1" applyBorder="1" applyAlignment="1">
      <alignment horizontal="center" vertical="center"/>
    </xf>
    <xf numFmtId="179" fontId="0" fillId="3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79" fontId="0" fillId="2" borderId="0" xfId="0" applyNumberFormat="1" applyFill="1" applyAlignment="1">
      <alignment horizontal="right"/>
    </xf>
    <xf numFmtId="0" fontId="0" fillId="4" borderId="3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right" vertical="center"/>
    </xf>
    <xf numFmtId="0" fontId="0" fillId="4" borderId="6" xfId="0" applyFill="1" applyBorder="1" applyAlignment="1">
      <alignment horizontal="center" vertical="center"/>
    </xf>
    <xf numFmtId="49" fontId="16" fillId="2" borderId="0" xfId="1" applyNumberFormat="1" applyFill="1" applyBorder="1" applyAlignment="1" applyProtection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178" fontId="24" fillId="0" borderId="20" xfId="0" applyNumberFormat="1" applyFont="1" applyBorder="1" applyAlignment="1">
      <alignment horizontal="right" vertical="center"/>
    </xf>
    <xf numFmtId="178" fontId="24" fillId="0" borderId="21" xfId="0" applyNumberFormat="1" applyFont="1" applyBorder="1" applyAlignment="1">
      <alignment horizontal="right" vertical="center"/>
    </xf>
    <xf numFmtId="178" fontId="24" fillId="0" borderId="27" xfId="0" applyNumberFormat="1" applyFont="1" applyBorder="1" applyAlignment="1">
      <alignment horizontal="right" vertic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4" fillId="0" borderId="29" xfId="0" applyFont="1" applyBorder="1" applyAlignment="1">
      <alignment horizontal="left"/>
    </xf>
    <xf numFmtId="0" fontId="14" fillId="0" borderId="30" xfId="0" applyFont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3" xfId="0" applyBorder="1" applyAlignment="1">
      <alignment horizontal="left"/>
    </xf>
    <xf numFmtId="0" fontId="14" fillId="0" borderId="36" xfId="1" applyFont="1" applyBorder="1" applyAlignment="1" applyProtection="1">
      <alignment horizontal="left" wrapText="1"/>
    </xf>
    <xf numFmtId="0" fontId="14" fillId="0" borderId="37" xfId="1" applyFont="1" applyBorder="1" applyAlignment="1" applyProtection="1">
      <alignment horizontal="left" wrapText="1"/>
    </xf>
    <xf numFmtId="0" fontId="14" fillId="0" borderId="38" xfId="1" applyFont="1" applyBorder="1" applyAlignment="1" applyProtection="1">
      <alignment horizontal="left" wrapText="1"/>
    </xf>
    <xf numFmtId="0" fontId="0" fillId="4" borderId="23" xfId="0" applyFill="1" applyBorder="1" applyAlignment="1">
      <alignment horizontal="center" vertical="center"/>
    </xf>
    <xf numFmtId="176" fontId="25" fillId="0" borderId="4" xfId="0" applyNumberFormat="1" applyFont="1" applyBorder="1" applyAlignment="1">
      <alignment horizontal="right" vertical="center"/>
    </xf>
    <xf numFmtId="176" fontId="25" fillId="0" borderId="6" xfId="0" applyNumberFormat="1" applyFont="1" applyBorder="1" applyAlignment="1">
      <alignment horizontal="right" vertical="center"/>
    </xf>
    <xf numFmtId="176" fontId="25" fillId="0" borderId="5" xfId="0" applyNumberFormat="1" applyFont="1" applyBorder="1" applyAlignment="1">
      <alignment horizontal="right" vertical="center"/>
    </xf>
    <xf numFmtId="181" fontId="25" fillId="0" borderId="4" xfId="0" applyNumberFormat="1" applyFont="1" applyBorder="1" applyAlignment="1">
      <alignment horizontal="right" vertical="center"/>
    </xf>
    <xf numFmtId="181" fontId="25" fillId="0" borderId="6" xfId="0" applyNumberFormat="1" applyFont="1" applyBorder="1" applyAlignment="1">
      <alignment horizontal="right" vertical="center"/>
    </xf>
    <xf numFmtId="181" fontId="25" fillId="0" borderId="5" xfId="0" applyNumberFormat="1" applyFont="1" applyBorder="1" applyAlignment="1">
      <alignment horizontal="right" vertical="center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right" vertic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2" fillId="2" borderId="0" xfId="0" applyFont="1" applyFill="1" applyAlignment="1" applyProtection="1">
      <alignment horizontal="center" vertical="center"/>
      <protection hidden="1"/>
    </xf>
    <xf numFmtId="0" fontId="1" fillId="5" borderId="4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1" fillId="5" borderId="19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 wrapText="1"/>
    </xf>
    <xf numFmtId="0" fontId="10" fillId="0" borderId="0" xfId="1" applyFont="1" applyAlignment="1" applyProtection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horizontal="left"/>
    </xf>
    <xf numFmtId="176" fontId="23" fillId="0" borderId="0" xfId="0" applyNumberFormat="1" applyFont="1" applyAlignment="1">
      <alignment horizontal="right" vertical="center"/>
    </xf>
    <xf numFmtId="176" fontId="23" fillId="0" borderId="18" xfId="0" applyNumberFormat="1" applyFont="1" applyBorder="1" applyAlignment="1">
      <alignment horizontal="right" vertical="center"/>
    </xf>
    <xf numFmtId="0" fontId="17" fillId="0" borderId="0" xfId="0" applyFont="1" applyAlignment="1">
      <alignment horizontal="center"/>
    </xf>
    <xf numFmtId="49" fontId="9" fillId="0" borderId="0" xfId="0" applyNumberFormat="1" applyFont="1" applyAlignment="1">
      <alignment horizontal="left" vertical="center" wrapText="1"/>
    </xf>
    <xf numFmtId="49" fontId="9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81" fontId="10" fillId="0" borderId="23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5" xfId="0" applyNumberFormat="1" applyFont="1" applyBorder="1" applyAlignment="1">
      <alignment horizontal="left" vertical="center" wrapText="1"/>
    </xf>
    <xf numFmtId="0" fontId="0" fillId="7" borderId="26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176" fontId="4" fillId="0" borderId="34" xfId="0" applyNumberFormat="1" applyFont="1" applyBorder="1" applyAlignment="1">
      <alignment horizontal="right" vertical="center"/>
    </xf>
    <xf numFmtId="176" fontId="4" fillId="0" borderId="18" xfId="0" applyNumberFormat="1" applyFont="1" applyBorder="1" applyAlignment="1">
      <alignment horizontal="right" vertical="center"/>
    </xf>
    <xf numFmtId="0" fontId="1" fillId="0" borderId="34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 wrapText="1"/>
    </xf>
    <xf numFmtId="181" fontId="16" fillId="0" borderId="3" xfId="1" applyNumberFormat="1" applyFill="1" applyBorder="1" applyAlignment="1" applyProtection="1">
      <alignment horizontal="left" vertical="center"/>
    </xf>
    <xf numFmtId="181" fontId="10" fillId="0" borderId="3" xfId="0" applyNumberFormat="1" applyFont="1" applyBorder="1" applyAlignment="1">
      <alignment horizontal="left" vertical="center"/>
    </xf>
    <xf numFmtId="181" fontId="0" fillId="0" borderId="23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9" fillId="0" borderId="4" xfId="0" applyNumberFormat="1" applyFont="1" applyBorder="1" applyAlignment="1">
      <alignment horizontal="left" vertical="center" wrapText="1"/>
    </xf>
    <xf numFmtId="181" fontId="9" fillId="0" borderId="6" xfId="0" applyNumberFormat="1" applyFont="1" applyBorder="1" applyAlignment="1">
      <alignment horizontal="left" vertical="center" wrapText="1"/>
    </xf>
    <xf numFmtId="181" fontId="9" fillId="0" borderId="19" xfId="0" applyNumberFormat="1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110</xdr:row>
          <xdr:rowOff>66675</xdr:rowOff>
        </xdr:from>
        <xdr:to>
          <xdr:col>82</xdr:col>
          <xdr:colOff>57150</xdr:colOff>
          <xdr:row>111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412</xdr:row>
          <xdr:rowOff>104775</xdr:rowOff>
        </xdr:from>
        <xdr:to>
          <xdr:col>156</xdr:col>
          <xdr:colOff>38100</xdr:colOff>
          <xdr:row>413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415</xdr:row>
          <xdr:rowOff>104775</xdr:rowOff>
        </xdr:from>
        <xdr:to>
          <xdr:col>156</xdr:col>
          <xdr:colOff>38100</xdr:colOff>
          <xdr:row>416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414</xdr:row>
          <xdr:rowOff>19050</xdr:rowOff>
        </xdr:from>
        <xdr:to>
          <xdr:col>156</xdr:col>
          <xdr:colOff>38100</xdr:colOff>
          <xdr:row>415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411</xdr:row>
          <xdr:rowOff>0</xdr:rowOff>
        </xdr:from>
        <xdr:to>
          <xdr:col>156</xdr:col>
          <xdr:colOff>38100</xdr:colOff>
          <xdr:row>412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110</xdr:row>
          <xdr:rowOff>66675</xdr:rowOff>
        </xdr:from>
        <xdr:to>
          <xdr:col>88</xdr:col>
          <xdr:colOff>133350</xdr:colOff>
          <xdr:row>111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130</xdr:row>
          <xdr:rowOff>9525</xdr:rowOff>
        </xdr:from>
        <xdr:to>
          <xdr:col>115</xdr:col>
          <xdr:colOff>447675</xdr:colOff>
          <xdr:row>130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131</xdr:row>
          <xdr:rowOff>19050</xdr:rowOff>
        </xdr:from>
        <xdr:to>
          <xdr:col>115</xdr:col>
          <xdr:colOff>447675</xdr:colOff>
          <xdr:row>132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110</xdr:row>
          <xdr:rowOff>57150</xdr:rowOff>
        </xdr:from>
        <xdr:to>
          <xdr:col>91</xdr:col>
          <xdr:colOff>142875</xdr:colOff>
          <xdr:row>111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110</xdr:row>
          <xdr:rowOff>57150</xdr:rowOff>
        </xdr:from>
        <xdr:to>
          <xdr:col>97</xdr:col>
          <xdr:colOff>85725</xdr:colOff>
          <xdr:row>111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53976</xdr:colOff>
      <xdr:row>7</xdr:row>
      <xdr:rowOff>53975</xdr:rowOff>
    </xdr:from>
    <xdr:to>
      <xdr:col>43</xdr:col>
      <xdr:colOff>157799</xdr:colOff>
      <xdr:row>9</xdr:row>
      <xdr:rowOff>367348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1901" y="1387475"/>
          <a:ext cx="694373" cy="694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66675</xdr:rowOff>
    </xdr:from>
    <xdr:to>
      <xdr:col>43</xdr:col>
      <xdr:colOff>102265</xdr:colOff>
      <xdr:row>10</xdr:row>
      <xdr:rowOff>38101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05325" y="1781175"/>
          <a:ext cx="2445415" cy="371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4265901F-FDF7-4477-9993-9131A2CBC2DC}"/>
            </a:ext>
          </a:extLst>
        </xdr:cNvPr>
        <xdr:cNvSpPr>
          <a:spLocks noChangeArrowheads="1"/>
        </xdr:cNvSpPr>
      </xdr:nvSpPr>
      <xdr:spPr bwMode="auto">
        <a:xfrm>
          <a:off x="4486275" y="1533525"/>
          <a:ext cx="27051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69B74BF1-7DE5-4C94-B645-6AF61BDAA0E2}"/>
            </a:ext>
          </a:extLst>
        </xdr:cNvPr>
        <xdr:cNvSpPr>
          <a:spLocks noChangeArrowheads="1"/>
        </xdr:cNvSpPr>
      </xdr:nvSpPr>
      <xdr:spPr bwMode="auto">
        <a:xfrm>
          <a:off x="4829176" y="1778000"/>
          <a:ext cx="159067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9AAD6637-7A30-4F2B-8132-51756357AF4B}"/>
            </a:ext>
          </a:extLst>
        </xdr:cNvPr>
        <xdr:cNvSpPr>
          <a:spLocks noChangeArrowheads="1"/>
        </xdr:cNvSpPr>
      </xdr:nvSpPr>
      <xdr:spPr bwMode="auto">
        <a:xfrm>
          <a:off x="4476750" y="1962150"/>
          <a:ext cx="27146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D354AFC5-345C-4934-8B8C-C8EEFED90960}"/>
            </a:ext>
          </a:extLst>
        </xdr:cNvPr>
        <xdr:cNvSpPr>
          <a:spLocks noChangeArrowheads="1"/>
        </xdr:cNvSpPr>
      </xdr:nvSpPr>
      <xdr:spPr bwMode="auto">
        <a:xfrm>
          <a:off x="4486275" y="2143125"/>
          <a:ext cx="27051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110</xdr:row>
          <xdr:rowOff>66675</xdr:rowOff>
        </xdr:from>
        <xdr:to>
          <xdr:col>82</xdr:col>
          <xdr:colOff>57150</xdr:colOff>
          <xdr:row>111</xdr:row>
          <xdr:rowOff>95250</xdr:rowOff>
        </xdr:to>
        <xdr:sp macro="" textlink="">
          <xdr:nvSpPr>
            <xdr:cNvPr id="15361" name="詳細無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412</xdr:row>
          <xdr:rowOff>104775</xdr:rowOff>
        </xdr:from>
        <xdr:to>
          <xdr:col>156</xdr:col>
          <xdr:colOff>38100</xdr:colOff>
          <xdr:row>413</xdr:row>
          <xdr:rowOff>133350</xdr:rowOff>
        </xdr:to>
        <xdr:sp macro="" textlink="">
          <xdr:nvSpPr>
            <xdr:cNvPr id="15362" name="データ更新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415</xdr:row>
          <xdr:rowOff>104775</xdr:rowOff>
        </xdr:from>
        <xdr:to>
          <xdr:col>156</xdr:col>
          <xdr:colOff>38100</xdr:colOff>
          <xdr:row>416</xdr:row>
          <xdr:rowOff>133350</xdr:rowOff>
        </xdr:to>
        <xdr:sp macro="" textlink="">
          <xdr:nvSpPr>
            <xdr:cNvPr id="15363" name="戻る2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414</xdr:row>
          <xdr:rowOff>19050</xdr:rowOff>
        </xdr:from>
        <xdr:to>
          <xdr:col>156</xdr:col>
          <xdr:colOff>38100</xdr:colOff>
          <xdr:row>415</xdr:row>
          <xdr:rowOff>47625</xdr:rowOff>
        </xdr:to>
        <xdr:sp macro="" textlink="">
          <xdr:nvSpPr>
            <xdr:cNvPr id="15364" name="環境設定2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411</xdr:row>
          <xdr:rowOff>0</xdr:rowOff>
        </xdr:from>
        <xdr:to>
          <xdr:col>156</xdr:col>
          <xdr:colOff>38100</xdr:colOff>
          <xdr:row>412</xdr:row>
          <xdr:rowOff>28575</xdr:rowOff>
        </xdr:to>
        <xdr:sp macro="" textlink="">
          <xdr:nvSpPr>
            <xdr:cNvPr id="15365" name="再選択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110</xdr:row>
          <xdr:rowOff>66675</xdr:rowOff>
        </xdr:from>
        <xdr:to>
          <xdr:col>88</xdr:col>
          <xdr:colOff>133350</xdr:colOff>
          <xdr:row>111</xdr:row>
          <xdr:rowOff>95250</xdr:rowOff>
        </xdr:to>
        <xdr:sp macro="" textlink="">
          <xdr:nvSpPr>
            <xdr:cNvPr id="15366" name="詳細無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130</xdr:row>
          <xdr:rowOff>9525</xdr:rowOff>
        </xdr:from>
        <xdr:to>
          <xdr:col>115</xdr:col>
          <xdr:colOff>447675</xdr:colOff>
          <xdr:row>130</xdr:row>
          <xdr:rowOff>180975</xdr:rowOff>
        </xdr:to>
        <xdr:sp macro="" textlink="">
          <xdr:nvSpPr>
            <xdr:cNvPr id="15367" name="参照1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131</xdr:row>
          <xdr:rowOff>19050</xdr:rowOff>
        </xdr:from>
        <xdr:to>
          <xdr:col>115</xdr:col>
          <xdr:colOff>447675</xdr:colOff>
          <xdr:row>132</xdr:row>
          <xdr:rowOff>0</xdr:rowOff>
        </xdr:to>
        <xdr:sp macro="" textlink="">
          <xdr:nvSpPr>
            <xdr:cNvPr id="15368" name="参照2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110</xdr:row>
          <xdr:rowOff>57150</xdr:rowOff>
        </xdr:from>
        <xdr:to>
          <xdr:col>91</xdr:col>
          <xdr:colOff>142875</xdr:colOff>
          <xdr:row>111</xdr:row>
          <xdr:rowOff>85725</xdr:rowOff>
        </xdr:to>
        <xdr:sp macro="" textlink="">
          <xdr:nvSpPr>
            <xdr:cNvPr id="15369" name="入力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110</xdr:row>
          <xdr:rowOff>57150</xdr:rowOff>
        </xdr:from>
        <xdr:to>
          <xdr:col>97</xdr:col>
          <xdr:colOff>85725</xdr:colOff>
          <xdr:row>111</xdr:row>
          <xdr:rowOff>85725</xdr:rowOff>
        </xdr:to>
        <xdr:sp macro="" textlink="">
          <xdr:nvSpPr>
            <xdr:cNvPr id="15370" name="入力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CE91DB10-EC7F-4C97-80E9-42E77D71B46C}"/>
            </a:ext>
          </a:extLst>
        </xdr:cNvPr>
        <xdr:cNvSpPr>
          <a:spLocks noChangeArrowheads="1"/>
        </xdr:cNvSpPr>
      </xdr:nvSpPr>
      <xdr:spPr bwMode="auto">
        <a:xfrm>
          <a:off x="4438650" y="1276350"/>
          <a:ext cx="27146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53976</xdr:colOff>
      <xdr:row>7</xdr:row>
      <xdr:rowOff>53975</xdr:rowOff>
    </xdr:from>
    <xdr:to>
      <xdr:col>43</xdr:col>
      <xdr:colOff>157799</xdr:colOff>
      <xdr:row>9</xdr:row>
      <xdr:rowOff>367348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61958BE6-2668-4578-93C9-EFC53D21F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1901" y="1387475"/>
          <a:ext cx="694373" cy="694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486415B0-6273-490F-AD1F-06ABAB197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3257550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66675</xdr:rowOff>
    </xdr:from>
    <xdr:to>
      <xdr:col>43</xdr:col>
      <xdr:colOff>102265</xdr:colOff>
      <xdr:row>10</xdr:row>
      <xdr:rowOff>38101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3C2A11D-8DA3-4744-8892-91DBA9E51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05325" y="1781175"/>
          <a:ext cx="2445415" cy="3714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2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2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2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2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2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2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2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2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2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2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2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2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2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2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2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2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2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2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2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2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2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2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2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2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2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2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2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2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2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2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2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2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3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3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3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3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3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3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3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3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3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3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3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3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3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3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3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3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3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3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3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3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3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3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3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3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3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3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3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3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3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3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3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3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4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4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4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4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4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4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4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4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4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4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4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4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4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4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4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4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4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4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4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4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4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4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4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4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4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4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4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4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4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4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5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5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5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5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42</xdr:col>
          <xdr:colOff>152400</xdr:colOff>
          <xdr:row>1</xdr:row>
          <xdr:rowOff>142875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5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5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5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0</xdr:col>
          <xdr:colOff>476250</xdr:colOff>
          <xdr:row>8</xdr:row>
          <xdr:rowOff>295275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0</xdr:col>
          <xdr:colOff>476250</xdr:colOff>
          <xdr:row>9</xdr:row>
          <xdr:rowOff>314325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5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0</xdr:col>
          <xdr:colOff>476250</xdr:colOff>
          <xdr:row>11</xdr:row>
          <xdr:rowOff>314325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5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0</xdr:col>
          <xdr:colOff>476250</xdr:colOff>
          <xdr:row>12</xdr:row>
          <xdr:rowOff>314325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5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5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0</xdr:col>
          <xdr:colOff>476250</xdr:colOff>
          <xdr:row>14</xdr:row>
          <xdr:rowOff>295275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5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0</xdr:col>
          <xdr:colOff>476250</xdr:colOff>
          <xdr:row>15</xdr:row>
          <xdr:rowOff>333375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5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0</xdr:col>
          <xdr:colOff>476250</xdr:colOff>
          <xdr:row>16</xdr:row>
          <xdr:rowOff>314325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5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5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0</xdr:col>
          <xdr:colOff>476250</xdr:colOff>
          <xdr:row>18</xdr:row>
          <xdr:rowOff>314325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5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5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5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5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0</xdr:col>
          <xdr:colOff>476250</xdr:colOff>
          <xdr:row>22</xdr:row>
          <xdr:rowOff>314325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5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5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5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5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0</xdr:col>
          <xdr:colOff>476250</xdr:colOff>
          <xdr:row>26</xdr:row>
          <xdr:rowOff>295275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5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5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5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0</xdr:col>
          <xdr:colOff>476250</xdr:colOff>
          <xdr:row>5</xdr:row>
          <xdr:rowOff>142875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5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5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5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5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5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13" Type="http://schemas.openxmlformats.org/officeDocument/2006/relationships/ctrlProp" Target="../ctrlProps/ctrlProp2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4.xml"/><Relationship Id="rId12" Type="http://schemas.openxmlformats.org/officeDocument/2006/relationships/ctrlProp" Target="../ctrlProps/ctrlProp1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3.xml"/><Relationship Id="rId11" Type="http://schemas.openxmlformats.org/officeDocument/2006/relationships/ctrlProp" Target="../ctrlProps/ctrlProp18.xml"/><Relationship Id="rId5" Type="http://schemas.openxmlformats.org/officeDocument/2006/relationships/ctrlProp" Target="../ctrlProps/ctrlProp12.xml"/><Relationship Id="rId10" Type="http://schemas.openxmlformats.org/officeDocument/2006/relationships/ctrlProp" Target="../ctrlProps/ctrlProp17.xml"/><Relationship Id="rId4" Type="http://schemas.openxmlformats.org/officeDocument/2006/relationships/ctrlProp" Target="../ctrlProps/ctrlProp11.xml"/><Relationship Id="rId9" Type="http://schemas.openxmlformats.org/officeDocument/2006/relationships/ctrlProp" Target="../ctrlProps/ctrlProp16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30.xml"/><Relationship Id="rId18" Type="http://schemas.openxmlformats.org/officeDocument/2006/relationships/ctrlProp" Target="../ctrlProps/ctrlProp35.xml"/><Relationship Id="rId26" Type="http://schemas.openxmlformats.org/officeDocument/2006/relationships/ctrlProp" Target="../ctrlProps/ctrlProp43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38.xml"/><Relationship Id="rId34" Type="http://schemas.openxmlformats.org/officeDocument/2006/relationships/ctrlProp" Target="../ctrlProps/ctrlProp51.xml"/><Relationship Id="rId7" Type="http://schemas.openxmlformats.org/officeDocument/2006/relationships/ctrlProp" Target="../ctrlProps/ctrlProp24.xml"/><Relationship Id="rId12" Type="http://schemas.openxmlformats.org/officeDocument/2006/relationships/ctrlProp" Target="../ctrlProps/ctrlProp29.xml"/><Relationship Id="rId17" Type="http://schemas.openxmlformats.org/officeDocument/2006/relationships/ctrlProp" Target="../ctrlProps/ctrlProp34.xml"/><Relationship Id="rId25" Type="http://schemas.openxmlformats.org/officeDocument/2006/relationships/ctrlProp" Target="../ctrlProps/ctrlProp42.xml"/><Relationship Id="rId33" Type="http://schemas.openxmlformats.org/officeDocument/2006/relationships/ctrlProp" Target="../ctrlProps/ctrlProp50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33.xml"/><Relationship Id="rId20" Type="http://schemas.openxmlformats.org/officeDocument/2006/relationships/ctrlProp" Target="../ctrlProps/ctrlProp37.xml"/><Relationship Id="rId29" Type="http://schemas.openxmlformats.org/officeDocument/2006/relationships/ctrlProp" Target="../ctrlProps/ctrlProp46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3.xml"/><Relationship Id="rId11" Type="http://schemas.openxmlformats.org/officeDocument/2006/relationships/ctrlProp" Target="../ctrlProps/ctrlProp28.xml"/><Relationship Id="rId24" Type="http://schemas.openxmlformats.org/officeDocument/2006/relationships/ctrlProp" Target="../ctrlProps/ctrlProp41.xml"/><Relationship Id="rId32" Type="http://schemas.openxmlformats.org/officeDocument/2006/relationships/ctrlProp" Target="../ctrlProps/ctrlProp49.xml"/><Relationship Id="rId5" Type="http://schemas.openxmlformats.org/officeDocument/2006/relationships/ctrlProp" Target="../ctrlProps/ctrlProp22.xml"/><Relationship Id="rId15" Type="http://schemas.openxmlformats.org/officeDocument/2006/relationships/ctrlProp" Target="../ctrlProps/ctrlProp32.xml"/><Relationship Id="rId23" Type="http://schemas.openxmlformats.org/officeDocument/2006/relationships/ctrlProp" Target="../ctrlProps/ctrlProp40.xml"/><Relationship Id="rId28" Type="http://schemas.openxmlformats.org/officeDocument/2006/relationships/ctrlProp" Target="../ctrlProps/ctrlProp45.xml"/><Relationship Id="rId36" Type="http://schemas.openxmlformats.org/officeDocument/2006/relationships/ctrlProp" Target="../ctrlProps/ctrlProp53.xml"/><Relationship Id="rId10" Type="http://schemas.openxmlformats.org/officeDocument/2006/relationships/ctrlProp" Target="../ctrlProps/ctrlProp27.xml"/><Relationship Id="rId19" Type="http://schemas.openxmlformats.org/officeDocument/2006/relationships/ctrlProp" Target="../ctrlProps/ctrlProp36.xml"/><Relationship Id="rId31" Type="http://schemas.openxmlformats.org/officeDocument/2006/relationships/ctrlProp" Target="../ctrlProps/ctrlProp48.xml"/><Relationship Id="rId4" Type="http://schemas.openxmlformats.org/officeDocument/2006/relationships/ctrlProp" Target="../ctrlProps/ctrlProp21.xml"/><Relationship Id="rId9" Type="http://schemas.openxmlformats.org/officeDocument/2006/relationships/ctrlProp" Target="../ctrlProps/ctrlProp26.xml"/><Relationship Id="rId14" Type="http://schemas.openxmlformats.org/officeDocument/2006/relationships/ctrlProp" Target="../ctrlProps/ctrlProp31.xml"/><Relationship Id="rId22" Type="http://schemas.openxmlformats.org/officeDocument/2006/relationships/ctrlProp" Target="../ctrlProps/ctrlProp39.xml"/><Relationship Id="rId27" Type="http://schemas.openxmlformats.org/officeDocument/2006/relationships/ctrlProp" Target="../ctrlProps/ctrlProp44.xml"/><Relationship Id="rId30" Type="http://schemas.openxmlformats.org/officeDocument/2006/relationships/ctrlProp" Target="../ctrlProps/ctrlProp47.xml"/><Relationship Id="rId35" Type="http://schemas.openxmlformats.org/officeDocument/2006/relationships/ctrlProp" Target="../ctrlProps/ctrlProp52.xml"/><Relationship Id="rId8" Type="http://schemas.openxmlformats.org/officeDocument/2006/relationships/ctrlProp" Target="../ctrlProps/ctrlProp25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63.xml"/><Relationship Id="rId18" Type="http://schemas.openxmlformats.org/officeDocument/2006/relationships/ctrlProp" Target="../ctrlProps/ctrlProp68.xml"/><Relationship Id="rId26" Type="http://schemas.openxmlformats.org/officeDocument/2006/relationships/ctrlProp" Target="../ctrlProps/ctrlProp76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71.xml"/><Relationship Id="rId34" Type="http://schemas.openxmlformats.org/officeDocument/2006/relationships/ctrlProp" Target="../ctrlProps/ctrlProp84.xml"/><Relationship Id="rId7" Type="http://schemas.openxmlformats.org/officeDocument/2006/relationships/ctrlProp" Target="../ctrlProps/ctrlProp57.xml"/><Relationship Id="rId12" Type="http://schemas.openxmlformats.org/officeDocument/2006/relationships/ctrlProp" Target="../ctrlProps/ctrlProp62.xml"/><Relationship Id="rId17" Type="http://schemas.openxmlformats.org/officeDocument/2006/relationships/ctrlProp" Target="../ctrlProps/ctrlProp67.xml"/><Relationship Id="rId25" Type="http://schemas.openxmlformats.org/officeDocument/2006/relationships/ctrlProp" Target="../ctrlProps/ctrlProp75.xml"/><Relationship Id="rId33" Type="http://schemas.openxmlformats.org/officeDocument/2006/relationships/ctrlProp" Target="../ctrlProps/ctrlProp83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66.xml"/><Relationship Id="rId20" Type="http://schemas.openxmlformats.org/officeDocument/2006/relationships/ctrlProp" Target="../ctrlProps/ctrlProp70.xml"/><Relationship Id="rId29" Type="http://schemas.openxmlformats.org/officeDocument/2006/relationships/ctrlProp" Target="../ctrlProps/ctrlProp79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56.xml"/><Relationship Id="rId11" Type="http://schemas.openxmlformats.org/officeDocument/2006/relationships/ctrlProp" Target="../ctrlProps/ctrlProp61.xml"/><Relationship Id="rId24" Type="http://schemas.openxmlformats.org/officeDocument/2006/relationships/ctrlProp" Target="../ctrlProps/ctrlProp74.xml"/><Relationship Id="rId32" Type="http://schemas.openxmlformats.org/officeDocument/2006/relationships/ctrlProp" Target="../ctrlProps/ctrlProp82.xml"/><Relationship Id="rId5" Type="http://schemas.openxmlformats.org/officeDocument/2006/relationships/ctrlProp" Target="../ctrlProps/ctrlProp55.xml"/><Relationship Id="rId15" Type="http://schemas.openxmlformats.org/officeDocument/2006/relationships/ctrlProp" Target="../ctrlProps/ctrlProp65.xml"/><Relationship Id="rId23" Type="http://schemas.openxmlformats.org/officeDocument/2006/relationships/ctrlProp" Target="../ctrlProps/ctrlProp73.xml"/><Relationship Id="rId28" Type="http://schemas.openxmlformats.org/officeDocument/2006/relationships/ctrlProp" Target="../ctrlProps/ctrlProp78.xml"/><Relationship Id="rId36" Type="http://schemas.openxmlformats.org/officeDocument/2006/relationships/ctrlProp" Target="../ctrlProps/ctrlProp86.xml"/><Relationship Id="rId10" Type="http://schemas.openxmlformats.org/officeDocument/2006/relationships/ctrlProp" Target="../ctrlProps/ctrlProp60.xml"/><Relationship Id="rId19" Type="http://schemas.openxmlformats.org/officeDocument/2006/relationships/ctrlProp" Target="../ctrlProps/ctrlProp69.xml"/><Relationship Id="rId31" Type="http://schemas.openxmlformats.org/officeDocument/2006/relationships/ctrlProp" Target="../ctrlProps/ctrlProp81.xml"/><Relationship Id="rId4" Type="http://schemas.openxmlformats.org/officeDocument/2006/relationships/ctrlProp" Target="../ctrlProps/ctrlProp54.xml"/><Relationship Id="rId9" Type="http://schemas.openxmlformats.org/officeDocument/2006/relationships/ctrlProp" Target="../ctrlProps/ctrlProp59.xml"/><Relationship Id="rId14" Type="http://schemas.openxmlformats.org/officeDocument/2006/relationships/ctrlProp" Target="../ctrlProps/ctrlProp64.xml"/><Relationship Id="rId22" Type="http://schemas.openxmlformats.org/officeDocument/2006/relationships/ctrlProp" Target="../ctrlProps/ctrlProp72.xml"/><Relationship Id="rId27" Type="http://schemas.openxmlformats.org/officeDocument/2006/relationships/ctrlProp" Target="../ctrlProps/ctrlProp77.xml"/><Relationship Id="rId30" Type="http://schemas.openxmlformats.org/officeDocument/2006/relationships/ctrlProp" Target="../ctrlProps/ctrlProp80.xml"/><Relationship Id="rId35" Type="http://schemas.openxmlformats.org/officeDocument/2006/relationships/ctrlProp" Target="../ctrlProps/ctrlProp85.xml"/><Relationship Id="rId8" Type="http://schemas.openxmlformats.org/officeDocument/2006/relationships/ctrlProp" Target="../ctrlProps/ctrlProp58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96.xml"/><Relationship Id="rId18" Type="http://schemas.openxmlformats.org/officeDocument/2006/relationships/ctrlProp" Target="../ctrlProps/ctrlProp101.xml"/><Relationship Id="rId26" Type="http://schemas.openxmlformats.org/officeDocument/2006/relationships/ctrlProp" Target="../ctrlProps/ctrlProp109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04.xml"/><Relationship Id="rId34" Type="http://schemas.openxmlformats.org/officeDocument/2006/relationships/ctrlProp" Target="../ctrlProps/ctrlProp117.xml"/><Relationship Id="rId7" Type="http://schemas.openxmlformats.org/officeDocument/2006/relationships/ctrlProp" Target="../ctrlProps/ctrlProp90.xml"/><Relationship Id="rId12" Type="http://schemas.openxmlformats.org/officeDocument/2006/relationships/ctrlProp" Target="../ctrlProps/ctrlProp95.xml"/><Relationship Id="rId17" Type="http://schemas.openxmlformats.org/officeDocument/2006/relationships/ctrlProp" Target="../ctrlProps/ctrlProp100.xml"/><Relationship Id="rId25" Type="http://schemas.openxmlformats.org/officeDocument/2006/relationships/ctrlProp" Target="../ctrlProps/ctrlProp108.xml"/><Relationship Id="rId33" Type="http://schemas.openxmlformats.org/officeDocument/2006/relationships/ctrlProp" Target="../ctrlProps/ctrlProp116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99.xml"/><Relationship Id="rId20" Type="http://schemas.openxmlformats.org/officeDocument/2006/relationships/ctrlProp" Target="../ctrlProps/ctrlProp103.xml"/><Relationship Id="rId29" Type="http://schemas.openxmlformats.org/officeDocument/2006/relationships/ctrlProp" Target="../ctrlProps/ctrlProp112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89.xml"/><Relationship Id="rId11" Type="http://schemas.openxmlformats.org/officeDocument/2006/relationships/ctrlProp" Target="../ctrlProps/ctrlProp94.xml"/><Relationship Id="rId24" Type="http://schemas.openxmlformats.org/officeDocument/2006/relationships/ctrlProp" Target="../ctrlProps/ctrlProp107.xml"/><Relationship Id="rId32" Type="http://schemas.openxmlformats.org/officeDocument/2006/relationships/ctrlProp" Target="../ctrlProps/ctrlProp115.xml"/><Relationship Id="rId5" Type="http://schemas.openxmlformats.org/officeDocument/2006/relationships/ctrlProp" Target="../ctrlProps/ctrlProp88.xml"/><Relationship Id="rId15" Type="http://schemas.openxmlformats.org/officeDocument/2006/relationships/ctrlProp" Target="../ctrlProps/ctrlProp98.xml"/><Relationship Id="rId23" Type="http://schemas.openxmlformats.org/officeDocument/2006/relationships/ctrlProp" Target="../ctrlProps/ctrlProp106.xml"/><Relationship Id="rId28" Type="http://schemas.openxmlformats.org/officeDocument/2006/relationships/ctrlProp" Target="../ctrlProps/ctrlProp111.xml"/><Relationship Id="rId36" Type="http://schemas.openxmlformats.org/officeDocument/2006/relationships/ctrlProp" Target="../ctrlProps/ctrlProp119.xml"/><Relationship Id="rId10" Type="http://schemas.openxmlformats.org/officeDocument/2006/relationships/ctrlProp" Target="../ctrlProps/ctrlProp93.xml"/><Relationship Id="rId19" Type="http://schemas.openxmlformats.org/officeDocument/2006/relationships/ctrlProp" Target="../ctrlProps/ctrlProp102.xml"/><Relationship Id="rId31" Type="http://schemas.openxmlformats.org/officeDocument/2006/relationships/ctrlProp" Target="../ctrlProps/ctrlProp114.xml"/><Relationship Id="rId4" Type="http://schemas.openxmlformats.org/officeDocument/2006/relationships/ctrlProp" Target="../ctrlProps/ctrlProp87.xml"/><Relationship Id="rId9" Type="http://schemas.openxmlformats.org/officeDocument/2006/relationships/ctrlProp" Target="../ctrlProps/ctrlProp92.xml"/><Relationship Id="rId14" Type="http://schemas.openxmlformats.org/officeDocument/2006/relationships/ctrlProp" Target="../ctrlProps/ctrlProp97.xml"/><Relationship Id="rId22" Type="http://schemas.openxmlformats.org/officeDocument/2006/relationships/ctrlProp" Target="../ctrlProps/ctrlProp105.xml"/><Relationship Id="rId27" Type="http://schemas.openxmlformats.org/officeDocument/2006/relationships/ctrlProp" Target="../ctrlProps/ctrlProp110.xml"/><Relationship Id="rId30" Type="http://schemas.openxmlformats.org/officeDocument/2006/relationships/ctrlProp" Target="../ctrlProps/ctrlProp113.xml"/><Relationship Id="rId35" Type="http://schemas.openxmlformats.org/officeDocument/2006/relationships/ctrlProp" Target="../ctrlProps/ctrlProp118.xml"/><Relationship Id="rId8" Type="http://schemas.openxmlformats.org/officeDocument/2006/relationships/ctrlProp" Target="../ctrlProps/ctrlProp91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9.xml"/><Relationship Id="rId18" Type="http://schemas.openxmlformats.org/officeDocument/2006/relationships/ctrlProp" Target="../ctrlProps/ctrlProp134.xml"/><Relationship Id="rId26" Type="http://schemas.openxmlformats.org/officeDocument/2006/relationships/ctrlProp" Target="../ctrlProps/ctrlProp142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137.xml"/><Relationship Id="rId34" Type="http://schemas.openxmlformats.org/officeDocument/2006/relationships/ctrlProp" Target="../ctrlProps/ctrlProp150.xml"/><Relationship Id="rId7" Type="http://schemas.openxmlformats.org/officeDocument/2006/relationships/ctrlProp" Target="../ctrlProps/ctrlProp123.xml"/><Relationship Id="rId12" Type="http://schemas.openxmlformats.org/officeDocument/2006/relationships/ctrlProp" Target="../ctrlProps/ctrlProp128.xml"/><Relationship Id="rId17" Type="http://schemas.openxmlformats.org/officeDocument/2006/relationships/ctrlProp" Target="../ctrlProps/ctrlProp133.xml"/><Relationship Id="rId25" Type="http://schemas.openxmlformats.org/officeDocument/2006/relationships/ctrlProp" Target="../ctrlProps/ctrlProp141.xml"/><Relationship Id="rId33" Type="http://schemas.openxmlformats.org/officeDocument/2006/relationships/ctrlProp" Target="../ctrlProps/ctrlProp149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132.xml"/><Relationship Id="rId20" Type="http://schemas.openxmlformats.org/officeDocument/2006/relationships/ctrlProp" Target="../ctrlProps/ctrlProp136.xml"/><Relationship Id="rId29" Type="http://schemas.openxmlformats.org/officeDocument/2006/relationships/ctrlProp" Target="../ctrlProps/ctrlProp145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22.xml"/><Relationship Id="rId11" Type="http://schemas.openxmlformats.org/officeDocument/2006/relationships/ctrlProp" Target="../ctrlProps/ctrlProp127.xml"/><Relationship Id="rId24" Type="http://schemas.openxmlformats.org/officeDocument/2006/relationships/ctrlProp" Target="../ctrlProps/ctrlProp140.xml"/><Relationship Id="rId32" Type="http://schemas.openxmlformats.org/officeDocument/2006/relationships/ctrlProp" Target="../ctrlProps/ctrlProp148.xml"/><Relationship Id="rId5" Type="http://schemas.openxmlformats.org/officeDocument/2006/relationships/ctrlProp" Target="../ctrlProps/ctrlProp121.xml"/><Relationship Id="rId15" Type="http://schemas.openxmlformats.org/officeDocument/2006/relationships/ctrlProp" Target="../ctrlProps/ctrlProp131.xml"/><Relationship Id="rId23" Type="http://schemas.openxmlformats.org/officeDocument/2006/relationships/ctrlProp" Target="../ctrlProps/ctrlProp139.xml"/><Relationship Id="rId28" Type="http://schemas.openxmlformats.org/officeDocument/2006/relationships/ctrlProp" Target="../ctrlProps/ctrlProp144.xml"/><Relationship Id="rId36" Type="http://schemas.openxmlformats.org/officeDocument/2006/relationships/ctrlProp" Target="../ctrlProps/ctrlProp152.xml"/><Relationship Id="rId10" Type="http://schemas.openxmlformats.org/officeDocument/2006/relationships/ctrlProp" Target="../ctrlProps/ctrlProp126.xml"/><Relationship Id="rId19" Type="http://schemas.openxmlformats.org/officeDocument/2006/relationships/ctrlProp" Target="../ctrlProps/ctrlProp135.xml"/><Relationship Id="rId31" Type="http://schemas.openxmlformats.org/officeDocument/2006/relationships/ctrlProp" Target="../ctrlProps/ctrlProp147.xml"/><Relationship Id="rId4" Type="http://schemas.openxmlformats.org/officeDocument/2006/relationships/ctrlProp" Target="../ctrlProps/ctrlProp120.xml"/><Relationship Id="rId9" Type="http://schemas.openxmlformats.org/officeDocument/2006/relationships/ctrlProp" Target="../ctrlProps/ctrlProp125.xml"/><Relationship Id="rId14" Type="http://schemas.openxmlformats.org/officeDocument/2006/relationships/ctrlProp" Target="../ctrlProps/ctrlProp130.xml"/><Relationship Id="rId22" Type="http://schemas.openxmlformats.org/officeDocument/2006/relationships/ctrlProp" Target="../ctrlProps/ctrlProp138.xml"/><Relationship Id="rId27" Type="http://schemas.openxmlformats.org/officeDocument/2006/relationships/ctrlProp" Target="../ctrlProps/ctrlProp143.xml"/><Relationship Id="rId30" Type="http://schemas.openxmlformats.org/officeDocument/2006/relationships/ctrlProp" Target="../ctrlProps/ctrlProp146.xml"/><Relationship Id="rId35" Type="http://schemas.openxmlformats.org/officeDocument/2006/relationships/ctrlProp" Target="../ctrlProps/ctrlProp151.xml"/><Relationship Id="rId8" Type="http://schemas.openxmlformats.org/officeDocument/2006/relationships/ctrlProp" Target="../ctrlProps/ctrlProp1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54"/>
  <sheetViews>
    <sheetView showGridLines="0" showRowColHeaders="0" tabSelected="1" topLeftCell="A11" workbookViewId="0">
      <selection activeCell="BK11" sqref="BK11"/>
    </sheetView>
  </sheetViews>
  <sheetFormatPr defaultColWidth="2.125" defaultRowHeight="15" customHeight="1" x14ac:dyDescent="0.15"/>
  <cols>
    <col min="2" max="19" width="2.625" customWidth="1"/>
    <col min="20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375" customWidth="1"/>
    <col min="36" max="36" width="1.375" customWidth="1"/>
    <col min="37" max="37" width="1.625" customWidth="1"/>
    <col min="38" max="38" width="2.37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37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1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1"/>
      <c r="E2" s="3"/>
      <c r="F2" s="3"/>
      <c r="G2" s="55"/>
      <c r="H2" s="3"/>
      <c r="I2" s="56"/>
      <c r="J2" s="56"/>
      <c r="L2" s="51"/>
      <c r="M2" s="197" t="s">
        <v>0</v>
      </c>
      <c r="N2" s="197"/>
      <c r="O2" s="197"/>
      <c r="P2" s="197"/>
      <c r="Q2" s="197"/>
      <c r="R2" s="197"/>
      <c r="W2" s="4"/>
      <c r="X2" s="4"/>
      <c r="Y2" s="4"/>
      <c r="Z2" s="4"/>
      <c r="AA2" s="164" t="s">
        <v>1</v>
      </c>
      <c r="AB2" s="164"/>
      <c r="AC2" s="164"/>
      <c r="AD2" s="164"/>
      <c r="AE2" s="164"/>
      <c r="AF2" s="164"/>
      <c r="AG2" s="164"/>
      <c r="AH2" s="164"/>
      <c r="AI2" s="164"/>
      <c r="AJ2" s="164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E3" s="190" t="s">
        <v>2</v>
      </c>
      <c r="F3" s="190"/>
      <c r="G3" s="190"/>
      <c r="H3" s="190"/>
      <c r="I3" s="56"/>
      <c r="J3" s="56"/>
      <c r="N3" s="50"/>
      <c r="O3" s="50"/>
      <c r="P3" s="50"/>
      <c r="Q3" s="50"/>
      <c r="R3" s="50"/>
      <c r="W3" s="4"/>
      <c r="X3" s="4"/>
      <c r="Y3" s="4"/>
      <c r="Z3" s="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L3" s="5" t="s">
        <v>3</v>
      </c>
      <c r="AM3" s="5"/>
      <c r="AN3" s="185" t="s">
        <v>4</v>
      </c>
      <c r="AO3" s="185"/>
      <c r="AP3" s="185"/>
      <c r="AQ3" s="185"/>
      <c r="AR3" s="185"/>
      <c r="AS3" s="74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1"/>
      <c r="D4" s="188" t="s">
        <v>5</v>
      </c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D5" s="198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G5" s="77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D6" s="80"/>
      <c r="E6" s="80"/>
      <c r="F6" s="189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80"/>
      <c r="T6" s="76"/>
      <c r="U6" s="76"/>
      <c r="V6" s="6"/>
      <c r="W6" s="6"/>
      <c r="X6" s="6"/>
      <c r="Y6" s="6"/>
      <c r="Z6" s="6"/>
      <c r="AA6" s="6"/>
      <c r="AB6" s="6"/>
      <c r="AC6" s="6"/>
      <c r="AG6" s="8" t="s">
        <v>6</v>
      </c>
      <c r="AH6" s="8"/>
      <c r="AI6" s="193">
        <v>7</v>
      </c>
      <c r="AJ6" s="193"/>
      <c r="AK6" s="193"/>
      <c r="AL6" s="77" t="s">
        <v>7</v>
      </c>
      <c r="AM6" s="193">
        <v>4</v>
      </c>
      <c r="AN6" s="193"/>
      <c r="AO6" s="77" t="s">
        <v>8</v>
      </c>
      <c r="AP6" s="193">
        <v>7</v>
      </c>
      <c r="AQ6" s="193"/>
      <c r="AR6" s="23" t="s">
        <v>9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1"/>
      <c r="D7" s="192" t="s">
        <v>10</v>
      </c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 t="s">
        <v>86</v>
      </c>
      <c r="U7" s="191"/>
      <c r="V7" s="191"/>
      <c r="W7" s="6"/>
      <c r="X7" s="6"/>
      <c r="Y7" s="6"/>
      <c r="Z7" s="6"/>
      <c r="AA7" s="6"/>
      <c r="AB7" s="6"/>
      <c r="AC7" s="6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1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"/>
      <c r="V9" s="7"/>
      <c r="W9" s="7"/>
      <c r="X9" s="7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1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"/>
      <c r="V10" s="7"/>
      <c r="W10" s="7"/>
      <c r="X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1"/>
      <c r="D11" s="61" t="s">
        <v>12</v>
      </c>
      <c r="E11" s="62"/>
      <c r="F11" s="62"/>
      <c r="G11" s="62"/>
      <c r="H11" s="201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61"/>
      <c r="U11" s="62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1"/>
      <c r="D12" s="24"/>
      <c r="E12" s="22"/>
      <c r="F12" s="22"/>
      <c r="G12" s="22"/>
      <c r="H12" s="24"/>
      <c r="I12" s="22"/>
      <c r="J12" s="25"/>
      <c r="K12" s="25"/>
      <c r="L12" s="25"/>
      <c r="M12" s="24"/>
      <c r="N12" s="25"/>
      <c r="O12" s="25"/>
      <c r="P12" s="24"/>
      <c r="Q12" s="25"/>
      <c r="R12" s="25"/>
      <c r="S12" s="26"/>
      <c r="T12" s="26"/>
      <c r="U12" s="22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1"/>
      <c r="D13" s="61" t="s">
        <v>13</v>
      </c>
      <c r="E13" s="62"/>
      <c r="F13" s="62"/>
      <c r="G13" s="62"/>
      <c r="H13" s="174" t="s">
        <v>14</v>
      </c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62"/>
      <c r="Z13" s="64"/>
      <c r="AA13" s="64"/>
      <c r="AB13" s="175" t="s">
        <v>15</v>
      </c>
      <c r="AC13" s="175"/>
      <c r="AD13" s="175"/>
      <c r="AE13" s="176" t="s">
        <v>16</v>
      </c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1"/>
      <c r="D14" s="24"/>
      <c r="E14" s="22"/>
      <c r="F14" s="22"/>
      <c r="G14" s="22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2"/>
      <c r="Z14" s="64"/>
      <c r="AA14" s="64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4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1"/>
      <c r="D15" s="61" t="s">
        <v>17</v>
      </c>
      <c r="E15" s="62"/>
      <c r="F15" s="62"/>
      <c r="G15" s="62"/>
      <c r="I15" s="71" t="s">
        <v>18</v>
      </c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63"/>
      <c r="Z15" s="64"/>
      <c r="AA15" s="64"/>
      <c r="AB15" s="177" t="s">
        <v>19</v>
      </c>
      <c r="AC15" s="177"/>
      <c r="AD15" s="177"/>
      <c r="AE15" s="176" t="s">
        <v>20</v>
      </c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6"/>
      <c r="AT15" s="176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1"/>
      <c r="D16" s="24"/>
      <c r="E16" s="22"/>
      <c r="F16" s="22"/>
      <c r="G16" s="22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2"/>
      <c r="Z16" s="64"/>
      <c r="AA16" s="64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4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1"/>
      <c r="B17" s="22"/>
      <c r="D17" s="65"/>
      <c r="E17" s="5"/>
      <c r="F17" s="5"/>
      <c r="G17" s="5"/>
      <c r="H17" s="5"/>
      <c r="I17" s="5"/>
      <c r="J17" s="185"/>
      <c r="K17" s="185"/>
      <c r="L17" s="185"/>
      <c r="M17" s="5"/>
      <c r="N17" s="185"/>
      <c r="O17" s="185"/>
      <c r="P17" s="5"/>
      <c r="Q17" s="185"/>
      <c r="R17" s="185"/>
      <c r="S17" s="5"/>
      <c r="T17" s="5"/>
      <c r="U17" s="5"/>
      <c r="W17" s="64"/>
      <c r="X17" s="22"/>
      <c r="AB17" s="65" t="s">
        <v>21</v>
      </c>
      <c r="AC17" s="65"/>
      <c r="AD17" s="65"/>
      <c r="AE17" s="65"/>
      <c r="AF17" s="174" t="s">
        <v>22</v>
      </c>
      <c r="AG17" s="174"/>
      <c r="AH17" s="174"/>
      <c r="AI17" s="174"/>
      <c r="AJ17" s="174"/>
      <c r="AK17" s="174"/>
      <c r="AL17" s="174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1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1"/>
      <c r="B19" s="64"/>
      <c r="C19" s="64"/>
      <c r="D19" s="64"/>
      <c r="E19" s="64"/>
      <c r="F19" s="64"/>
      <c r="G19" s="64"/>
      <c r="H19" s="64"/>
      <c r="I19" s="64"/>
      <c r="J19" s="70">
        <f>H51</f>
        <v>1953600</v>
      </c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AB19" s="165"/>
      <c r="AC19" s="166"/>
      <c r="AD19" s="166"/>
      <c r="AE19" s="166"/>
      <c r="AF19" s="167"/>
      <c r="AG19" s="165"/>
      <c r="AH19" s="166"/>
      <c r="AI19" s="166"/>
      <c r="AJ19" s="166"/>
      <c r="AK19" s="167"/>
      <c r="AL19" s="165"/>
      <c r="AM19" s="166"/>
      <c r="AN19" s="166"/>
      <c r="AO19" s="166"/>
      <c r="AP19" s="167"/>
      <c r="AQ19" s="7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1"/>
      <c r="B20" s="64"/>
      <c r="C20" s="64"/>
      <c r="D20" s="186" t="s">
        <v>23</v>
      </c>
      <c r="E20" s="186"/>
      <c r="F20" s="186"/>
      <c r="G20" s="186"/>
      <c r="H20" s="186"/>
      <c r="I20" s="186"/>
      <c r="J20" s="195">
        <f>H51</f>
        <v>1953600</v>
      </c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AB20" s="168"/>
      <c r="AC20" s="169"/>
      <c r="AD20" s="169"/>
      <c r="AE20" s="169"/>
      <c r="AF20" s="170"/>
      <c r="AG20" s="168"/>
      <c r="AH20" s="169"/>
      <c r="AI20" s="169"/>
      <c r="AJ20" s="169"/>
      <c r="AK20" s="170"/>
      <c r="AL20" s="168"/>
      <c r="AM20" s="169"/>
      <c r="AN20" s="169"/>
      <c r="AO20" s="169"/>
      <c r="AP20" s="170"/>
      <c r="AQ20" s="7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1"/>
      <c r="B21" s="64"/>
      <c r="C21" s="64"/>
      <c r="D21" s="187"/>
      <c r="E21" s="187"/>
      <c r="F21" s="187"/>
      <c r="G21" s="187"/>
      <c r="H21" s="187"/>
      <c r="I21" s="187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AB21" s="168"/>
      <c r="AC21" s="169"/>
      <c r="AD21" s="169"/>
      <c r="AE21" s="169"/>
      <c r="AF21" s="170"/>
      <c r="AG21" s="168"/>
      <c r="AH21" s="169"/>
      <c r="AI21" s="169"/>
      <c r="AJ21" s="169"/>
      <c r="AK21" s="170"/>
      <c r="AL21" s="168"/>
      <c r="AM21" s="169"/>
      <c r="AN21" s="169"/>
      <c r="AO21" s="169"/>
      <c r="AP21" s="170"/>
      <c r="AQ21" s="7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1"/>
      <c r="B22" s="194" t="s">
        <v>24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64"/>
      <c r="AB22" s="171"/>
      <c r="AC22" s="172"/>
      <c r="AD22" s="172"/>
      <c r="AE22" s="172"/>
      <c r="AF22" s="173"/>
      <c r="AG22" s="171"/>
      <c r="AH22" s="172"/>
      <c r="AI22" s="172"/>
      <c r="AJ22" s="172"/>
      <c r="AK22" s="173"/>
      <c r="AL22" s="171"/>
      <c r="AM22" s="172"/>
      <c r="AN22" s="172"/>
      <c r="AO22" s="172"/>
      <c r="AP22" s="173"/>
      <c r="AQ22" s="7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1"/>
      <c r="B24" s="158" t="s">
        <v>25</v>
      </c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60"/>
      <c r="T24" s="150" t="s">
        <v>26</v>
      </c>
      <c r="U24" s="151"/>
      <c r="V24" s="151"/>
      <c r="W24" s="151"/>
      <c r="X24" s="151"/>
      <c r="Y24" s="151"/>
      <c r="Z24" s="156"/>
      <c r="AA24" s="150" t="s">
        <v>27</v>
      </c>
      <c r="AB24" s="151"/>
      <c r="AC24" s="151"/>
      <c r="AD24" s="151"/>
      <c r="AE24" s="151"/>
      <c r="AF24" s="150" t="s">
        <v>28</v>
      </c>
      <c r="AG24" s="151"/>
      <c r="AH24" s="151"/>
      <c r="AI24" s="151"/>
      <c r="AJ24" s="151"/>
      <c r="AK24" s="151"/>
      <c r="AL24" s="156"/>
      <c r="AM24" s="150" t="s">
        <v>29</v>
      </c>
      <c r="AN24" s="151"/>
      <c r="AO24" s="151"/>
      <c r="AP24" s="151"/>
      <c r="AQ24" s="151"/>
      <c r="AR24" s="151"/>
      <c r="AS24" s="154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1"/>
      <c r="B25" s="161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3"/>
      <c r="T25" s="152"/>
      <c r="U25" s="153"/>
      <c r="V25" s="153"/>
      <c r="W25" s="153"/>
      <c r="X25" s="153"/>
      <c r="Y25" s="153"/>
      <c r="Z25" s="157"/>
      <c r="AA25" s="152"/>
      <c r="AB25" s="153"/>
      <c r="AC25" s="153"/>
      <c r="AD25" s="153"/>
      <c r="AE25" s="153"/>
      <c r="AF25" s="152"/>
      <c r="AG25" s="153"/>
      <c r="AH25" s="153"/>
      <c r="AI25" s="153"/>
      <c r="AJ25" s="153"/>
      <c r="AK25" s="153"/>
      <c r="AL25" s="157"/>
      <c r="AM25" s="152"/>
      <c r="AN25" s="153"/>
      <c r="AO25" s="153"/>
      <c r="AP25" s="153"/>
      <c r="AQ25" s="153"/>
      <c r="AR25" s="153"/>
      <c r="AS25" s="15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20.25" customHeight="1" x14ac:dyDescent="0.15">
      <c r="A26" s="1"/>
      <c r="B26" s="81" t="s">
        <v>30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3"/>
      <c r="T26" s="84"/>
      <c r="U26" s="85"/>
      <c r="V26" s="85"/>
      <c r="W26" s="85"/>
      <c r="X26" s="86" t="s">
        <v>31</v>
      </c>
      <c r="Y26" s="86"/>
      <c r="Z26" s="87"/>
      <c r="AA26" s="84">
        <v>66000</v>
      </c>
      <c r="AB26" s="85"/>
      <c r="AC26" s="85"/>
      <c r="AD26" s="85"/>
      <c r="AE26" s="88"/>
      <c r="AF26" s="84">
        <f t="shared" ref="AF26" si="0">IF(T26="",1*AA26,T26*AA26)</f>
        <v>66000</v>
      </c>
      <c r="AG26" s="85"/>
      <c r="AH26" s="85"/>
      <c r="AI26" s="85"/>
      <c r="AJ26" s="85"/>
      <c r="AK26" s="85"/>
      <c r="AL26" s="88"/>
      <c r="AM26" s="89" t="s">
        <v>32</v>
      </c>
      <c r="AN26" s="82"/>
      <c r="AO26" s="82"/>
      <c r="AP26" s="82"/>
      <c r="AQ26" s="82"/>
      <c r="AR26" s="82"/>
      <c r="AS26" s="90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20.25" customHeight="1" x14ac:dyDescent="0.15">
      <c r="A27" s="1"/>
      <c r="B27" s="81" t="s">
        <v>33</v>
      </c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3"/>
      <c r="T27" s="84"/>
      <c r="U27" s="85"/>
      <c r="V27" s="85"/>
      <c r="W27" s="85"/>
      <c r="X27" s="86" t="s">
        <v>31</v>
      </c>
      <c r="Y27" s="86"/>
      <c r="Z27" s="87"/>
      <c r="AA27" s="84">
        <v>150000</v>
      </c>
      <c r="AB27" s="85"/>
      <c r="AC27" s="85"/>
      <c r="AD27" s="85"/>
      <c r="AE27" s="88"/>
      <c r="AF27" s="84">
        <f t="shared" ref="AF27" si="1">IF(T27="",1*AA27,T27*AA27)</f>
        <v>150000</v>
      </c>
      <c r="AG27" s="85"/>
      <c r="AH27" s="85"/>
      <c r="AI27" s="85"/>
      <c r="AJ27" s="85"/>
      <c r="AK27" s="85"/>
      <c r="AL27" s="88"/>
      <c r="AM27" s="89" t="s">
        <v>34</v>
      </c>
      <c r="AN27" s="82"/>
      <c r="AO27" s="82"/>
      <c r="AP27" s="82"/>
      <c r="AQ27" s="82"/>
      <c r="AR27" s="82"/>
      <c r="AS27" s="90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20.25" customHeight="1" x14ac:dyDescent="0.15">
      <c r="A28" s="1"/>
      <c r="B28" s="81" t="s">
        <v>35</v>
      </c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3"/>
      <c r="T28" s="84"/>
      <c r="U28" s="85"/>
      <c r="V28" s="85"/>
      <c r="W28" s="85"/>
      <c r="X28" s="86" t="s">
        <v>31</v>
      </c>
      <c r="Y28" s="86"/>
      <c r="Z28" s="87"/>
      <c r="AA28" s="84">
        <v>150000</v>
      </c>
      <c r="AB28" s="85"/>
      <c r="AC28" s="85"/>
      <c r="AD28" s="85"/>
      <c r="AE28" s="88"/>
      <c r="AF28" s="84">
        <f>IF(T28="",1*AA28,T28*AA28)</f>
        <v>150000</v>
      </c>
      <c r="AG28" s="85"/>
      <c r="AH28" s="85"/>
      <c r="AI28" s="85"/>
      <c r="AJ28" s="85"/>
      <c r="AK28" s="85"/>
      <c r="AL28" s="88"/>
      <c r="AM28" s="89" t="s">
        <v>36</v>
      </c>
      <c r="AN28" s="82"/>
      <c r="AO28" s="82"/>
      <c r="AP28" s="82"/>
      <c r="AQ28" s="82"/>
      <c r="AR28" s="82"/>
      <c r="AS28" s="90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20.25" customHeight="1" x14ac:dyDescent="0.15">
      <c r="A29" s="1"/>
      <c r="B29" s="81" t="s">
        <v>30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3"/>
      <c r="T29" s="84"/>
      <c r="U29" s="85"/>
      <c r="V29" s="85"/>
      <c r="W29" s="85"/>
      <c r="X29" s="86" t="s">
        <v>31</v>
      </c>
      <c r="Y29" s="86"/>
      <c r="Z29" s="87"/>
      <c r="AA29" s="84">
        <v>85000</v>
      </c>
      <c r="AB29" s="85"/>
      <c r="AC29" s="85"/>
      <c r="AD29" s="85"/>
      <c r="AE29" s="88"/>
      <c r="AF29" s="84">
        <f t="shared" ref="AF29" si="2">IF(T29="",1*AA29,T29*AA29)</f>
        <v>85000</v>
      </c>
      <c r="AG29" s="85"/>
      <c r="AH29" s="85"/>
      <c r="AI29" s="85"/>
      <c r="AJ29" s="85"/>
      <c r="AK29" s="85"/>
      <c r="AL29" s="88"/>
      <c r="AM29" s="89" t="s">
        <v>37</v>
      </c>
      <c r="AN29" s="82"/>
      <c r="AO29" s="82"/>
      <c r="AP29" s="82"/>
      <c r="AQ29" s="82"/>
      <c r="AR29" s="82"/>
      <c r="AS29" s="90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20.25" customHeight="1" x14ac:dyDescent="0.15">
      <c r="A30" s="1"/>
      <c r="B30" s="81" t="s">
        <v>38</v>
      </c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3"/>
      <c r="T30" s="84"/>
      <c r="U30" s="85"/>
      <c r="V30" s="85"/>
      <c r="W30" s="85"/>
      <c r="X30" s="86" t="s">
        <v>31</v>
      </c>
      <c r="Y30" s="86"/>
      <c r="Z30" s="87"/>
      <c r="AA30" s="84">
        <v>230000</v>
      </c>
      <c r="AB30" s="85"/>
      <c r="AC30" s="85"/>
      <c r="AD30" s="85"/>
      <c r="AE30" s="88"/>
      <c r="AF30" s="84">
        <f t="shared" ref="AF30" si="3">IF(T30="",1*AA30,T30*AA30)</f>
        <v>230000</v>
      </c>
      <c r="AG30" s="85"/>
      <c r="AH30" s="85"/>
      <c r="AI30" s="85"/>
      <c r="AJ30" s="85"/>
      <c r="AK30" s="85"/>
      <c r="AL30" s="88"/>
      <c r="AM30" s="89" t="s">
        <v>39</v>
      </c>
      <c r="AN30" s="82"/>
      <c r="AO30" s="82"/>
      <c r="AP30" s="82"/>
      <c r="AQ30" s="82"/>
      <c r="AR30" s="82"/>
      <c r="AS30" s="90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69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20.25" customHeight="1" x14ac:dyDescent="0.15">
      <c r="A31" s="1"/>
      <c r="B31" s="81" t="s">
        <v>30</v>
      </c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3"/>
      <c r="T31" s="84"/>
      <c r="U31" s="85"/>
      <c r="V31" s="85"/>
      <c r="W31" s="85"/>
      <c r="X31" s="86" t="s">
        <v>31</v>
      </c>
      <c r="Y31" s="86"/>
      <c r="Z31" s="87"/>
      <c r="AA31" s="84">
        <v>85000</v>
      </c>
      <c r="AB31" s="85"/>
      <c r="AC31" s="85"/>
      <c r="AD31" s="85"/>
      <c r="AE31" s="88"/>
      <c r="AF31" s="84">
        <f t="shared" ref="AF31:AF32" si="4">IF(T31="",1*AA31,T31*AA31)</f>
        <v>85000</v>
      </c>
      <c r="AG31" s="85"/>
      <c r="AH31" s="85"/>
      <c r="AI31" s="85"/>
      <c r="AJ31" s="85"/>
      <c r="AK31" s="85"/>
      <c r="AL31" s="88"/>
      <c r="AM31" s="89" t="s">
        <v>40</v>
      </c>
      <c r="AN31" s="82"/>
      <c r="AO31" s="82"/>
      <c r="AP31" s="82"/>
      <c r="AQ31" s="82"/>
      <c r="AR31" s="82"/>
      <c r="AS31" s="90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20.25" customHeight="1" x14ac:dyDescent="0.15">
      <c r="A32" s="1"/>
      <c r="B32" s="81" t="s">
        <v>41</v>
      </c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3"/>
      <c r="T32" s="84"/>
      <c r="U32" s="85"/>
      <c r="V32" s="85"/>
      <c r="W32" s="85"/>
      <c r="X32" s="86" t="s">
        <v>31</v>
      </c>
      <c r="Y32" s="86"/>
      <c r="Z32" s="87"/>
      <c r="AA32" s="84">
        <v>150000</v>
      </c>
      <c r="AB32" s="85"/>
      <c r="AC32" s="85"/>
      <c r="AD32" s="85"/>
      <c r="AE32" s="88"/>
      <c r="AF32" s="84">
        <f t="shared" si="4"/>
        <v>150000</v>
      </c>
      <c r="AG32" s="85"/>
      <c r="AH32" s="85"/>
      <c r="AI32" s="85"/>
      <c r="AJ32" s="85"/>
      <c r="AK32" s="85"/>
      <c r="AL32" s="88"/>
      <c r="AM32" s="89" t="s">
        <v>42</v>
      </c>
      <c r="AN32" s="82"/>
      <c r="AO32" s="82"/>
      <c r="AP32" s="82"/>
      <c r="AQ32" s="82"/>
      <c r="AR32" s="82"/>
      <c r="AS32" s="90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20.25" customHeight="1" x14ac:dyDescent="0.15">
      <c r="A33" s="1"/>
      <c r="B33" s="81" t="s">
        <v>30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3"/>
      <c r="T33" s="84"/>
      <c r="U33" s="85"/>
      <c r="V33" s="85"/>
      <c r="W33" s="85"/>
      <c r="X33" s="86" t="s">
        <v>31</v>
      </c>
      <c r="Y33" s="86"/>
      <c r="Z33" s="87"/>
      <c r="AA33" s="84">
        <v>100000</v>
      </c>
      <c r="AB33" s="85"/>
      <c r="AC33" s="85"/>
      <c r="AD33" s="85"/>
      <c r="AE33" s="88"/>
      <c r="AF33" s="84">
        <f>IF(T33="",1*AA33,T33*AA33)</f>
        <v>100000</v>
      </c>
      <c r="AG33" s="85"/>
      <c r="AH33" s="85"/>
      <c r="AI33" s="85"/>
      <c r="AJ33" s="85"/>
      <c r="AK33" s="85"/>
      <c r="AL33" s="88"/>
      <c r="AM33" s="89" t="s">
        <v>43</v>
      </c>
      <c r="AN33" s="82"/>
      <c r="AO33" s="82"/>
      <c r="AP33" s="82"/>
      <c r="AQ33" s="82"/>
      <c r="AR33" s="82"/>
      <c r="AS33" s="90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20.25" customHeight="1" x14ac:dyDescent="0.15">
      <c r="A34" s="1"/>
      <c r="B34" s="81" t="s">
        <v>44</v>
      </c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3"/>
      <c r="T34" s="84"/>
      <c r="U34" s="85"/>
      <c r="V34" s="85"/>
      <c r="W34" s="85"/>
      <c r="X34" s="86" t="s">
        <v>31</v>
      </c>
      <c r="Y34" s="86"/>
      <c r="Z34" s="87"/>
      <c r="AA34" s="84">
        <v>150000</v>
      </c>
      <c r="AB34" s="85"/>
      <c r="AC34" s="85"/>
      <c r="AD34" s="85"/>
      <c r="AE34" s="88"/>
      <c r="AF34" s="84">
        <f>IF(T34="",1*AA34,T34*AA34)</f>
        <v>150000</v>
      </c>
      <c r="AG34" s="85"/>
      <c r="AH34" s="85"/>
      <c r="AI34" s="85"/>
      <c r="AJ34" s="85"/>
      <c r="AK34" s="85"/>
      <c r="AL34" s="88"/>
      <c r="AM34" s="89" t="s">
        <v>45</v>
      </c>
      <c r="AN34" s="82"/>
      <c r="AO34" s="82"/>
      <c r="AP34" s="82"/>
      <c r="AQ34" s="82"/>
      <c r="AR34" s="82"/>
      <c r="AS34" s="90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20.25" customHeight="1" x14ac:dyDescent="0.15">
      <c r="A35" s="1"/>
      <c r="B35" s="81" t="s">
        <v>46</v>
      </c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3"/>
      <c r="T35" s="84"/>
      <c r="U35" s="85"/>
      <c r="V35" s="85"/>
      <c r="W35" s="85"/>
      <c r="X35" s="86" t="s">
        <v>31</v>
      </c>
      <c r="Y35" s="86"/>
      <c r="Z35" s="87"/>
      <c r="AA35" s="84">
        <v>180000</v>
      </c>
      <c r="AB35" s="85"/>
      <c r="AC35" s="85"/>
      <c r="AD35" s="85"/>
      <c r="AE35" s="88"/>
      <c r="AF35" s="84">
        <f>IF(T35="",1*AA35,T35*AA35)</f>
        <v>180000</v>
      </c>
      <c r="AG35" s="85"/>
      <c r="AH35" s="85"/>
      <c r="AI35" s="85"/>
      <c r="AJ35" s="85"/>
      <c r="AK35" s="85"/>
      <c r="AL35" s="88"/>
      <c r="AM35" s="89" t="s">
        <v>47</v>
      </c>
      <c r="AN35" s="82"/>
      <c r="AO35" s="82"/>
      <c r="AP35" s="82"/>
      <c r="AQ35" s="82"/>
      <c r="AR35" s="82"/>
      <c r="AS35" s="90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20.25" customHeight="1" x14ac:dyDescent="0.15">
      <c r="A36" s="1"/>
      <c r="B36" s="81" t="s">
        <v>46</v>
      </c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3"/>
      <c r="T36" s="84"/>
      <c r="U36" s="85"/>
      <c r="V36" s="85"/>
      <c r="W36" s="85"/>
      <c r="X36" s="86" t="s">
        <v>31</v>
      </c>
      <c r="Y36" s="86"/>
      <c r="Z36" s="87"/>
      <c r="AA36" s="84">
        <v>180000</v>
      </c>
      <c r="AB36" s="85"/>
      <c r="AC36" s="85"/>
      <c r="AD36" s="85"/>
      <c r="AE36" s="88"/>
      <c r="AF36" s="84">
        <f>IF(T36="",1*AA36,T36*AA36)</f>
        <v>180000</v>
      </c>
      <c r="AG36" s="85"/>
      <c r="AH36" s="85"/>
      <c r="AI36" s="85"/>
      <c r="AJ36" s="85"/>
      <c r="AK36" s="85"/>
      <c r="AL36" s="88"/>
      <c r="AM36" s="89" t="s">
        <v>48</v>
      </c>
      <c r="AN36" s="82"/>
      <c r="AO36" s="82"/>
      <c r="AP36" s="82"/>
      <c r="AQ36" s="82"/>
      <c r="AR36" s="82"/>
      <c r="AS36" s="90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20.25" customHeight="1" x14ac:dyDescent="0.15">
      <c r="A37" s="1"/>
      <c r="B37" s="81" t="s">
        <v>49</v>
      </c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3"/>
      <c r="T37" s="91"/>
      <c r="U37" s="92"/>
      <c r="V37" s="92"/>
      <c r="W37" s="92"/>
      <c r="X37" s="93" t="s">
        <v>31</v>
      </c>
      <c r="Y37" s="93"/>
      <c r="Z37" s="94"/>
      <c r="AA37" s="91">
        <v>250000</v>
      </c>
      <c r="AB37" s="92"/>
      <c r="AC37" s="92"/>
      <c r="AD37" s="92"/>
      <c r="AE37" s="95"/>
      <c r="AF37" s="91">
        <f>IF(T37="",1*AA37,T37*AA37)</f>
        <v>250000</v>
      </c>
      <c r="AG37" s="92"/>
      <c r="AH37" s="92"/>
      <c r="AI37" s="92"/>
      <c r="AJ37" s="92"/>
      <c r="AK37" s="92"/>
      <c r="AL37" s="95"/>
      <c r="AM37" s="89" t="s">
        <v>48</v>
      </c>
      <c r="AN37" s="82"/>
      <c r="AO37" s="82"/>
      <c r="AP37" s="82"/>
      <c r="AQ37" s="82"/>
      <c r="AR37" s="82"/>
      <c r="AS37" s="90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20.25" customHeight="1" x14ac:dyDescent="0.15">
      <c r="A38" s="1"/>
      <c r="B38" s="81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3"/>
      <c r="T38" s="84"/>
      <c r="U38" s="85"/>
      <c r="V38" s="85"/>
      <c r="W38" s="85"/>
      <c r="X38" s="86"/>
      <c r="Y38" s="86"/>
      <c r="Z38" s="87"/>
      <c r="AA38" s="84"/>
      <c r="AB38" s="85"/>
      <c r="AC38" s="85"/>
      <c r="AD38" s="85"/>
      <c r="AE38" s="88"/>
      <c r="AF38" s="84"/>
      <c r="AG38" s="85"/>
      <c r="AH38" s="85"/>
      <c r="AI38" s="85"/>
      <c r="AJ38" s="85"/>
      <c r="AK38" s="85"/>
      <c r="AL38" s="88"/>
      <c r="AM38" s="89"/>
      <c r="AN38" s="82"/>
      <c r="AO38" s="82"/>
      <c r="AP38" s="82"/>
      <c r="AQ38" s="82"/>
      <c r="AR38" s="82"/>
      <c r="AS38" s="90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20.25" customHeight="1" x14ac:dyDescent="0.15">
      <c r="A39" s="1"/>
      <c r="B39" s="81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3"/>
      <c r="T39" s="84"/>
      <c r="U39" s="85"/>
      <c r="V39" s="85"/>
      <c r="W39" s="85"/>
      <c r="X39" s="86"/>
      <c r="Y39" s="86"/>
      <c r="Z39" s="87"/>
      <c r="AA39" s="84"/>
      <c r="AB39" s="85"/>
      <c r="AC39" s="85"/>
      <c r="AD39" s="85"/>
      <c r="AE39" s="88"/>
      <c r="AF39" s="84"/>
      <c r="AG39" s="85"/>
      <c r="AH39" s="85"/>
      <c r="AI39" s="85"/>
      <c r="AJ39" s="85"/>
      <c r="AK39" s="85"/>
      <c r="AL39" s="88"/>
      <c r="AM39" s="89"/>
      <c r="AN39" s="82"/>
      <c r="AO39" s="82"/>
      <c r="AP39" s="82"/>
      <c r="AQ39" s="82"/>
      <c r="AR39" s="82"/>
      <c r="AS39" s="90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20.25" customHeight="1" x14ac:dyDescent="0.15">
      <c r="A40" s="1"/>
      <c r="B40" s="81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3"/>
      <c r="T40" s="84"/>
      <c r="U40" s="85"/>
      <c r="V40" s="85"/>
      <c r="W40" s="85"/>
      <c r="X40" s="86"/>
      <c r="Y40" s="86"/>
      <c r="Z40" s="87"/>
      <c r="AA40" s="84"/>
      <c r="AB40" s="85"/>
      <c r="AC40" s="85"/>
      <c r="AD40" s="85"/>
      <c r="AE40" s="88"/>
      <c r="AF40" s="84"/>
      <c r="AG40" s="85"/>
      <c r="AH40" s="85"/>
      <c r="AI40" s="85"/>
      <c r="AJ40" s="85"/>
      <c r="AK40" s="85"/>
      <c r="AL40" s="88"/>
      <c r="AM40" s="89"/>
      <c r="AN40" s="82"/>
      <c r="AO40" s="82"/>
      <c r="AP40" s="82"/>
      <c r="AQ40" s="82"/>
      <c r="AR40" s="82"/>
      <c r="AS40" s="90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20.25" customHeight="1" x14ac:dyDescent="0.15">
      <c r="A41" s="1"/>
      <c r="B41" s="81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3"/>
      <c r="T41" s="84"/>
      <c r="U41" s="85"/>
      <c r="V41" s="85"/>
      <c r="W41" s="85"/>
      <c r="X41" s="86"/>
      <c r="Y41" s="86"/>
      <c r="Z41" s="87"/>
      <c r="AA41" s="84"/>
      <c r="AB41" s="85"/>
      <c r="AC41" s="85"/>
      <c r="AD41" s="85"/>
      <c r="AE41" s="88"/>
      <c r="AF41" s="84"/>
      <c r="AG41" s="85"/>
      <c r="AH41" s="85"/>
      <c r="AI41" s="85"/>
      <c r="AJ41" s="85"/>
      <c r="AK41" s="85"/>
      <c r="AL41" s="88"/>
      <c r="AM41" s="89"/>
      <c r="AN41" s="82"/>
      <c r="AO41" s="82"/>
      <c r="AP41" s="82"/>
      <c r="AQ41" s="82"/>
      <c r="AR41" s="82"/>
      <c r="AS41" s="90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20.25" customHeight="1" x14ac:dyDescent="0.15">
      <c r="A42" s="1"/>
      <c r="B42" s="81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3"/>
      <c r="T42" s="84"/>
      <c r="U42" s="85"/>
      <c r="V42" s="85"/>
      <c r="W42" s="85"/>
      <c r="X42" s="86"/>
      <c r="Y42" s="86"/>
      <c r="Z42" s="87"/>
      <c r="AA42" s="84"/>
      <c r="AB42" s="85"/>
      <c r="AC42" s="85"/>
      <c r="AD42" s="85"/>
      <c r="AE42" s="88"/>
      <c r="AF42" s="84"/>
      <c r="AG42" s="85"/>
      <c r="AH42" s="85"/>
      <c r="AI42" s="85"/>
      <c r="AJ42" s="85"/>
      <c r="AK42" s="85"/>
      <c r="AL42" s="88"/>
      <c r="AM42" s="89"/>
      <c r="AN42" s="82"/>
      <c r="AO42" s="82"/>
      <c r="AP42" s="82"/>
      <c r="AQ42" s="82"/>
      <c r="AR42" s="82"/>
      <c r="AS42" s="90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69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20.25" customHeight="1" x14ac:dyDescent="0.15">
      <c r="A43" s="1"/>
      <c r="B43" s="81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3"/>
      <c r="T43" s="84"/>
      <c r="U43" s="85"/>
      <c r="V43" s="85"/>
      <c r="W43" s="85"/>
      <c r="X43" s="86"/>
      <c r="Y43" s="86"/>
      <c r="Z43" s="87"/>
      <c r="AA43" s="84"/>
      <c r="AB43" s="85"/>
      <c r="AC43" s="85"/>
      <c r="AD43" s="85"/>
      <c r="AE43" s="88"/>
      <c r="AF43" s="84"/>
      <c r="AG43" s="85"/>
      <c r="AH43" s="85"/>
      <c r="AI43" s="85"/>
      <c r="AJ43" s="85"/>
      <c r="AK43" s="85"/>
      <c r="AL43" s="88"/>
      <c r="AM43" s="89"/>
      <c r="AN43" s="82"/>
      <c r="AO43" s="82"/>
      <c r="AP43" s="82"/>
      <c r="AQ43" s="82"/>
      <c r="AR43" s="82"/>
      <c r="AS43" s="90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20.25" customHeight="1" x14ac:dyDescent="0.15">
      <c r="A44" s="1"/>
      <c r="B44" s="81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3"/>
      <c r="T44" s="84"/>
      <c r="U44" s="85"/>
      <c r="V44" s="85"/>
      <c r="W44" s="85"/>
      <c r="X44" s="86"/>
      <c r="Y44" s="86"/>
      <c r="Z44" s="87"/>
      <c r="AA44" s="84"/>
      <c r="AB44" s="85"/>
      <c r="AC44" s="85"/>
      <c r="AD44" s="85"/>
      <c r="AE44" s="88"/>
      <c r="AF44" s="84"/>
      <c r="AG44" s="85"/>
      <c r="AH44" s="85"/>
      <c r="AI44" s="85"/>
      <c r="AJ44" s="85"/>
      <c r="AK44" s="85"/>
      <c r="AL44" s="88"/>
      <c r="AM44" s="89"/>
      <c r="AN44" s="82"/>
      <c r="AO44" s="82"/>
      <c r="AP44" s="82"/>
      <c r="AQ44" s="82"/>
      <c r="AR44" s="82"/>
      <c r="AS44" s="90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20.25" customHeight="1" x14ac:dyDescent="0.15">
      <c r="A45" s="1"/>
      <c r="B45" s="81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3"/>
      <c r="T45" s="84"/>
      <c r="U45" s="85"/>
      <c r="V45" s="85"/>
      <c r="W45" s="85"/>
      <c r="X45" s="86"/>
      <c r="Y45" s="86"/>
      <c r="Z45" s="87"/>
      <c r="AA45" s="84"/>
      <c r="AB45" s="85"/>
      <c r="AC45" s="85"/>
      <c r="AD45" s="85"/>
      <c r="AE45" s="88"/>
      <c r="AF45" s="84"/>
      <c r="AG45" s="85"/>
      <c r="AH45" s="85"/>
      <c r="AI45" s="85"/>
      <c r="AJ45" s="85"/>
      <c r="AK45" s="85"/>
      <c r="AL45" s="88"/>
      <c r="AM45" s="89"/>
      <c r="AN45" s="82"/>
      <c r="AO45" s="82"/>
      <c r="AP45" s="82"/>
      <c r="AQ45" s="82"/>
      <c r="AR45" s="82"/>
      <c r="AS45" s="90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20.25" customHeight="1" x14ac:dyDescent="0.15">
      <c r="A46" s="1"/>
      <c r="B46" s="81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3"/>
      <c r="T46" s="84"/>
      <c r="U46" s="85"/>
      <c r="V46" s="85"/>
      <c r="W46" s="85"/>
      <c r="X46" s="86"/>
      <c r="Y46" s="86"/>
      <c r="Z46" s="87"/>
      <c r="AA46" s="84"/>
      <c r="AB46" s="85"/>
      <c r="AC46" s="85"/>
      <c r="AD46" s="85"/>
      <c r="AE46" s="88"/>
      <c r="AF46" s="84"/>
      <c r="AG46" s="85"/>
      <c r="AH46" s="85"/>
      <c r="AI46" s="85"/>
      <c r="AJ46" s="85"/>
      <c r="AK46" s="85"/>
      <c r="AL46" s="88"/>
      <c r="AM46" s="89"/>
      <c r="AN46" s="82"/>
      <c r="AO46" s="82"/>
      <c r="AP46" s="82"/>
      <c r="AQ46" s="82"/>
      <c r="AR46" s="82"/>
      <c r="AS46" s="90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20.25" customHeight="1" x14ac:dyDescent="0.15">
      <c r="A47" s="1"/>
      <c r="B47" s="81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3"/>
      <c r="T47" s="84"/>
      <c r="U47" s="85"/>
      <c r="V47" s="85"/>
      <c r="W47" s="85"/>
      <c r="X47" s="86"/>
      <c r="Y47" s="86"/>
      <c r="Z47" s="87"/>
      <c r="AA47" s="84"/>
      <c r="AB47" s="85"/>
      <c r="AC47" s="85"/>
      <c r="AD47" s="85"/>
      <c r="AE47" s="88"/>
      <c r="AF47" s="84"/>
      <c r="AG47" s="85"/>
      <c r="AH47" s="85"/>
      <c r="AI47" s="85"/>
      <c r="AJ47" s="85"/>
      <c r="AK47" s="85"/>
      <c r="AL47" s="88"/>
      <c r="AM47" s="89"/>
      <c r="AN47" s="82"/>
      <c r="AO47" s="82"/>
      <c r="AP47" s="82"/>
      <c r="AQ47" s="82"/>
      <c r="AR47" s="82"/>
      <c r="AS47" s="90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20.25" customHeight="1" x14ac:dyDescent="0.15">
      <c r="A48" s="1"/>
      <c r="B48" s="81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3"/>
      <c r="T48" s="84"/>
      <c r="U48" s="85"/>
      <c r="V48" s="85"/>
      <c r="W48" s="85"/>
      <c r="X48" s="86"/>
      <c r="Y48" s="86"/>
      <c r="Z48" s="87"/>
      <c r="AA48" s="84"/>
      <c r="AB48" s="85"/>
      <c r="AC48" s="85"/>
      <c r="AD48" s="85"/>
      <c r="AE48" s="88"/>
      <c r="AF48" s="84"/>
      <c r="AG48" s="85"/>
      <c r="AH48" s="85"/>
      <c r="AI48" s="85"/>
      <c r="AJ48" s="85"/>
      <c r="AK48" s="85"/>
      <c r="AL48" s="88"/>
      <c r="AM48" s="89"/>
      <c r="AN48" s="82"/>
      <c r="AO48" s="82"/>
      <c r="AP48" s="82"/>
      <c r="AQ48" s="82"/>
      <c r="AR48" s="82"/>
      <c r="AS48" s="90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20.25" customHeight="1" x14ac:dyDescent="0.15">
      <c r="A49" s="1"/>
      <c r="B49" s="81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3"/>
      <c r="T49" s="91"/>
      <c r="U49" s="92"/>
      <c r="V49" s="92"/>
      <c r="W49" s="92"/>
      <c r="X49" s="93"/>
      <c r="Y49" s="93"/>
      <c r="Z49" s="94"/>
      <c r="AA49" s="91"/>
      <c r="AB49" s="92"/>
      <c r="AC49" s="92"/>
      <c r="AD49" s="92"/>
      <c r="AE49" s="95"/>
      <c r="AF49" s="91"/>
      <c r="AG49" s="92"/>
      <c r="AH49" s="92"/>
      <c r="AI49" s="92"/>
      <c r="AJ49" s="92"/>
      <c r="AK49" s="92"/>
      <c r="AL49" s="95"/>
      <c r="AM49" s="89"/>
      <c r="AN49" s="82"/>
      <c r="AO49" s="82"/>
      <c r="AP49" s="82"/>
      <c r="AQ49" s="82"/>
      <c r="AR49" s="82"/>
      <c r="AS49" s="90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32.1" customHeight="1" x14ac:dyDescent="0.15">
      <c r="A50" s="1"/>
      <c r="B50" s="143"/>
      <c r="C50" s="121"/>
      <c r="D50" s="121"/>
      <c r="E50" s="121"/>
      <c r="F50" s="121"/>
      <c r="G50" s="97"/>
      <c r="H50" s="144">
        <f>AA50*0.1</f>
        <v>177600</v>
      </c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6"/>
      <c r="T50" s="96" t="s">
        <v>50</v>
      </c>
      <c r="U50" s="121"/>
      <c r="V50" s="121"/>
      <c r="W50" s="121"/>
      <c r="X50" s="121"/>
      <c r="Y50" s="121"/>
      <c r="Z50" s="97"/>
      <c r="AA50" s="147">
        <f>SUM(AF26:AL37)</f>
        <v>1776000</v>
      </c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9"/>
      <c r="AM50" s="182"/>
      <c r="AN50" s="183"/>
      <c r="AO50" s="183"/>
      <c r="AP50" s="183"/>
      <c r="AQ50" s="183"/>
      <c r="AR50" s="183"/>
      <c r="AS50" s="184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32.1" customHeight="1" thickBot="1" x14ac:dyDescent="0.2">
      <c r="A51" s="1"/>
      <c r="B51" s="127" t="s">
        <v>51</v>
      </c>
      <c r="C51" s="128"/>
      <c r="D51" s="128"/>
      <c r="E51" s="128"/>
      <c r="F51" s="128"/>
      <c r="G51" s="129"/>
      <c r="H51" s="130">
        <f>CK127+H50</f>
        <v>1953600</v>
      </c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2"/>
      <c r="AM51" s="178"/>
      <c r="AN51" s="179"/>
      <c r="AO51" s="179"/>
      <c r="AP51" s="179"/>
      <c r="AQ51" s="179"/>
      <c r="AR51" s="179"/>
      <c r="AS51" s="180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1"/>
      <c r="B52" s="133" t="s">
        <v>52</v>
      </c>
      <c r="C52" s="134"/>
      <c r="D52" s="134"/>
      <c r="E52" s="135" t="s">
        <v>53</v>
      </c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6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7.100000000000001" customHeight="1" x14ac:dyDescent="0.15">
      <c r="A53" s="1"/>
      <c r="B53" s="140" t="s">
        <v>54</v>
      </c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2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7.100000000000001" customHeight="1" thickBot="1" x14ac:dyDescent="0.2">
      <c r="A54" s="1"/>
      <c r="B54" s="137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9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7.100000000000001" customHeight="1" thickTop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69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18"/>
      <c r="O56" s="118"/>
      <c r="P56" s="118"/>
      <c r="Q56" s="118"/>
      <c r="R56" s="118"/>
      <c r="S56" s="118"/>
      <c r="T56" s="118"/>
      <c r="U56" s="118"/>
      <c r="V56" s="118"/>
      <c r="W56" s="1"/>
      <c r="X56" s="43"/>
      <c r="Y56" s="11"/>
      <c r="Z56" s="10"/>
      <c r="AA56" s="10"/>
      <c r="AB56" s="126"/>
      <c r="AC56" s="126"/>
      <c r="AD56" s="126"/>
      <c r="AE56" s="10"/>
      <c r="AF56" s="11"/>
      <c r="AG56" s="11"/>
      <c r="AH56" s="11"/>
      <c r="AI56" s="10"/>
      <c r="AJ56" s="10"/>
      <c r="AK56" s="10"/>
      <c r="AL56" s="10"/>
      <c r="AM56" s="10"/>
      <c r="AN56" s="10"/>
      <c r="AO56" s="10"/>
      <c r="AP56" s="10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44"/>
      <c r="K57" s="1"/>
      <c r="L57" s="1"/>
      <c r="M57" s="1"/>
      <c r="N57" s="120"/>
      <c r="O57" s="120"/>
      <c r="P57" s="116"/>
      <c r="Q57" s="116"/>
      <c r="R57" s="116"/>
      <c r="S57" s="116"/>
      <c r="T57" s="116"/>
      <c r="U57" s="116"/>
      <c r="V57" s="116"/>
      <c r="W57" s="1"/>
      <c r="X57" s="45"/>
      <c r="Y57" s="46"/>
      <c r="Z57" s="10"/>
      <c r="AA57" s="10"/>
      <c r="AB57" s="125"/>
      <c r="AC57" s="125"/>
      <c r="AD57" s="47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20"/>
      <c r="O58" s="120"/>
      <c r="P58" s="116"/>
      <c r="Q58" s="116"/>
      <c r="R58" s="116"/>
      <c r="S58" s="116"/>
      <c r="T58" s="116"/>
      <c r="U58" s="116"/>
      <c r="V58" s="116"/>
      <c r="W58" s="1"/>
      <c r="X58" s="45"/>
      <c r="Y58" s="46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20"/>
      <c r="O59" s="120"/>
      <c r="P59" s="116"/>
      <c r="Q59" s="116"/>
      <c r="R59" s="116"/>
      <c r="S59" s="116"/>
      <c r="T59" s="116"/>
      <c r="U59" s="116"/>
      <c r="V59" s="116"/>
      <c r="W59" s="1"/>
      <c r="X59" s="45"/>
      <c r="Y59" s="46"/>
      <c r="Z59" s="10"/>
      <c r="AA59" s="126"/>
      <c r="AB59" s="126"/>
      <c r="AC59" s="126"/>
      <c r="AD59" s="126"/>
      <c r="AE59" s="126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20"/>
      <c r="O60" s="120"/>
      <c r="P60" s="116"/>
      <c r="Q60" s="116"/>
      <c r="R60" s="116"/>
      <c r="S60" s="116"/>
      <c r="T60" s="116"/>
      <c r="U60" s="116"/>
      <c r="V60" s="116"/>
      <c r="W60" s="1"/>
      <c r="X60" s="45"/>
      <c r="Y60" s="46"/>
      <c r="Z60" s="10"/>
      <c r="AA60" s="48"/>
      <c r="AB60" s="125"/>
      <c r="AC60" s="125"/>
      <c r="AD60" s="125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20"/>
      <c r="O61" s="120"/>
      <c r="P61" s="116"/>
      <c r="Q61" s="116"/>
      <c r="R61" s="116"/>
      <c r="S61" s="116"/>
      <c r="T61" s="116"/>
      <c r="U61" s="116"/>
      <c r="V61" s="116"/>
      <c r="W61" s="1"/>
      <c r="X61" s="45"/>
      <c r="Y61" s="46"/>
      <c r="Z61" s="10"/>
      <c r="AA61" s="48"/>
      <c r="AB61" s="125"/>
      <c r="AC61" s="125"/>
      <c r="AD61" s="125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20"/>
      <c r="O62" s="120"/>
      <c r="P62" s="116"/>
      <c r="Q62" s="116"/>
      <c r="R62" s="116"/>
      <c r="S62" s="116"/>
      <c r="T62" s="116"/>
      <c r="U62" s="116"/>
      <c r="V62" s="116"/>
      <c r="W62" s="1"/>
      <c r="X62" s="45"/>
      <c r="Y62" s="45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20"/>
      <c r="O63" s="120"/>
      <c r="P63" s="116"/>
      <c r="Q63" s="116"/>
      <c r="R63" s="116"/>
      <c r="S63" s="116"/>
      <c r="T63" s="116"/>
      <c r="U63" s="116"/>
      <c r="V63" s="116"/>
      <c r="W63" s="1"/>
      <c r="X63" s="45"/>
      <c r="Y63" s="45"/>
      <c r="Z63" s="10"/>
      <c r="AA63" s="181"/>
      <c r="AB63" s="181"/>
      <c r="AC63" s="181"/>
      <c r="AD63" s="181"/>
      <c r="AE63" s="181"/>
      <c r="AF63" s="181"/>
      <c r="AG63" s="181"/>
      <c r="AH63" s="181"/>
      <c r="AI63" s="181"/>
      <c r="AJ63" s="126"/>
      <c r="AK63" s="126"/>
      <c r="AL63" s="126"/>
      <c r="AM63" s="126"/>
      <c r="AN63" s="126"/>
      <c r="AO63" s="126"/>
      <c r="AP63" s="126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20"/>
      <c r="O64" s="120"/>
      <c r="P64" s="116"/>
      <c r="Q64" s="116"/>
      <c r="R64" s="116"/>
      <c r="S64" s="116"/>
      <c r="T64" s="116"/>
      <c r="U64" s="116"/>
      <c r="V64" s="116"/>
      <c r="W64" s="1"/>
      <c r="X64" s="45"/>
      <c r="Y64" s="46"/>
      <c r="Z64" s="10"/>
      <c r="AA64" s="48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"/>
      <c r="AR64" s="1"/>
      <c r="AS64" s="1"/>
      <c r="AT64" s="1"/>
      <c r="AU64" s="1"/>
      <c r="AV64" s="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20"/>
      <c r="O65" s="120"/>
      <c r="P65" s="116"/>
      <c r="Q65" s="116"/>
      <c r="R65" s="116"/>
      <c r="S65" s="116"/>
      <c r="T65" s="116"/>
      <c r="U65" s="116"/>
      <c r="V65" s="116"/>
      <c r="W65" s="1"/>
      <c r="X65" s="45"/>
      <c r="Y65" s="46"/>
      <c r="Z65" s="10"/>
      <c r="AA65" s="48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"/>
      <c r="AR65" s="1"/>
      <c r="AS65" s="1"/>
      <c r="AT65" s="1"/>
      <c r="AU65" s="1"/>
      <c r="AV65" s="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20"/>
      <c r="O66" s="120"/>
      <c r="P66" s="116"/>
      <c r="Q66" s="116"/>
      <c r="R66" s="116"/>
      <c r="S66" s="116"/>
      <c r="T66" s="116"/>
      <c r="U66" s="116"/>
      <c r="V66" s="116"/>
      <c r="W66" s="1"/>
      <c r="X66" s="45"/>
      <c r="Y66" s="46"/>
      <c r="Z66" s="10"/>
      <c r="AA66" s="48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"/>
      <c r="AR66" s="1"/>
      <c r="AS66" s="1"/>
      <c r="AT66" s="1"/>
      <c r="AU66" s="1"/>
      <c r="AV66" s="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20"/>
      <c r="O67" s="120"/>
      <c r="P67" s="116"/>
      <c r="Q67" s="116"/>
      <c r="R67" s="116"/>
      <c r="S67" s="116"/>
      <c r="T67" s="116"/>
      <c r="U67" s="116"/>
      <c r="V67" s="116"/>
      <c r="W67" s="1"/>
      <c r="X67" s="45"/>
      <c r="Y67" s="46"/>
      <c r="Z67" s="10"/>
      <c r="AA67" s="48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"/>
      <c r="AR67" s="1"/>
      <c r="AS67" s="1"/>
      <c r="AT67" s="1"/>
      <c r="AU67" s="1"/>
      <c r="AV67" s="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18"/>
      <c r="O68" s="118"/>
      <c r="P68" s="116">
        <f>SUM(CK127:CQ127)</f>
        <v>1776000</v>
      </c>
      <c r="Q68" s="116"/>
      <c r="R68" s="116"/>
      <c r="S68" s="116"/>
      <c r="T68" s="116"/>
      <c r="U68" s="116"/>
      <c r="V68" s="116"/>
      <c r="W68" s="1"/>
      <c r="X68" s="45"/>
      <c r="Y68" s="46"/>
      <c r="Z68" s="10"/>
      <c r="AA68" s="48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"/>
      <c r="AR68" s="1"/>
      <c r="AS68" s="1"/>
      <c r="AT68" s="1"/>
      <c r="AU68" s="1"/>
      <c r="AV68" s="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45"/>
      <c r="Y69" s="46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"/>
      <c r="AR69" s="1"/>
      <c r="AS69" s="1"/>
      <c r="AT69" s="1"/>
      <c r="AU69" s="1"/>
      <c r="AV69" s="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71" spans="1:78" ht="1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</row>
    <row r="72" spans="1:78" ht="1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24"/>
      <c r="O72" s="124"/>
      <c r="P72" s="124"/>
      <c r="Q72" s="124"/>
      <c r="R72" s="122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3"/>
      <c r="AH72" s="123"/>
      <c r="AI72" s="123"/>
      <c r="AJ72" s="123"/>
      <c r="AK72" s="123"/>
      <c r="AL72" s="123"/>
      <c r="AM72" s="123"/>
      <c r="AN72" s="123"/>
      <c r="AO72" s="123"/>
      <c r="AP72" s="123"/>
      <c r="AQ72" s="1"/>
      <c r="AR72" s="118"/>
      <c r="AS72" s="118"/>
      <c r="AT72" s="66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</row>
    <row r="73" spans="1:78" ht="1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66"/>
      <c r="AV73" s="66"/>
      <c r="AW73" s="66"/>
      <c r="AX73" s="66"/>
      <c r="AY73" s="66"/>
      <c r="AZ73" s="66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</row>
    <row r="74" spans="1:78" ht="1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</row>
    <row r="75" spans="1:78" ht="1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</row>
    <row r="76" spans="1:78" ht="1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</row>
    <row r="77" spans="1:78" ht="1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</row>
    <row r="78" spans="1:78" ht="1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</row>
    <row r="79" spans="1:78" ht="1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</row>
    <row r="80" spans="1:78" ht="1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</row>
    <row r="81" spans="1:78" ht="1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</row>
    <row r="82" spans="1:78" ht="15" customHeight="1" x14ac:dyDescent="0.15"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</row>
    <row r="112" spans="158:165" ht="15" customHeight="1" x14ac:dyDescent="0.15">
      <c r="FB112" s="79" t="s">
        <v>55</v>
      </c>
      <c r="FC112" s="79" t="s">
        <v>56</v>
      </c>
      <c r="FD112" s="79" t="s">
        <v>57</v>
      </c>
      <c r="FE112" s="79" t="s">
        <v>58</v>
      </c>
      <c r="FF112" s="79" t="s">
        <v>59</v>
      </c>
      <c r="FG112" s="79" t="s">
        <v>59</v>
      </c>
      <c r="FH112" s="79" t="s">
        <v>60</v>
      </c>
      <c r="FI112" s="79" t="s">
        <v>61</v>
      </c>
    </row>
    <row r="113" spans="79:165" ht="15" customHeight="1" x14ac:dyDescent="0.15">
      <c r="CA113" s="33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  <c r="DX113" s="34"/>
      <c r="DY113" s="34"/>
      <c r="DZ113" s="34"/>
      <c r="EA113" s="34"/>
      <c r="EB113" s="34"/>
      <c r="EC113" s="34"/>
      <c r="ED113" s="34"/>
      <c r="EE113" s="34"/>
      <c r="EF113" s="34"/>
      <c r="EG113" s="34"/>
      <c r="EH113" s="34"/>
      <c r="EI113" s="34"/>
      <c r="EJ113" s="34"/>
      <c r="EK113" s="34"/>
      <c r="EL113" s="34"/>
      <c r="EM113" s="34"/>
      <c r="EN113" s="34"/>
      <c r="EO113" s="34"/>
      <c r="EP113" s="35"/>
      <c r="FB113" s="53">
        <v>0</v>
      </c>
      <c r="FC113" s="54">
        <v>1</v>
      </c>
      <c r="FD113" s="54" t="str">
        <f>B26</f>
        <v>FL-LCW 1500w　加工デモ　日帰り　ハイエース使用</v>
      </c>
      <c r="FE113" s="54">
        <f t="shared" ref="FE113:FE124" si="5">T26</f>
        <v>0</v>
      </c>
      <c r="FF113" s="54" t="str">
        <f t="shared" ref="FF113:FF124" si="6">X26</f>
        <v>一式</v>
      </c>
      <c r="FG113" s="54">
        <f t="shared" ref="FG113:FG124" si="7">AA26</f>
        <v>66000</v>
      </c>
      <c r="FH113" s="54">
        <f t="shared" ref="FH113:FH124" si="8">AF26</f>
        <v>66000</v>
      </c>
      <c r="FI113" s="54" t="str">
        <f t="shared" ref="FI113:FI124" si="9">AM26</f>
        <v>岐阜市内客先</v>
      </c>
    </row>
    <row r="114" spans="79:165" ht="15" customHeight="1" x14ac:dyDescent="0.15">
      <c r="CA114" s="36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44" t="s">
        <v>62</v>
      </c>
      <c r="EN114" s="1"/>
      <c r="EO114" s="1"/>
      <c r="EP114" s="37"/>
      <c r="FB114" s="53">
        <v>0</v>
      </c>
      <c r="FC114" s="54">
        <v>2</v>
      </c>
      <c r="FD114" s="54" t="str">
        <f>B27</f>
        <v>FL-LCW 1500w　加工デモ　一泊二日　　公共交通</v>
      </c>
      <c r="FE114" s="54">
        <f t="shared" si="5"/>
        <v>0</v>
      </c>
      <c r="FF114" s="54" t="str">
        <f t="shared" si="6"/>
        <v>一式</v>
      </c>
      <c r="FG114" s="54">
        <f t="shared" si="7"/>
        <v>150000</v>
      </c>
      <c r="FH114" s="54">
        <f t="shared" si="8"/>
        <v>150000</v>
      </c>
      <c r="FI114" s="54" t="str">
        <f t="shared" si="9"/>
        <v>茨城営業所内</v>
      </c>
    </row>
    <row r="115" spans="79:165" ht="15" customHeight="1" x14ac:dyDescent="0.15">
      <c r="CA115" s="36"/>
      <c r="CB115" s="1"/>
      <c r="CC115" s="1"/>
      <c r="CD115" s="1"/>
      <c r="CE115" s="42" t="s">
        <v>63</v>
      </c>
      <c r="CF115" s="1"/>
      <c r="CG115" s="1"/>
      <c r="CH115" s="1"/>
      <c r="CI115" s="96" t="s">
        <v>64</v>
      </c>
      <c r="CJ115" s="121"/>
      <c r="CK115" s="121"/>
      <c r="CL115" s="121"/>
      <c r="CM115" s="121"/>
      <c r="CN115" s="121"/>
      <c r="CO115" s="121"/>
      <c r="CP115" s="121"/>
      <c r="CQ115" s="97"/>
      <c r="CR115" s="1"/>
      <c r="CS115" s="20" t="s">
        <v>59</v>
      </c>
      <c r="CT115" s="9"/>
      <c r="CU115" s="10"/>
      <c r="CV115" s="10"/>
      <c r="CW115" s="115" t="s">
        <v>65</v>
      </c>
      <c r="CX115" s="115"/>
      <c r="CY115" s="115"/>
      <c r="CZ115" s="10"/>
      <c r="DA115" s="11"/>
      <c r="DB115" s="11"/>
      <c r="DC115" s="11"/>
      <c r="DD115" s="28" t="s">
        <v>66</v>
      </c>
      <c r="DE115" s="29"/>
      <c r="DF115" s="29"/>
      <c r="DG115" s="29"/>
      <c r="DH115" s="29"/>
      <c r="DI115" s="29"/>
      <c r="DJ115" s="30"/>
      <c r="DK115" s="10"/>
      <c r="DL115" s="1"/>
      <c r="DM115" s="117" t="s">
        <v>67</v>
      </c>
      <c r="DN115" s="117"/>
      <c r="DO115" s="117"/>
      <c r="DP115" s="117"/>
      <c r="DQ115" s="117"/>
      <c r="DR115" s="117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44" t="s">
        <v>68</v>
      </c>
      <c r="EN115" s="1"/>
      <c r="EO115" s="1"/>
      <c r="EP115" s="37"/>
      <c r="FB115" s="53">
        <v>0</v>
      </c>
      <c r="FC115" s="54">
        <v>3</v>
      </c>
      <c r="FD115" s="54" t="str">
        <f>B28</f>
        <v>FL-LCW 1500w　加工デモ　一泊二日　　公共交通</v>
      </c>
      <c r="FE115" s="54">
        <f t="shared" si="5"/>
        <v>0</v>
      </c>
      <c r="FF115" s="54" t="str">
        <f t="shared" si="6"/>
        <v>一式</v>
      </c>
      <c r="FG115" s="54">
        <f t="shared" si="7"/>
        <v>150000</v>
      </c>
      <c r="FH115" s="54">
        <f t="shared" si="8"/>
        <v>150000</v>
      </c>
      <c r="FI115" s="54" t="str">
        <f t="shared" si="9"/>
        <v>横浜市内客先</v>
      </c>
    </row>
    <row r="116" spans="79:165" ht="15" customHeight="1" x14ac:dyDescent="0.15">
      <c r="CA116" s="36"/>
      <c r="CB116" s="1"/>
      <c r="CC116" s="1"/>
      <c r="CD116" s="1"/>
      <c r="CE116" s="41">
        <v>3</v>
      </c>
      <c r="CF116" s="1"/>
      <c r="CG116" s="1"/>
      <c r="CH116" s="1"/>
      <c r="CI116" s="108">
        <v>0</v>
      </c>
      <c r="CJ116" s="108"/>
      <c r="CK116" s="107">
        <f>AA50</f>
        <v>1776000</v>
      </c>
      <c r="CL116" s="107"/>
      <c r="CM116" s="107"/>
      <c r="CN116" s="107"/>
      <c r="CO116" s="107"/>
      <c r="CP116" s="107"/>
      <c r="CQ116" s="107"/>
      <c r="CR116" s="1"/>
      <c r="CS116" s="12" t="s">
        <v>69</v>
      </c>
      <c r="CT116" s="13"/>
      <c r="CU116" s="10"/>
      <c r="CV116" s="10"/>
      <c r="CW116" s="109">
        <v>5</v>
      </c>
      <c r="CX116" s="110"/>
      <c r="CY116" s="14" t="s">
        <v>70</v>
      </c>
      <c r="CZ116" s="10"/>
      <c r="DA116" s="10"/>
      <c r="DB116" s="10"/>
      <c r="DC116" s="10"/>
      <c r="DD116" s="31" t="s">
        <v>1</v>
      </c>
      <c r="DE116" s="32"/>
      <c r="DF116" s="32"/>
      <c r="DG116" s="32"/>
      <c r="DH116" s="32"/>
      <c r="DI116" s="32"/>
      <c r="DJ116" s="17"/>
      <c r="DK116" s="10"/>
      <c r="DL116" s="1"/>
      <c r="DM116" s="112" t="s">
        <v>71</v>
      </c>
      <c r="DN116" s="113"/>
      <c r="DO116" s="113"/>
      <c r="DP116" s="113"/>
      <c r="DQ116" s="113"/>
      <c r="DR116" s="114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37"/>
      <c r="FB116" s="53">
        <v>0</v>
      </c>
      <c r="FC116" s="54">
        <v>4</v>
      </c>
      <c r="FD116" s="54" t="str">
        <f>B29</f>
        <v>FL-LCW 1500w　加工デモ　日帰り　ハイエース使用</v>
      </c>
      <c r="FE116" s="54">
        <f t="shared" si="5"/>
        <v>0</v>
      </c>
      <c r="FF116" s="54" t="str">
        <f t="shared" si="6"/>
        <v>一式</v>
      </c>
      <c r="FG116" s="54">
        <f t="shared" si="7"/>
        <v>85000</v>
      </c>
      <c r="FH116" s="54">
        <f t="shared" si="8"/>
        <v>85000</v>
      </c>
      <c r="FI116" s="54" t="str">
        <f t="shared" si="9"/>
        <v>岡崎市内客先</v>
      </c>
    </row>
    <row r="117" spans="79:165" ht="15" customHeight="1" x14ac:dyDescent="0.15">
      <c r="CA117" s="36"/>
      <c r="CB117" s="1"/>
      <c r="CC117" s="1"/>
      <c r="CD117" s="1"/>
      <c r="CE117" s="41">
        <f>MAX(FB413:FB654)</f>
        <v>0</v>
      </c>
      <c r="CF117" s="1"/>
      <c r="CG117" s="1"/>
      <c r="CH117" s="1"/>
      <c r="CI117" s="108">
        <v>1</v>
      </c>
      <c r="CJ117" s="108"/>
      <c r="CK117" s="107">
        <f>IF(ISERROR(本体装備品一覧!AB30),0,本体装備品一覧!AB30)</f>
        <v>0</v>
      </c>
      <c r="CL117" s="107"/>
      <c r="CM117" s="107"/>
      <c r="CN117" s="107"/>
      <c r="CO117" s="107"/>
      <c r="CP117" s="107"/>
      <c r="CQ117" s="107"/>
      <c r="CR117" s="1"/>
      <c r="CS117" s="12" t="s">
        <v>72</v>
      </c>
      <c r="CT117" s="13"/>
      <c r="CU117" s="10"/>
      <c r="CV117" s="10"/>
      <c r="CW117" s="10"/>
      <c r="CX117" s="10"/>
      <c r="CY117" s="10"/>
      <c r="CZ117" s="10"/>
      <c r="DA117" s="10"/>
      <c r="DB117" s="10"/>
      <c r="DC117" s="10"/>
      <c r="DD117" s="31" t="s">
        <v>73</v>
      </c>
      <c r="DE117" s="32"/>
      <c r="DF117" s="32"/>
      <c r="DG117" s="32"/>
      <c r="DH117" s="32"/>
      <c r="DI117" s="32"/>
      <c r="DJ117" s="17"/>
      <c r="DK117" s="10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37"/>
      <c r="FB117" s="53">
        <v>0</v>
      </c>
      <c r="FC117" s="54">
        <v>5</v>
      </c>
      <c r="FD117" s="54" t="e">
        <f>#REF!</f>
        <v>#REF!</v>
      </c>
      <c r="FE117" s="54">
        <f t="shared" si="5"/>
        <v>0</v>
      </c>
      <c r="FF117" s="54" t="str">
        <f t="shared" si="6"/>
        <v>一式</v>
      </c>
      <c r="FG117" s="54">
        <f t="shared" si="7"/>
        <v>230000</v>
      </c>
      <c r="FH117" s="54">
        <f t="shared" si="8"/>
        <v>230000</v>
      </c>
      <c r="FI117" s="54" t="str">
        <f t="shared" si="9"/>
        <v>函館市内客先</v>
      </c>
    </row>
    <row r="118" spans="79:165" ht="15" customHeight="1" x14ac:dyDescent="0.15">
      <c r="CA118" s="36"/>
      <c r="CB118" s="1"/>
      <c r="CC118" s="1"/>
      <c r="CD118" s="1"/>
      <c r="CE118" s="41">
        <v>1</v>
      </c>
      <c r="CF118" s="1"/>
      <c r="CG118" s="1"/>
      <c r="CH118" s="1"/>
      <c r="CI118" s="108">
        <v>2</v>
      </c>
      <c r="CJ118" s="108"/>
      <c r="CK118" s="107">
        <f>IF(ISERROR(#REF!),0,#REF!)</f>
        <v>0</v>
      </c>
      <c r="CL118" s="107"/>
      <c r="CM118" s="107"/>
      <c r="CN118" s="107"/>
      <c r="CO118" s="107"/>
      <c r="CP118" s="107"/>
      <c r="CQ118" s="107"/>
      <c r="CR118" s="1"/>
      <c r="CS118" s="15" t="s">
        <v>31</v>
      </c>
      <c r="CT118" s="16"/>
      <c r="CU118" s="10"/>
      <c r="CV118" s="115" t="s">
        <v>74</v>
      </c>
      <c r="CW118" s="115"/>
      <c r="CX118" s="115"/>
      <c r="CY118" s="115"/>
      <c r="CZ118" s="115"/>
      <c r="DA118" s="10"/>
      <c r="DB118" s="10"/>
      <c r="DC118" s="10"/>
      <c r="DD118" s="31" t="s">
        <v>75</v>
      </c>
      <c r="DE118" s="32"/>
      <c r="DF118" s="32"/>
      <c r="DG118" s="32"/>
      <c r="DH118" s="32"/>
      <c r="DI118" s="32"/>
      <c r="DJ118" s="17"/>
      <c r="DK118" s="10"/>
      <c r="DL118" s="1"/>
      <c r="DM118" s="117" t="s">
        <v>76</v>
      </c>
      <c r="DN118" s="117"/>
      <c r="DO118" s="117"/>
      <c r="DP118" s="117"/>
      <c r="DQ118" s="117"/>
      <c r="DR118" s="117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37"/>
      <c r="FB118" s="53">
        <v>0</v>
      </c>
      <c r="FC118" s="54">
        <v>6</v>
      </c>
      <c r="FD118" s="54" t="e">
        <f>#REF!</f>
        <v>#REF!</v>
      </c>
      <c r="FE118" s="54">
        <f t="shared" si="5"/>
        <v>0</v>
      </c>
      <c r="FF118" s="54" t="str">
        <f t="shared" si="6"/>
        <v>一式</v>
      </c>
      <c r="FG118" s="54">
        <f t="shared" si="7"/>
        <v>85000</v>
      </c>
      <c r="FH118" s="54">
        <f t="shared" si="8"/>
        <v>85000</v>
      </c>
      <c r="FI118" s="54" t="str">
        <f t="shared" si="9"/>
        <v>四日市市内客先</v>
      </c>
    </row>
    <row r="119" spans="79:165" ht="15" customHeight="1" x14ac:dyDescent="0.15">
      <c r="CA119" s="36"/>
      <c r="CB119" s="1"/>
      <c r="CC119" s="1"/>
      <c r="CD119" s="1"/>
      <c r="CE119" s="41">
        <v>0</v>
      </c>
      <c r="CF119" s="1"/>
      <c r="CG119" s="1"/>
      <c r="CH119" s="1"/>
      <c r="CI119" s="108">
        <v>3</v>
      </c>
      <c r="CJ119" s="108"/>
      <c r="CK119" s="107">
        <f>IF(ISERROR(#REF!),0,#REF!)</f>
        <v>0</v>
      </c>
      <c r="CL119" s="107"/>
      <c r="CM119" s="107"/>
      <c r="CN119" s="107"/>
      <c r="CO119" s="107"/>
      <c r="CP119" s="107"/>
      <c r="CQ119" s="107"/>
      <c r="CR119" s="1"/>
      <c r="CS119" s="12" t="s">
        <v>77</v>
      </c>
      <c r="CT119" s="13"/>
      <c r="CU119" s="10"/>
      <c r="CV119" s="21" t="s">
        <v>78</v>
      </c>
      <c r="CW119" s="109">
        <v>100</v>
      </c>
      <c r="CX119" s="109"/>
      <c r="CY119" s="110"/>
      <c r="CZ119" s="17" t="s">
        <v>70</v>
      </c>
      <c r="DA119" s="10"/>
      <c r="DB119" s="10"/>
      <c r="DC119" s="10"/>
      <c r="DD119" s="31" t="s">
        <v>79</v>
      </c>
      <c r="DE119" s="32"/>
      <c r="DF119" s="32"/>
      <c r="DG119" s="32"/>
      <c r="DH119" s="32"/>
      <c r="DI119" s="32"/>
      <c r="DJ119" s="17"/>
      <c r="DK119" s="10"/>
      <c r="DL119" s="1"/>
      <c r="DM119" s="98" t="s">
        <v>80</v>
      </c>
      <c r="DN119" s="99"/>
      <c r="DO119" s="99"/>
      <c r="DP119" s="99"/>
      <c r="DQ119" s="99"/>
      <c r="DR119" s="100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37"/>
      <c r="FB119" s="53">
        <v>0</v>
      </c>
      <c r="FC119" s="54">
        <v>7</v>
      </c>
      <c r="FD119" s="54" t="e">
        <f>#REF!</f>
        <v>#REF!</v>
      </c>
      <c r="FE119" s="54">
        <f t="shared" si="5"/>
        <v>0</v>
      </c>
      <c r="FF119" s="54" t="str">
        <f t="shared" si="6"/>
        <v>一式</v>
      </c>
      <c r="FG119" s="54">
        <f t="shared" si="7"/>
        <v>150000</v>
      </c>
      <c r="FH119" s="54">
        <f t="shared" si="8"/>
        <v>150000</v>
      </c>
      <c r="FI119" s="54" t="str">
        <f t="shared" si="9"/>
        <v>行田市内客先</v>
      </c>
    </row>
    <row r="120" spans="79:165" ht="15" customHeight="1" x14ac:dyDescent="0.15">
      <c r="CA120" s="36"/>
      <c r="CB120" s="1"/>
      <c r="CC120" s="1"/>
      <c r="CD120" s="1"/>
      <c r="CE120" s="42" t="s">
        <v>81</v>
      </c>
      <c r="CF120" s="1"/>
      <c r="CG120" s="1"/>
      <c r="CH120" s="1"/>
      <c r="CI120" s="108">
        <v>4</v>
      </c>
      <c r="CJ120" s="108"/>
      <c r="CK120" s="107"/>
      <c r="CL120" s="107"/>
      <c r="CM120" s="107"/>
      <c r="CN120" s="107"/>
      <c r="CO120" s="107"/>
      <c r="CP120" s="107"/>
      <c r="CQ120" s="107"/>
      <c r="CR120" s="1"/>
      <c r="CS120" s="12" t="s">
        <v>82</v>
      </c>
      <c r="CT120" s="13"/>
      <c r="CU120" s="10"/>
      <c r="CV120" s="21" t="s">
        <v>83</v>
      </c>
      <c r="CW120" s="109">
        <v>80</v>
      </c>
      <c r="CX120" s="109"/>
      <c r="CY120" s="110"/>
      <c r="CZ120" s="17" t="s">
        <v>70</v>
      </c>
      <c r="DA120" s="10"/>
      <c r="DB120" s="10"/>
      <c r="DC120" s="10"/>
      <c r="DD120" s="31" t="s">
        <v>84</v>
      </c>
      <c r="DE120" s="32"/>
      <c r="DF120" s="32"/>
      <c r="DG120" s="32"/>
      <c r="DH120" s="32"/>
      <c r="DI120" s="32"/>
      <c r="DJ120" s="17"/>
      <c r="DK120" s="10"/>
      <c r="DL120" s="1"/>
      <c r="DM120" s="112" t="s">
        <v>85</v>
      </c>
      <c r="DN120" s="113"/>
      <c r="DO120" s="113"/>
      <c r="DP120" s="113"/>
      <c r="DQ120" s="113"/>
      <c r="DR120" s="114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37"/>
      <c r="FB120" s="53">
        <v>0</v>
      </c>
      <c r="FC120" s="54">
        <v>8</v>
      </c>
      <c r="FD120" s="54" t="str">
        <f>B31</f>
        <v>FL-LCW 1500w　加工デモ　日帰り　ハイエース使用</v>
      </c>
      <c r="FE120" s="54">
        <f t="shared" si="5"/>
        <v>0</v>
      </c>
      <c r="FF120" s="54" t="str">
        <f t="shared" si="6"/>
        <v>一式</v>
      </c>
      <c r="FG120" s="54">
        <f t="shared" si="7"/>
        <v>100000</v>
      </c>
      <c r="FH120" s="54">
        <f t="shared" si="8"/>
        <v>100000</v>
      </c>
      <c r="FI120" s="54" t="str">
        <f t="shared" si="9"/>
        <v>大阪市内客先</v>
      </c>
    </row>
    <row r="121" spans="79:165" ht="15" customHeight="1" x14ac:dyDescent="0.15">
      <c r="CA121" s="36"/>
      <c r="CB121" s="1"/>
      <c r="CC121" s="1"/>
      <c r="CD121" s="1"/>
      <c r="CE121" s="41" t="s">
        <v>86</v>
      </c>
      <c r="CF121" s="1"/>
      <c r="CG121" s="1"/>
      <c r="CH121" s="1"/>
      <c r="CI121" s="108">
        <v>5</v>
      </c>
      <c r="CJ121" s="108"/>
      <c r="CK121" s="107"/>
      <c r="CL121" s="107"/>
      <c r="CM121" s="107"/>
      <c r="CN121" s="107"/>
      <c r="CO121" s="107"/>
      <c r="CP121" s="107"/>
      <c r="CQ121" s="107"/>
      <c r="CR121" s="1"/>
      <c r="CS121" s="15" t="s">
        <v>87</v>
      </c>
      <c r="CT121" s="15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"/>
      <c r="DM121" s="112" t="s">
        <v>88</v>
      </c>
      <c r="DN121" s="113"/>
      <c r="DO121" s="113"/>
      <c r="DP121" s="113"/>
      <c r="DQ121" s="113"/>
      <c r="DR121" s="114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37"/>
      <c r="FB121" s="53">
        <v>0</v>
      </c>
      <c r="FC121" s="54">
        <v>9</v>
      </c>
      <c r="FD121" s="54" t="str">
        <f>B34</f>
        <v>FL-LCW 1500w加工デモ　一泊二日　ハイエース使用</v>
      </c>
      <c r="FE121" s="54">
        <f t="shared" si="5"/>
        <v>0</v>
      </c>
      <c r="FF121" s="54" t="str">
        <f t="shared" si="6"/>
        <v>一式</v>
      </c>
      <c r="FG121" s="54">
        <f t="shared" si="7"/>
        <v>150000</v>
      </c>
      <c r="FH121" s="54">
        <f t="shared" si="8"/>
        <v>150000</v>
      </c>
      <c r="FI121" s="54" t="str">
        <f t="shared" si="9"/>
        <v>千葉県内客先</v>
      </c>
    </row>
    <row r="122" spans="79:165" ht="15" customHeight="1" x14ac:dyDescent="0.15">
      <c r="CA122" s="36"/>
      <c r="CB122" s="1"/>
      <c r="CC122" s="1"/>
      <c r="CD122" s="1"/>
      <c r="CE122" s="41" t="s">
        <v>11</v>
      </c>
      <c r="CF122" s="1"/>
      <c r="CG122" s="1"/>
      <c r="CH122" s="1"/>
      <c r="CI122" s="108">
        <v>6</v>
      </c>
      <c r="CJ122" s="108"/>
      <c r="CK122" s="107"/>
      <c r="CL122" s="107"/>
      <c r="CM122" s="107"/>
      <c r="CN122" s="107"/>
      <c r="CO122" s="107"/>
      <c r="CP122" s="107"/>
      <c r="CQ122" s="107"/>
      <c r="CR122" s="1"/>
      <c r="CS122" s="15" t="s">
        <v>89</v>
      </c>
      <c r="CT122" s="15"/>
      <c r="CU122" s="10"/>
      <c r="CV122" s="111" t="s">
        <v>90</v>
      </c>
      <c r="CW122" s="111"/>
      <c r="CX122" s="111"/>
      <c r="CY122" s="111"/>
      <c r="CZ122" s="111"/>
      <c r="DA122" s="111"/>
      <c r="DB122" s="111"/>
      <c r="DC122" s="111"/>
      <c r="DD122" s="111"/>
      <c r="DE122" s="115" t="s">
        <v>91</v>
      </c>
      <c r="DF122" s="115"/>
      <c r="DG122" s="115"/>
      <c r="DH122" s="115"/>
      <c r="DI122" s="115"/>
      <c r="DJ122" s="115"/>
      <c r="DK122" s="115"/>
      <c r="DL122" s="1"/>
      <c r="DM122" s="1"/>
      <c r="DN122" s="1"/>
      <c r="DO122" s="1"/>
      <c r="DP122" s="1"/>
      <c r="DQ122" s="1"/>
      <c r="DR122" s="101"/>
      <c r="DS122" s="101"/>
      <c r="DT122" s="101"/>
      <c r="DU122" s="101"/>
      <c r="DV122" s="101"/>
      <c r="DW122" s="101"/>
      <c r="DX122" s="101"/>
      <c r="DY122" s="101"/>
      <c r="DZ122" s="101"/>
      <c r="EA122" s="101"/>
      <c r="EB122" s="101"/>
      <c r="EC122" s="10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37"/>
      <c r="FB122" s="53">
        <v>0</v>
      </c>
      <c r="FC122" s="54">
        <v>10</v>
      </c>
      <c r="FD122" s="54" t="str">
        <f>B35</f>
        <v>FL-LCW 1500w加工デモ　一泊二日　　公共交通</v>
      </c>
      <c r="FE122" s="54">
        <f t="shared" si="5"/>
        <v>0</v>
      </c>
      <c r="FF122" s="54" t="str">
        <f t="shared" si="6"/>
        <v>一式</v>
      </c>
      <c r="FG122" s="54">
        <f t="shared" si="7"/>
        <v>180000</v>
      </c>
      <c r="FH122" s="54">
        <f t="shared" si="8"/>
        <v>180000</v>
      </c>
      <c r="FI122" s="54" t="str">
        <f t="shared" si="9"/>
        <v>東京都内</v>
      </c>
    </row>
    <row r="123" spans="79:165" ht="15" customHeight="1" x14ac:dyDescent="0.15">
      <c r="CA123" s="36"/>
      <c r="CB123" s="1"/>
      <c r="CC123" s="1"/>
      <c r="CD123" s="1"/>
      <c r="CE123" s="41" t="s">
        <v>92</v>
      </c>
      <c r="CF123" s="1"/>
      <c r="CG123" s="1"/>
      <c r="CH123" s="1"/>
      <c r="CI123" s="108">
        <v>7</v>
      </c>
      <c r="CJ123" s="108"/>
      <c r="CK123" s="107"/>
      <c r="CL123" s="107"/>
      <c r="CM123" s="107"/>
      <c r="CN123" s="107"/>
      <c r="CO123" s="107"/>
      <c r="CP123" s="107"/>
      <c r="CQ123" s="107"/>
      <c r="CR123" s="1"/>
      <c r="CS123" s="12" t="s">
        <v>93</v>
      </c>
      <c r="CT123" s="13"/>
      <c r="CU123" s="10"/>
      <c r="CV123" s="21" t="s">
        <v>78</v>
      </c>
      <c r="CW123" s="105" t="s">
        <v>94</v>
      </c>
      <c r="CX123" s="105"/>
      <c r="CY123" s="105"/>
      <c r="CZ123" s="105"/>
      <c r="DA123" s="105"/>
      <c r="DB123" s="105"/>
      <c r="DC123" s="105"/>
      <c r="DD123" s="105"/>
      <c r="DE123" s="105" t="s">
        <v>95</v>
      </c>
      <c r="DF123" s="105"/>
      <c r="DG123" s="105"/>
      <c r="DH123" s="105"/>
      <c r="DI123" s="105"/>
      <c r="DJ123" s="105"/>
      <c r="DK123" s="105"/>
      <c r="DL123" s="1"/>
      <c r="DM123" s="1"/>
      <c r="DN123" s="1"/>
      <c r="DO123" s="1"/>
      <c r="DP123" s="1"/>
      <c r="DQ123" s="1"/>
      <c r="DR123" s="101"/>
      <c r="DS123" s="101"/>
      <c r="DT123" s="101"/>
      <c r="DU123" s="101"/>
      <c r="DV123" s="101"/>
      <c r="DW123" s="101"/>
      <c r="DX123" s="101"/>
      <c r="DY123" s="101"/>
      <c r="DZ123" s="101"/>
      <c r="EA123" s="101"/>
      <c r="EB123" s="101"/>
      <c r="EC123" s="10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37"/>
      <c r="FB123" s="53">
        <v>0</v>
      </c>
      <c r="FC123" s="54">
        <v>11</v>
      </c>
      <c r="FD123" s="54" t="str">
        <f>B36</f>
        <v>FL-LCW 1500w加工デモ　一泊二日　　公共交通</v>
      </c>
      <c r="FE123" s="54">
        <f t="shared" si="5"/>
        <v>0</v>
      </c>
      <c r="FF123" s="54" t="str">
        <f t="shared" si="6"/>
        <v>一式</v>
      </c>
      <c r="FG123" s="54">
        <f t="shared" si="7"/>
        <v>180000</v>
      </c>
      <c r="FH123" s="54">
        <f t="shared" si="8"/>
        <v>180000</v>
      </c>
      <c r="FI123" s="54" t="str">
        <f t="shared" si="9"/>
        <v>新潟市内</v>
      </c>
    </row>
    <row r="124" spans="79:165" ht="15" customHeight="1" x14ac:dyDescent="0.15">
      <c r="CA124" s="36"/>
      <c r="CB124" s="1"/>
      <c r="CC124" s="1"/>
      <c r="CD124" s="1"/>
      <c r="CE124" s="1"/>
      <c r="CF124" s="1"/>
      <c r="CG124" s="1"/>
      <c r="CH124" s="1"/>
      <c r="CI124" s="108">
        <v>8</v>
      </c>
      <c r="CJ124" s="108"/>
      <c r="CK124" s="107"/>
      <c r="CL124" s="107"/>
      <c r="CM124" s="107"/>
      <c r="CN124" s="107"/>
      <c r="CO124" s="107"/>
      <c r="CP124" s="107"/>
      <c r="CQ124" s="107"/>
      <c r="CR124" s="1"/>
      <c r="CS124" s="12" t="s">
        <v>96</v>
      </c>
      <c r="CT124" s="13"/>
      <c r="CU124" s="10"/>
      <c r="CV124" s="21" t="s">
        <v>83</v>
      </c>
      <c r="CW124" s="105" t="s">
        <v>97</v>
      </c>
      <c r="CX124" s="105"/>
      <c r="CY124" s="105"/>
      <c r="CZ124" s="105"/>
      <c r="DA124" s="105"/>
      <c r="DB124" s="105"/>
      <c r="DC124" s="105"/>
      <c r="DD124" s="105"/>
      <c r="DE124" s="105" t="s">
        <v>98</v>
      </c>
      <c r="DF124" s="105"/>
      <c r="DG124" s="105"/>
      <c r="DH124" s="105"/>
      <c r="DI124" s="105"/>
      <c r="DJ124" s="105"/>
      <c r="DK124" s="105"/>
      <c r="DL124" s="1"/>
      <c r="DM124" s="1"/>
      <c r="DN124" s="1"/>
      <c r="DO124" s="1"/>
      <c r="DP124" s="1"/>
      <c r="DQ124" s="1"/>
      <c r="DR124" s="101"/>
      <c r="DS124" s="101"/>
      <c r="DT124" s="101"/>
      <c r="DU124" s="101"/>
      <c r="DV124" s="101"/>
      <c r="DW124" s="101"/>
      <c r="DX124" s="101"/>
      <c r="DY124" s="101"/>
      <c r="DZ124" s="101"/>
      <c r="EA124" s="101"/>
      <c r="EB124" s="101"/>
      <c r="EC124" s="10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37"/>
      <c r="FB124" s="53">
        <v>0</v>
      </c>
      <c r="FC124" s="54">
        <v>12</v>
      </c>
      <c r="FD124" s="54" t="str">
        <f>B37</f>
        <v>FL-LCW 1500w加工デモ　二泊三日　ハイエース使用</v>
      </c>
      <c r="FE124" s="54">
        <f t="shared" si="5"/>
        <v>0</v>
      </c>
      <c r="FF124" s="54" t="str">
        <f t="shared" si="6"/>
        <v>一式</v>
      </c>
      <c r="FG124" s="54">
        <f t="shared" si="7"/>
        <v>250000</v>
      </c>
      <c r="FH124" s="54">
        <f t="shared" si="8"/>
        <v>250000</v>
      </c>
      <c r="FI124" s="54" t="str">
        <f t="shared" si="9"/>
        <v>新潟市内</v>
      </c>
    </row>
    <row r="125" spans="79:165" ht="15" customHeight="1" x14ac:dyDescent="0.15">
      <c r="CA125" s="36"/>
      <c r="CB125" s="1"/>
      <c r="CC125" s="1"/>
      <c r="CD125" s="1"/>
      <c r="CE125" s="1"/>
      <c r="CF125" s="1"/>
      <c r="CG125" s="1"/>
      <c r="CH125" s="1"/>
      <c r="CI125" s="108">
        <v>9</v>
      </c>
      <c r="CJ125" s="108"/>
      <c r="CK125" s="107"/>
      <c r="CL125" s="107"/>
      <c r="CM125" s="107"/>
      <c r="CN125" s="107"/>
      <c r="CO125" s="107"/>
      <c r="CP125" s="107"/>
      <c r="CQ125" s="107"/>
      <c r="CR125" s="1"/>
      <c r="CS125" s="12" t="s">
        <v>99</v>
      </c>
      <c r="CT125" s="13"/>
      <c r="CU125" s="10"/>
      <c r="CV125" s="21" t="s">
        <v>100</v>
      </c>
      <c r="CW125" s="105" t="s">
        <v>101</v>
      </c>
      <c r="CX125" s="105"/>
      <c r="CY125" s="105"/>
      <c r="CZ125" s="105"/>
      <c r="DA125" s="105"/>
      <c r="DB125" s="105"/>
      <c r="DC125" s="105"/>
      <c r="DD125" s="105"/>
      <c r="DE125" s="105" t="s">
        <v>102</v>
      </c>
      <c r="DF125" s="105"/>
      <c r="DG125" s="105"/>
      <c r="DH125" s="105"/>
      <c r="DI125" s="105"/>
      <c r="DJ125" s="105"/>
      <c r="DK125" s="105"/>
      <c r="DL125" s="1"/>
      <c r="DM125" s="1"/>
      <c r="DN125" s="1"/>
      <c r="DO125" s="1"/>
      <c r="DP125" s="1"/>
      <c r="DQ125" s="1"/>
      <c r="DR125" s="101"/>
      <c r="DS125" s="101"/>
      <c r="DT125" s="101"/>
      <c r="DU125" s="101"/>
      <c r="DV125" s="101"/>
      <c r="DW125" s="101"/>
      <c r="DX125" s="101"/>
      <c r="DY125" s="101"/>
      <c r="DZ125" s="101"/>
      <c r="EA125" s="101"/>
      <c r="EB125" s="101"/>
      <c r="EC125" s="10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37"/>
      <c r="FB125" s="53">
        <v>1</v>
      </c>
      <c r="FC125" s="54">
        <v>1</v>
      </c>
      <c r="FD125" s="54">
        <f>本体装備品一覧!$C$7</f>
        <v>0</v>
      </c>
      <c r="FE125" s="54">
        <f>本体装備品一覧!$U$7</f>
        <v>0</v>
      </c>
      <c r="FF125" s="54">
        <f>本体装備品一覧!$Y$7</f>
        <v>0</v>
      </c>
      <c r="FG125" s="54">
        <f>本体装備品一覧!$AB$7</f>
        <v>0</v>
      </c>
      <c r="FH125" s="54">
        <f>本体装備品一覧!$AG$7</f>
        <v>0</v>
      </c>
      <c r="FI125" s="54">
        <f>本体装備品一覧!$AN$7</f>
        <v>0</v>
      </c>
    </row>
    <row r="126" spans="79:165" ht="15" customHeight="1" x14ac:dyDescent="0.15">
      <c r="CA126" s="36"/>
      <c r="CB126" s="1"/>
      <c r="CC126" s="1"/>
      <c r="CD126" s="1"/>
      <c r="CE126" s="1"/>
      <c r="CF126" s="1"/>
      <c r="CG126" s="1"/>
      <c r="CH126" s="1"/>
      <c r="CI126" s="108">
        <v>10</v>
      </c>
      <c r="CJ126" s="108"/>
      <c r="CK126" s="107"/>
      <c r="CL126" s="107"/>
      <c r="CM126" s="107"/>
      <c r="CN126" s="107"/>
      <c r="CO126" s="107"/>
      <c r="CP126" s="107"/>
      <c r="CQ126" s="107"/>
      <c r="CR126" s="1"/>
      <c r="CS126" s="15" t="s">
        <v>103</v>
      </c>
      <c r="CT126" s="16"/>
      <c r="CU126" s="10"/>
      <c r="CV126" s="21" t="s">
        <v>104</v>
      </c>
      <c r="CW126" s="105" t="s">
        <v>105</v>
      </c>
      <c r="CX126" s="105"/>
      <c r="CY126" s="105"/>
      <c r="CZ126" s="105"/>
      <c r="DA126" s="105"/>
      <c r="DB126" s="105"/>
      <c r="DC126" s="105"/>
      <c r="DD126" s="105"/>
      <c r="DE126" s="105" t="s">
        <v>106</v>
      </c>
      <c r="DF126" s="105"/>
      <c r="DG126" s="105"/>
      <c r="DH126" s="105"/>
      <c r="DI126" s="105"/>
      <c r="DJ126" s="105"/>
      <c r="DK126" s="105"/>
      <c r="DL126" s="1"/>
      <c r="DM126" s="1"/>
      <c r="DN126" s="1"/>
      <c r="DO126" s="1"/>
      <c r="DP126" s="1"/>
      <c r="DQ126" s="1"/>
      <c r="DR126" s="101"/>
      <c r="DS126" s="101"/>
      <c r="DT126" s="101"/>
      <c r="DU126" s="101"/>
      <c r="DV126" s="101"/>
      <c r="DW126" s="101"/>
      <c r="DX126" s="101"/>
      <c r="DY126" s="101"/>
      <c r="DZ126" s="101"/>
      <c r="EA126" s="101"/>
      <c r="EB126" s="101"/>
      <c r="EC126" s="10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37"/>
      <c r="FB126" s="53">
        <v>1</v>
      </c>
      <c r="FC126" s="54">
        <v>2</v>
      </c>
      <c r="FD126" s="54">
        <f>本体装備品一覧!$C$8</f>
        <v>0</v>
      </c>
      <c r="FE126" s="54">
        <f>本体装備品一覧!$U$8</f>
        <v>0</v>
      </c>
      <c r="FF126" s="54">
        <f>本体装備品一覧!$Y$8</f>
        <v>0</v>
      </c>
      <c r="FG126" s="54">
        <f>本体装備品一覧!$AB$8</f>
        <v>0</v>
      </c>
      <c r="FH126" s="54">
        <f>本体装備品一覧!$AG$8</f>
        <v>0</v>
      </c>
      <c r="FI126" s="54">
        <f>本体装備品一覧!$AN$8</f>
        <v>0</v>
      </c>
    </row>
    <row r="127" spans="79:165" ht="15" customHeight="1" x14ac:dyDescent="0.15">
      <c r="CA127" s="36"/>
      <c r="CB127" s="1"/>
      <c r="CC127" s="1"/>
      <c r="CD127" s="1"/>
      <c r="CE127" s="1"/>
      <c r="CF127" s="1"/>
      <c r="CG127" s="1"/>
      <c r="CH127" s="1"/>
      <c r="CI127" s="106" t="s">
        <v>107</v>
      </c>
      <c r="CJ127" s="106"/>
      <c r="CK127" s="107">
        <f>SUM(CK116:CQ126)</f>
        <v>1776000</v>
      </c>
      <c r="CL127" s="107"/>
      <c r="CM127" s="107"/>
      <c r="CN127" s="107"/>
      <c r="CO127" s="107"/>
      <c r="CP127" s="107"/>
      <c r="CQ127" s="107"/>
      <c r="CR127" s="1"/>
      <c r="CS127" s="12" t="s">
        <v>108</v>
      </c>
      <c r="CT127" s="13"/>
      <c r="CU127" s="10"/>
      <c r="CV127" s="21" t="s">
        <v>109</v>
      </c>
      <c r="CW127" s="105" t="s">
        <v>110</v>
      </c>
      <c r="CX127" s="105"/>
      <c r="CY127" s="105"/>
      <c r="CZ127" s="105"/>
      <c r="DA127" s="105"/>
      <c r="DB127" s="105"/>
      <c r="DC127" s="105"/>
      <c r="DD127" s="105"/>
      <c r="DE127" s="105" t="s">
        <v>111</v>
      </c>
      <c r="DF127" s="105"/>
      <c r="DG127" s="105"/>
      <c r="DH127" s="105"/>
      <c r="DI127" s="105"/>
      <c r="DJ127" s="105"/>
      <c r="DK127" s="105"/>
      <c r="DL127" s="1"/>
      <c r="DM127" s="1"/>
      <c r="DN127" s="1"/>
      <c r="DO127" s="1"/>
      <c r="DP127" s="1"/>
      <c r="DQ127" s="1"/>
      <c r="DR127" s="101"/>
      <c r="DS127" s="101"/>
      <c r="DT127" s="101"/>
      <c r="DU127" s="101"/>
      <c r="DV127" s="101"/>
      <c r="DW127" s="101"/>
      <c r="DX127" s="101"/>
      <c r="DY127" s="101"/>
      <c r="DZ127" s="101"/>
      <c r="EA127" s="101"/>
      <c r="EB127" s="101"/>
      <c r="EC127" s="10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37"/>
      <c r="FB127" s="53">
        <v>1</v>
      </c>
      <c r="FC127" s="54">
        <v>3</v>
      </c>
      <c r="FD127" s="54">
        <f>本体装備品一覧!$C$9</f>
        <v>0</v>
      </c>
      <c r="FE127" s="54">
        <f>本体装備品一覧!$U$9</f>
        <v>0</v>
      </c>
      <c r="FF127" s="54">
        <f>本体装備品一覧!$Y$9</f>
        <v>0</v>
      </c>
      <c r="FG127" s="54">
        <f>本体装備品一覧!$AB$9</f>
        <v>0</v>
      </c>
      <c r="FH127" s="54">
        <f>本体装備品一覧!$AG$9</f>
        <v>0</v>
      </c>
      <c r="FI127" s="54">
        <f>本体装備品一覧!$AN$9</f>
        <v>0</v>
      </c>
    </row>
    <row r="128" spans="79:165" ht="15" customHeight="1" x14ac:dyDescent="0.15">
      <c r="CA128" s="36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2"/>
      <c r="CT128" s="13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37"/>
      <c r="FB128" s="53">
        <v>1</v>
      </c>
      <c r="FC128" s="54">
        <v>4</v>
      </c>
      <c r="FD128" s="54">
        <f>本体装備品一覧!$C$10</f>
        <v>0</v>
      </c>
      <c r="FE128" s="54">
        <f>本体装備品一覧!$U$10</f>
        <v>0</v>
      </c>
      <c r="FF128" s="54">
        <f>本体装備品一覧!$Y$10</f>
        <v>0</v>
      </c>
      <c r="FG128" s="54">
        <f>本体装備品一覧!$AB$10</f>
        <v>0</v>
      </c>
      <c r="FH128" s="54">
        <f>本体装備品一覧!$AG$10</f>
        <v>0</v>
      </c>
      <c r="FI128" s="54">
        <f>本体装備品一覧!$AN$10</f>
        <v>0</v>
      </c>
    </row>
    <row r="129" spans="79:165" ht="15" customHeight="1" x14ac:dyDescent="0.15">
      <c r="CA129" s="36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37"/>
      <c r="FB129" s="53">
        <v>1</v>
      </c>
      <c r="FC129" s="54">
        <v>5</v>
      </c>
      <c r="FD129" s="54">
        <f>本体装備品一覧!$C$11</f>
        <v>0</v>
      </c>
      <c r="FE129" s="54">
        <f>本体装備品一覧!$U$11</f>
        <v>0</v>
      </c>
      <c r="FF129" s="54">
        <f>本体装備品一覧!$Y$11</f>
        <v>0</v>
      </c>
      <c r="FG129" s="54">
        <f>本体装備品一覧!$AB$11</f>
        <v>0</v>
      </c>
      <c r="FH129" s="54">
        <f>本体装備品一覧!$AG$11</f>
        <v>0</v>
      </c>
      <c r="FI129" s="54">
        <f>本体装備品一覧!$AN$11</f>
        <v>0</v>
      </c>
    </row>
    <row r="130" spans="79:165" ht="15" customHeight="1" x14ac:dyDescent="0.15">
      <c r="CA130" s="36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37"/>
      <c r="FB130" s="53">
        <v>1</v>
      </c>
      <c r="FC130" s="54">
        <v>6</v>
      </c>
      <c r="FD130" s="54">
        <f>本体装備品一覧!$C$12</f>
        <v>0</v>
      </c>
      <c r="FE130" s="54">
        <f>本体装備品一覧!$U$12</f>
        <v>0</v>
      </c>
      <c r="FF130" s="54">
        <f>本体装備品一覧!$Y$12</f>
        <v>0</v>
      </c>
      <c r="FG130" s="54">
        <f>本体装備品一覧!$AB$12</f>
        <v>0</v>
      </c>
      <c r="FH130" s="54">
        <f>本体装備品一覧!$AG$12</f>
        <v>0</v>
      </c>
      <c r="FI130" s="54">
        <f>本体装備品一覧!$AN$12</f>
        <v>0</v>
      </c>
    </row>
    <row r="131" spans="79:165" ht="15" customHeight="1" x14ac:dyDescent="0.15">
      <c r="CA131" s="36"/>
      <c r="CB131" s="1"/>
      <c r="CC131" s="1"/>
      <c r="CD131" s="1"/>
      <c r="CE131" s="1"/>
      <c r="CF131" s="1"/>
      <c r="CG131" s="1"/>
      <c r="CH131" s="1"/>
      <c r="CI131" s="102" t="s">
        <v>112</v>
      </c>
      <c r="CJ131" s="102"/>
      <c r="CK131" s="102"/>
      <c r="CL131" s="102"/>
      <c r="CM131" s="103" t="s">
        <v>113</v>
      </c>
      <c r="CN131" s="104"/>
      <c r="CO131" s="104"/>
      <c r="CP131" s="104"/>
      <c r="CQ131" s="104"/>
      <c r="CR131" s="104"/>
      <c r="CS131" s="104"/>
      <c r="CT131" s="104"/>
      <c r="CU131" s="104"/>
      <c r="CV131" s="104"/>
      <c r="CW131" s="104"/>
      <c r="CX131" s="104"/>
      <c r="CY131" s="104"/>
      <c r="CZ131" s="104"/>
      <c r="DA131" s="104"/>
      <c r="DB131" s="104"/>
      <c r="DC131" s="104"/>
      <c r="DD131" s="104"/>
      <c r="DE131" s="104"/>
      <c r="DF131" s="104"/>
      <c r="DG131" s="104"/>
      <c r="DH131" s="104"/>
      <c r="DI131" s="104"/>
      <c r="DJ131" s="104"/>
      <c r="DK131" s="104"/>
      <c r="DL131" s="1"/>
      <c r="DM131" s="96" t="s">
        <v>114</v>
      </c>
      <c r="DN131" s="97"/>
      <c r="DO131" s="98" t="s">
        <v>115</v>
      </c>
      <c r="DP131" s="99"/>
      <c r="DQ131" s="99"/>
      <c r="DR131" s="99"/>
      <c r="DS131" s="99"/>
      <c r="DT131" s="99"/>
      <c r="DU131" s="100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37"/>
      <c r="FB131" s="53">
        <v>1</v>
      </c>
      <c r="FC131" s="54">
        <v>7</v>
      </c>
      <c r="FD131" s="54">
        <f>本体装備品一覧!$C$13</f>
        <v>0</v>
      </c>
      <c r="FE131" s="54">
        <f>本体装備品一覧!$U$13</f>
        <v>0</v>
      </c>
      <c r="FF131" s="54">
        <f>本体装備品一覧!$Y$13</f>
        <v>0</v>
      </c>
      <c r="FG131" s="54">
        <f>本体装備品一覧!$AB$13</f>
        <v>0</v>
      </c>
      <c r="FH131" s="54">
        <f>本体装備品一覧!$AG$13</f>
        <v>0</v>
      </c>
      <c r="FI131" s="54">
        <f>本体装備品一覧!$AN$13</f>
        <v>0</v>
      </c>
    </row>
    <row r="132" spans="79:165" ht="15" customHeight="1" x14ac:dyDescent="0.15">
      <c r="CA132" s="36"/>
      <c r="CB132" s="1"/>
      <c r="CC132" s="1"/>
      <c r="CD132" s="1"/>
      <c r="CE132" s="1"/>
      <c r="CF132" s="1"/>
      <c r="CG132" s="1"/>
      <c r="CH132" s="1"/>
      <c r="CI132" s="102" t="s">
        <v>116</v>
      </c>
      <c r="CJ132" s="102"/>
      <c r="CK132" s="102"/>
      <c r="CL132" s="102"/>
      <c r="CM132" s="103"/>
      <c r="CN132" s="104"/>
      <c r="CO132" s="104"/>
      <c r="CP132" s="104"/>
      <c r="CQ132" s="104"/>
      <c r="CR132" s="104"/>
      <c r="CS132" s="104"/>
      <c r="CT132" s="104"/>
      <c r="CU132" s="104"/>
      <c r="CV132" s="104"/>
      <c r="CW132" s="104"/>
      <c r="CX132" s="104"/>
      <c r="CY132" s="104"/>
      <c r="CZ132" s="104"/>
      <c r="DA132" s="104"/>
      <c r="DB132" s="104"/>
      <c r="DC132" s="104"/>
      <c r="DD132" s="104"/>
      <c r="DE132" s="104"/>
      <c r="DF132" s="104"/>
      <c r="DG132" s="104"/>
      <c r="DH132" s="104"/>
      <c r="DI132" s="104"/>
      <c r="DJ132" s="104"/>
      <c r="DK132" s="104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37"/>
      <c r="FB132" s="53">
        <v>1</v>
      </c>
      <c r="FC132" s="54">
        <v>8</v>
      </c>
      <c r="FD132" s="54">
        <f>本体装備品一覧!$C$14</f>
        <v>0</v>
      </c>
      <c r="FE132" s="54">
        <f>本体装備品一覧!$U$14</f>
        <v>0</v>
      </c>
      <c r="FF132" s="54">
        <f>本体装備品一覧!$Y$14</f>
        <v>0</v>
      </c>
      <c r="FG132" s="54">
        <f>本体装備品一覧!$AB$14</f>
        <v>0</v>
      </c>
      <c r="FH132" s="54">
        <f>本体装備品一覧!$AG$14</f>
        <v>0</v>
      </c>
      <c r="FI132" s="54">
        <f>本体装備品一覧!$AN$14</f>
        <v>0</v>
      </c>
    </row>
    <row r="133" spans="79:165" ht="15" customHeight="1" x14ac:dyDescent="0.15">
      <c r="CA133" s="36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37"/>
      <c r="FB133" s="53">
        <v>1</v>
      </c>
      <c r="FC133" s="54">
        <v>9</v>
      </c>
      <c r="FD133" s="54">
        <f>本体装備品一覧!$C$15</f>
        <v>0</v>
      </c>
      <c r="FE133" s="54">
        <f>本体装備品一覧!$U$15</f>
        <v>0</v>
      </c>
      <c r="FF133" s="54">
        <f>本体装備品一覧!$Y$15</f>
        <v>0</v>
      </c>
      <c r="FG133" s="54">
        <f>本体装備品一覧!$AB$15</f>
        <v>0</v>
      </c>
      <c r="FH133" s="54">
        <f>本体装備品一覧!$AG$15</f>
        <v>0</v>
      </c>
      <c r="FI133" s="54">
        <f>本体装備品一覧!$AN$15</f>
        <v>0</v>
      </c>
    </row>
    <row r="134" spans="79:165" ht="15" customHeight="1" x14ac:dyDescent="0.15">
      <c r="CA134" s="36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37"/>
      <c r="FB134" s="53">
        <v>1</v>
      </c>
      <c r="FC134" s="54">
        <v>10</v>
      </c>
      <c r="FD134" s="54">
        <f>本体装備品一覧!$C$16</f>
        <v>0</v>
      </c>
      <c r="FE134" s="54">
        <f>本体装備品一覧!$U$16</f>
        <v>0</v>
      </c>
      <c r="FF134" s="54">
        <f>本体装備品一覧!$Y$16</f>
        <v>0</v>
      </c>
      <c r="FG134" s="54">
        <f>本体装備品一覧!$AB$16</f>
        <v>0</v>
      </c>
      <c r="FH134" s="54">
        <f>本体装備品一覧!$AG$16</f>
        <v>0</v>
      </c>
      <c r="FI134" s="54">
        <f>本体装備品一覧!$AN$16</f>
        <v>0</v>
      </c>
    </row>
    <row r="135" spans="79:165" ht="15" customHeight="1" x14ac:dyDescent="0.15">
      <c r="CA135" s="36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37"/>
      <c r="FB135" s="53">
        <v>1</v>
      </c>
      <c r="FC135" s="54">
        <v>11</v>
      </c>
      <c r="FD135" s="54">
        <f>本体装備品一覧!$C$17</f>
        <v>0</v>
      </c>
      <c r="FE135" s="54">
        <f>本体装備品一覧!$U$17</f>
        <v>0</v>
      </c>
      <c r="FF135" s="54">
        <f>本体装備品一覧!$Y$17</f>
        <v>0</v>
      </c>
      <c r="FG135" s="54">
        <f>本体装備品一覧!$AB$17</f>
        <v>0</v>
      </c>
      <c r="FH135" s="54">
        <f>本体装備品一覧!$AG$17</f>
        <v>0</v>
      </c>
      <c r="FI135" s="54">
        <f>本体装備品一覧!$AN$17</f>
        <v>0</v>
      </c>
    </row>
    <row r="136" spans="79:165" ht="15" customHeight="1" x14ac:dyDescent="0.15">
      <c r="CA136" s="36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37"/>
      <c r="FB136" s="53">
        <v>1</v>
      </c>
      <c r="FC136" s="54">
        <v>12</v>
      </c>
      <c r="FD136" s="54">
        <f>本体装備品一覧!$C$18</f>
        <v>0</v>
      </c>
      <c r="FE136" s="54">
        <f>本体装備品一覧!$U$18</f>
        <v>0</v>
      </c>
      <c r="FF136" s="54">
        <f>本体装備品一覧!$Y$18</f>
        <v>0</v>
      </c>
      <c r="FG136" s="54">
        <f>本体装備品一覧!$AB$18</f>
        <v>0</v>
      </c>
      <c r="FH136" s="54">
        <f>本体装備品一覧!$AG$18</f>
        <v>0</v>
      </c>
      <c r="FI136" s="54">
        <f>本体装備品一覧!$AN$18</f>
        <v>0</v>
      </c>
    </row>
    <row r="137" spans="79:165" ht="15" customHeight="1" x14ac:dyDescent="0.15">
      <c r="CA137" s="36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37"/>
      <c r="FB137" s="53">
        <v>1</v>
      </c>
      <c r="FC137" s="54">
        <v>13</v>
      </c>
      <c r="FD137" s="54">
        <f>本体装備品一覧!$C$19</f>
        <v>0</v>
      </c>
      <c r="FE137" s="54">
        <f>本体装備品一覧!$U$19</f>
        <v>0</v>
      </c>
      <c r="FF137" s="54">
        <f>本体装備品一覧!$Y$19</f>
        <v>0</v>
      </c>
      <c r="FG137" s="54">
        <f>本体装備品一覧!$AB$19</f>
        <v>0</v>
      </c>
      <c r="FH137" s="54">
        <f>本体装備品一覧!$AG$19</f>
        <v>0</v>
      </c>
      <c r="FI137" s="54">
        <f>本体装備品一覧!$AN$19</f>
        <v>0</v>
      </c>
    </row>
    <row r="138" spans="79:165" ht="15" customHeight="1" x14ac:dyDescent="0.15">
      <c r="CA138" s="40"/>
      <c r="CB138" s="38"/>
      <c r="CC138" s="38"/>
      <c r="CD138" s="38"/>
      <c r="CE138" s="38"/>
      <c r="CF138" s="38"/>
      <c r="CG138" s="38"/>
      <c r="CH138" s="38"/>
      <c r="CI138" s="38"/>
      <c r="CJ138" s="38"/>
      <c r="CK138" s="38"/>
      <c r="CL138" s="38"/>
      <c r="CM138" s="38"/>
      <c r="CN138" s="38"/>
      <c r="CO138" s="38"/>
      <c r="CP138" s="38"/>
      <c r="CQ138" s="38"/>
      <c r="CR138" s="38"/>
      <c r="CS138" s="38"/>
      <c r="CT138" s="38"/>
      <c r="CU138" s="38"/>
      <c r="CV138" s="38"/>
      <c r="CW138" s="38"/>
      <c r="CX138" s="38"/>
      <c r="CY138" s="38"/>
      <c r="CZ138" s="38"/>
      <c r="DA138" s="38"/>
      <c r="DB138" s="38"/>
      <c r="DC138" s="38"/>
      <c r="DD138" s="38"/>
      <c r="DE138" s="38"/>
      <c r="DF138" s="38"/>
      <c r="DG138" s="38"/>
      <c r="DH138" s="38"/>
      <c r="DI138" s="38"/>
      <c r="DJ138" s="38"/>
      <c r="DK138" s="38"/>
      <c r="DL138" s="38"/>
      <c r="DM138" s="38"/>
      <c r="DN138" s="38"/>
      <c r="DO138" s="38"/>
      <c r="DP138" s="38"/>
      <c r="DQ138" s="38"/>
      <c r="DR138" s="38"/>
      <c r="DS138" s="38"/>
      <c r="DT138" s="38"/>
      <c r="DU138" s="38"/>
      <c r="DV138" s="38"/>
      <c r="DW138" s="38"/>
      <c r="DX138" s="38"/>
      <c r="DY138" s="38"/>
      <c r="DZ138" s="38"/>
      <c r="EA138" s="38"/>
      <c r="EB138" s="38"/>
      <c r="EC138" s="38"/>
      <c r="ED138" s="38"/>
      <c r="EE138" s="38"/>
      <c r="EF138" s="38"/>
      <c r="EG138" s="38"/>
      <c r="EH138" s="38"/>
      <c r="EI138" s="38"/>
      <c r="EJ138" s="38"/>
      <c r="EK138" s="38"/>
      <c r="EL138" s="38"/>
      <c r="EM138" s="38"/>
      <c r="EN138" s="38"/>
      <c r="EO138" s="38"/>
      <c r="EP138" s="39"/>
      <c r="FB138" s="53">
        <v>1</v>
      </c>
      <c r="FC138" s="54">
        <v>14</v>
      </c>
      <c r="FD138" s="54">
        <f>本体装備品一覧!$C$20</f>
        <v>0</v>
      </c>
      <c r="FE138" s="54">
        <f>本体装備品一覧!$U$20</f>
        <v>0</v>
      </c>
      <c r="FF138" s="54">
        <f>本体装備品一覧!$Y$20</f>
        <v>0</v>
      </c>
      <c r="FG138" s="54">
        <f>本体装備品一覧!$AB$20</f>
        <v>0</v>
      </c>
      <c r="FH138" s="54">
        <f>本体装備品一覧!$AG$20</f>
        <v>0</v>
      </c>
      <c r="FI138" s="54">
        <f>本体装備品一覧!$AN$20</f>
        <v>0</v>
      </c>
    </row>
    <row r="139" spans="79:165" ht="15" customHeight="1" x14ac:dyDescent="0.15">
      <c r="FB139" s="53">
        <v>1</v>
      </c>
      <c r="FC139" s="54">
        <v>15</v>
      </c>
      <c r="FD139" s="54">
        <f>本体装備品一覧!$C$21</f>
        <v>0</v>
      </c>
      <c r="FE139" s="54">
        <f>本体装備品一覧!$U$21</f>
        <v>0</v>
      </c>
      <c r="FF139" s="54">
        <f>本体装備品一覧!$Y$21</f>
        <v>0</v>
      </c>
      <c r="FG139" s="54">
        <f>本体装備品一覧!$AB$21</f>
        <v>0</v>
      </c>
      <c r="FH139" s="54">
        <f>本体装備品一覧!$AG$21</f>
        <v>0</v>
      </c>
      <c r="FI139" s="54">
        <f>本体装備品一覧!$AN$21</f>
        <v>0</v>
      </c>
    </row>
    <row r="140" spans="79:165" ht="15" customHeight="1" x14ac:dyDescent="0.15">
      <c r="FB140" s="53">
        <v>1</v>
      </c>
      <c r="FC140" s="54">
        <v>16</v>
      </c>
      <c r="FD140" s="54">
        <f>本体装備品一覧!$C$22</f>
        <v>0</v>
      </c>
      <c r="FE140" s="54">
        <f>本体装備品一覧!$U$22</f>
        <v>0</v>
      </c>
      <c r="FF140" s="54">
        <f>本体装備品一覧!$Y$22</f>
        <v>0</v>
      </c>
      <c r="FG140" s="54">
        <f>本体装備品一覧!$AB$22</f>
        <v>0</v>
      </c>
      <c r="FH140" s="54">
        <f>本体装備品一覧!$AG$22</f>
        <v>0</v>
      </c>
      <c r="FI140" s="54">
        <f>本体装備品一覧!$AN$22</f>
        <v>0</v>
      </c>
    </row>
    <row r="141" spans="79:165" ht="15" customHeight="1" x14ac:dyDescent="0.15">
      <c r="FB141" s="53">
        <v>1</v>
      </c>
      <c r="FC141" s="54">
        <v>17</v>
      </c>
      <c r="FD141" s="54">
        <f>本体装備品一覧!$C$23</f>
        <v>0</v>
      </c>
      <c r="FE141" s="54">
        <f>本体装備品一覧!$U$23</f>
        <v>0</v>
      </c>
      <c r="FF141" s="54">
        <f>本体装備品一覧!$Y$23</f>
        <v>0</v>
      </c>
      <c r="FG141" s="54">
        <f>本体装備品一覧!$AB$23</f>
        <v>0</v>
      </c>
      <c r="FH141" s="54">
        <f>本体装備品一覧!$AG$23</f>
        <v>0</v>
      </c>
      <c r="FI141" s="54">
        <f>本体装備品一覧!$AN$23</f>
        <v>0</v>
      </c>
    </row>
    <row r="142" spans="79:165" ht="15" customHeight="1" x14ac:dyDescent="0.15">
      <c r="CM142" s="60"/>
      <c r="FB142" s="53">
        <v>1</v>
      </c>
      <c r="FC142" s="54">
        <v>18</v>
      </c>
      <c r="FD142" s="54">
        <f>本体装備品一覧!$C$24</f>
        <v>0</v>
      </c>
      <c r="FE142" s="54">
        <f>本体装備品一覧!$U$24</f>
        <v>0</v>
      </c>
      <c r="FF142" s="54">
        <f>本体装備品一覧!$Y$24</f>
        <v>0</v>
      </c>
      <c r="FG142" s="54">
        <f>本体装備品一覧!$AB$24</f>
        <v>0</v>
      </c>
      <c r="FH142" s="54">
        <f>本体装備品一覧!$AG$24</f>
        <v>0</v>
      </c>
      <c r="FI142" s="54">
        <f>本体装備品一覧!$AN$24</f>
        <v>0</v>
      </c>
    </row>
    <row r="143" spans="79:165" ht="15" customHeight="1" x14ac:dyDescent="0.15">
      <c r="FB143" s="53">
        <v>1</v>
      </c>
      <c r="FC143" s="54">
        <v>19</v>
      </c>
      <c r="FD143" s="54">
        <f>本体装備品一覧!$C$25</f>
        <v>0</v>
      </c>
      <c r="FE143" s="54">
        <f>本体装備品一覧!$U$25</f>
        <v>0</v>
      </c>
      <c r="FF143" s="54">
        <f>本体装備品一覧!$Y$25</f>
        <v>0</v>
      </c>
      <c r="FG143" s="54">
        <f>本体装備品一覧!$AB$25</f>
        <v>0</v>
      </c>
      <c r="FH143" s="54">
        <f>本体装備品一覧!$AG$25</f>
        <v>0</v>
      </c>
      <c r="FI143" s="54">
        <f>本体装備品一覧!$AN$25</f>
        <v>0</v>
      </c>
    </row>
    <row r="144" spans="79:165" ht="15" customHeight="1" x14ac:dyDescent="0.15">
      <c r="FB144" s="53">
        <v>1</v>
      </c>
      <c r="FC144" s="54">
        <v>20</v>
      </c>
      <c r="FD144" s="54">
        <f>本体装備品一覧!$C$26</f>
        <v>0</v>
      </c>
      <c r="FE144" s="54">
        <f>本体装備品一覧!$U$26</f>
        <v>0</v>
      </c>
      <c r="FF144" s="54">
        <f>本体装備品一覧!$Y$26</f>
        <v>0</v>
      </c>
      <c r="FG144" s="54">
        <f>本体装備品一覧!$AB$26</f>
        <v>0</v>
      </c>
      <c r="FH144" s="54">
        <f>本体装備品一覧!$AG$26</f>
        <v>0</v>
      </c>
      <c r="FI144" s="54">
        <f>本体装備品一覧!$AN$26</f>
        <v>0</v>
      </c>
    </row>
    <row r="145" spans="158:165" ht="15" customHeight="1" x14ac:dyDescent="0.15">
      <c r="FB145" s="53">
        <v>1</v>
      </c>
      <c r="FC145" s="54">
        <v>21</v>
      </c>
      <c r="FD145" s="54">
        <f>本体装備品一覧!$C$27</f>
        <v>0</v>
      </c>
      <c r="FE145" s="54">
        <f>本体装備品一覧!$U$27</f>
        <v>0</v>
      </c>
      <c r="FF145" s="54">
        <f>本体装備品一覧!$Y$27</f>
        <v>0</v>
      </c>
      <c r="FG145" s="54">
        <f>本体装備品一覧!$AB$27</f>
        <v>0</v>
      </c>
      <c r="FH145" s="54">
        <f>本体装備品一覧!$AG$27</f>
        <v>0</v>
      </c>
      <c r="FI145" s="54">
        <f>本体装備品一覧!$AN$27</f>
        <v>0</v>
      </c>
    </row>
    <row r="146" spans="158:165" ht="15" customHeight="1" x14ac:dyDescent="0.15">
      <c r="FB146" s="53">
        <v>1</v>
      </c>
      <c r="FC146" s="54">
        <v>22</v>
      </c>
      <c r="FD146" s="54">
        <f>本体装備品一覧!$C$28</f>
        <v>0</v>
      </c>
      <c r="FE146" s="54">
        <f>本体装備品一覧!$U$28</f>
        <v>0</v>
      </c>
      <c r="FF146" s="54">
        <f>本体装備品一覧!$Y$28</f>
        <v>0</v>
      </c>
      <c r="FG146" s="54">
        <f>本体装備品一覧!$AB$28</f>
        <v>0</v>
      </c>
      <c r="FH146" s="54">
        <f>本体装備品一覧!$AG$28</f>
        <v>0</v>
      </c>
      <c r="FI146" s="54">
        <f>本体装備品一覧!$AN$28</f>
        <v>0</v>
      </c>
    </row>
    <row r="147" spans="158:165" ht="15" customHeight="1" x14ac:dyDescent="0.15">
      <c r="FB147" s="53">
        <v>1</v>
      </c>
      <c r="FC147" s="54">
        <v>23</v>
      </c>
      <c r="FD147" s="54">
        <f>本体装備品一覧!$C$29</f>
        <v>0</v>
      </c>
      <c r="FE147" s="54">
        <f>本体装備品一覧!$U$29</f>
        <v>0</v>
      </c>
      <c r="FF147" s="54">
        <f>本体装備品一覧!$Y$29</f>
        <v>0</v>
      </c>
      <c r="FG147" s="54">
        <f>本体装備品一覧!$AB$29</f>
        <v>0</v>
      </c>
      <c r="FH147" s="54">
        <f>本体装備品一覧!$AG$29</f>
        <v>0</v>
      </c>
      <c r="FI147" s="54">
        <f>本体装備品一覧!$AN$29</f>
        <v>0</v>
      </c>
    </row>
    <row r="148" spans="158:165" ht="15" customHeight="1" x14ac:dyDescent="0.15">
      <c r="FB148" s="53">
        <v>2</v>
      </c>
      <c r="FC148" s="54">
        <v>1</v>
      </c>
      <c r="FD148" s="54" t="e">
        <f>#REF!</f>
        <v>#REF!</v>
      </c>
      <c r="FE148" s="54" t="e">
        <f>#REF!</f>
        <v>#REF!</v>
      </c>
      <c r="FF148" s="54" t="e">
        <f>#REF!</f>
        <v>#REF!</v>
      </c>
      <c r="FG148" s="54" t="e">
        <f>#REF!</f>
        <v>#REF!</v>
      </c>
      <c r="FH148" s="54" t="e">
        <f>#REF!</f>
        <v>#REF!</v>
      </c>
      <c r="FI148" s="54" t="e">
        <f>#REF!</f>
        <v>#REF!</v>
      </c>
    </row>
    <row r="149" spans="158:165" ht="15" customHeight="1" x14ac:dyDescent="0.15">
      <c r="FB149" s="53">
        <v>2</v>
      </c>
      <c r="FC149" s="54">
        <v>2</v>
      </c>
      <c r="FD149" s="54" t="e">
        <f>#REF!</f>
        <v>#REF!</v>
      </c>
      <c r="FE149" s="54" t="e">
        <f>#REF!</f>
        <v>#REF!</v>
      </c>
      <c r="FF149" s="54" t="e">
        <f>#REF!</f>
        <v>#REF!</v>
      </c>
      <c r="FG149" s="54" t="e">
        <f>#REF!</f>
        <v>#REF!</v>
      </c>
      <c r="FH149" s="54" t="e">
        <f>#REF!</f>
        <v>#REF!</v>
      </c>
      <c r="FI149" s="54" t="e">
        <f>#REF!</f>
        <v>#REF!</v>
      </c>
    </row>
    <row r="150" spans="158:165" ht="15" customHeight="1" x14ac:dyDescent="0.15">
      <c r="FB150" s="53">
        <v>2</v>
      </c>
      <c r="FC150" s="54">
        <v>3</v>
      </c>
      <c r="FD150" s="54" t="e">
        <f>#REF!</f>
        <v>#REF!</v>
      </c>
      <c r="FE150" s="54" t="e">
        <f>#REF!</f>
        <v>#REF!</v>
      </c>
      <c r="FF150" s="54" t="e">
        <f>#REF!</f>
        <v>#REF!</v>
      </c>
      <c r="FG150" s="54" t="e">
        <f>#REF!</f>
        <v>#REF!</v>
      </c>
      <c r="FH150" s="54" t="e">
        <f>#REF!</f>
        <v>#REF!</v>
      </c>
      <c r="FI150" s="54" t="e">
        <f>#REF!</f>
        <v>#REF!</v>
      </c>
    </row>
    <row r="151" spans="158:165" ht="15" customHeight="1" x14ac:dyDescent="0.15">
      <c r="FB151" s="53">
        <v>2</v>
      </c>
      <c r="FC151" s="54">
        <v>4</v>
      </c>
      <c r="FD151" s="54" t="e">
        <f>#REF!</f>
        <v>#REF!</v>
      </c>
      <c r="FE151" s="54" t="e">
        <f>#REF!</f>
        <v>#REF!</v>
      </c>
      <c r="FF151" s="54" t="e">
        <f>#REF!</f>
        <v>#REF!</v>
      </c>
      <c r="FG151" s="54" t="e">
        <f>#REF!</f>
        <v>#REF!</v>
      </c>
      <c r="FH151" s="54" t="e">
        <f>#REF!</f>
        <v>#REF!</v>
      </c>
      <c r="FI151" s="54" t="e">
        <f>#REF!</f>
        <v>#REF!</v>
      </c>
    </row>
    <row r="152" spans="158:165" ht="15" customHeight="1" x14ac:dyDescent="0.15">
      <c r="FB152" s="53">
        <v>2</v>
      </c>
      <c r="FC152" s="54">
        <v>5</v>
      </c>
      <c r="FD152" s="54" t="e">
        <f>#REF!</f>
        <v>#REF!</v>
      </c>
      <c r="FE152" s="54" t="e">
        <f>#REF!</f>
        <v>#REF!</v>
      </c>
      <c r="FF152" s="54" t="e">
        <f>#REF!</f>
        <v>#REF!</v>
      </c>
      <c r="FG152" s="54" t="e">
        <f>#REF!</f>
        <v>#REF!</v>
      </c>
      <c r="FH152" s="54" t="e">
        <f>#REF!</f>
        <v>#REF!</v>
      </c>
      <c r="FI152" s="54" t="e">
        <f>#REF!</f>
        <v>#REF!</v>
      </c>
    </row>
    <row r="153" spans="158:165" ht="15" customHeight="1" x14ac:dyDescent="0.15">
      <c r="FB153" s="53">
        <v>2</v>
      </c>
      <c r="FC153" s="54">
        <v>6</v>
      </c>
      <c r="FD153" s="54" t="e">
        <f>#REF!</f>
        <v>#REF!</v>
      </c>
      <c r="FE153" s="54" t="e">
        <f>#REF!</f>
        <v>#REF!</v>
      </c>
      <c r="FF153" s="54" t="e">
        <f>#REF!</f>
        <v>#REF!</v>
      </c>
      <c r="FG153" s="54" t="e">
        <f>#REF!</f>
        <v>#REF!</v>
      </c>
      <c r="FH153" s="54" t="e">
        <f>#REF!</f>
        <v>#REF!</v>
      </c>
      <c r="FI153" s="54" t="e">
        <f>#REF!</f>
        <v>#REF!</v>
      </c>
    </row>
    <row r="154" spans="158:165" ht="15" customHeight="1" x14ac:dyDescent="0.15">
      <c r="FB154" s="53">
        <v>2</v>
      </c>
      <c r="FC154" s="54">
        <v>7</v>
      </c>
      <c r="FD154" s="54" t="e">
        <f>#REF!</f>
        <v>#REF!</v>
      </c>
      <c r="FE154" s="54" t="e">
        <f>#REF!</f>
        <v>#REF!</v>
      </c>
      <c r="FF154" s="54" t="e">
        <f>#REF!</f>
        <v>#REF!</v>
      </c>
      <c r="FG154" s="54" t="e">
        <f>#REF!</f>
        <v>#REF!</v>
      </c>
      <c r="FH154" s="54" t="e">
        <f>#REF!</f>
        <v>#REF!</v>
      </c>
      <c r="FI154" s="54" t="e">
        <f>#REF!</f>
        <v>#REF!</v>
      </c>
    </row>
    <row r="155" spans="158:165" ht="15" customHeight="1" x14ac:dyDescent="0.15">
      <c r="FB155" s="53">
        <v>2</v>
      </c>
      <c r="FC155" s="54">
        <v>8</v>
      </c>
      <c r="FD155" s="54" t="e">
        <f>#REF!</f>
        <v>#REF!</v>
      </c>
      <c r="FE155" s="54" t="e">
        <f>#REF!</f>
        <v>#REF!</v>
      </c>
      <c r="FF155" s="54" t="e">
        <f>#REF!</f>
        <v>#REF!</v>
      </c>
      <c r="FG155" s="54" t="e">
        <f>#REF!</f>
        <v>#REF!</v>
      </c>
      <c r="FH155" s="54" t="e">
        <f>#REF!</f>
        <v>#REF!</v>
      </c>
      <c r="FI155" s="54" t="e">
        <f>#REF!</f>
        <v>#REF!</v>
      </c>
    </row>
    <row r="156" spans="158:165" ht="15" customHeight="1" x14ac:dyDescent="0.15">
      <c r="FB156" s="53">
        <v>2</v>
      </c>
      <c r="FC156" s="54">
        <v>9</v>
      </c>
      <c r="FD156" s="54" t="e">
        <f>#REF!</f>
        <v>#REF!</v>
      </c>
      <c r="FE156" s="54" t="e">
        <f>#REF!</f>
        <v>#REF!</v>
      </c>
      <c r="FF156" s="54" t="e">
        <f>#REF!</f>
        <v>#REF!</v>
      </c>
      <c r="FG156" s="54" t="e">
        <f>#REF!</f>
        <v>#REF!</v>
      </c>
      <c r="FH156" s="54" t="e">
        <f>#REF!</f>
        <v>#REF!</v>
      </c>
      <c r="FI156" s="54" t="e">
        <f>#REF!</f>
        <v>#REF!</v>
      </c>
    </row>
    <row r="157" spans="158:165" ht="15" customHeight="1" x14ac:dyDescent="0.15">
      <c r="FB157" s="53">
        <v>2</v>
      </c>
      <c r="FC157" s="54">
        <v>10</v>
      </c>
      <c r="FD157" s="54" t="e">
        <f>#REF!</f>
        <v>#REF!</v>
      </c>
      <c r="FE157" s="54" t="e">
        <f>#REF!</f>
        <v>#REF!</v>
      </c>
      <c r="FF157" s="54" t="e">
        <f>#REF!</f>
        <v>#REF!</v>
      </c>
      <c r="FG157" s="54" t="e">
        <f>#REF!</f>
        <v>#REF!</v>
      </c>
      <c r="FH157" s="54" t="e">
        <f>#REF!</f>
        <v>#REF!</v>
      </c>
      <c r="FI157" s="54" t="e">
        <f>#REF!</f>
        <v>#REF!</v>
      </c>
    </row>
    <row r="158" spans="158:165" ht="15" customHeight="1" x14ac:dyDescent="0.15">
      <c r="FB158" s="53">
        <v>2</v>
      </c>
      <c r="FC158" s="54">
        <v>11</v>
      </c>
      <c r="FD158" s="54" t="e">
        <f>#REF!</f>
        <v>#REF!</v>
      </c>
      <c r="FE158" s="54" t="e">
        <f>#REF!</f>
        <v>#REF!</v>
      </c>
      <c r="FF158" s="54" t="e">
        <f>#REF!</f>
        <v>#REF!</v>
      </c>
      <c r="FG158" s="54" t="e">
        <f>#REF!</f>
        <v>#REF!</v>
      </c>
      <c r="FH158" s="54" t="e">
        <f>#REF!</f>
        <v>#REF!</v>
      </c>
      <c r="FI158" s="54" t="e">
        <f>#REF!</f>
        <v>#REF!</v>
      </c>
    </row>
    <row r="159" spans="158:165" ht="15" customHeight="1" x14ac:dyDescent="0.15">
      <c r="FB159" s="53">
        <v>2</v>
      </c>
      <c r="FC159" s="54">
        <v>12</v>
      </c>
      <c r="FD159" s="54" t="e">
        <f>#REF!</f>
        <v>#REF!</v>
      </c>
      <c r="FE159" s="54" t="e">
        <f>#REF!</f>
        <v>#REF!</v>
      </c>
      <c r="FF159" s="54" t="e">
        <f>#REF!</f>
        <v>#REF!</v>
      </c>
      <c r="FG159" s="54" t="e">
        <f>#REF!</f>
        <v>#REF!</v>
      </c>
      <c r="FH159" s="54" t="e">
        <f>#REF!</f>
        <v>#REF!</v>
      </c>
      <c r="FI159" s="54" t="e">
        <f>#REF!</f>
        <v>#REF!</v>
      </c>
    </row>
    <row r="160" spans="158:165" ht="15" customHeight="1" x14ac:dyDescent="0.15">
      <c r="FB160" s="53">
        <v>2</v>
      </c>
      <c r="FC160" s="54">
        <v>13</v>
      </c>
      <c r="FD160" s="54" t="e">
        <f>#REF!</f>
        <v>#REF!</v>
      </c>
      <c r="FE160" s="54" t="e">
        <f>#REF!</f>
        <v>#REF!</v>
      </c>
      <c r="FF160" s="54" t="e">
        <f>#REF!</f>
        <v>#REF!</v>
      </c>
      <c r="FG160" s="54" t="e">
        <f>#REF!</f>
        <v>#REF!</v>
      </c>
      <c r="FH160" s="54" t="e">
        <f>#REF!</f>
        <v>#REF!</v>
      </c>
      <c r="FI160" s="54" t="e">
        <f>#REF!</f>
        <v>#REF!</v>
      </c>
    </row>
    <row r="161" spans="158:165" ht="15" customHeight="1" x14ac:dyDescent="0.15">
      <c r="FB161" s="53">
        <v>2</v>
      </c>
      <c r="FC161" s="54">
        <v>14</v>
      </c>
      <c r="FD161" s="54" t="e">
        <f>#REF!</f>
        <v>#REF!</v>
      </c>
      <c r="FE161" s="54" t="e">
        <f>#REF!</f>
        <v>#REF!</v>
      </c>
      <c r="FF161" s="54" t="e">
        <f>#REF!</f>
        <v>#REF!</v>
      </c>
      <c r="FG161" s="54" t="e">
        <f>#REF!</f>
        <v>#REF!</v>
      </c>
      <c r="FH161" s="54" t="e">
        <f>#REF!</f>
        <v>#REF!</v>
      </c>
      <c r="FI161" s="54" t="e">
        <f>#REF!</f>
        <v>#REF!</v>
      </c>
    </row>
    <row r="162" spans="158:165" ht="15" customHeight="1" x14ac:dyDescent="0.15">
      <c r="FB162" s="53">
        <v>2</v>
      </c>
      <c r="FC162" s="54">
        <v>15</v>
      </c>
      <c r="FD162" s="54" t="e">
        <f>#REF!</f>
        <v>#REF!</v>
      </c>
      <c r="FE162" s="54" t="e">
        <f>#REF!</f>
        <v>#REF!</v>
      </c>
      <c r="FF162" s="54" t="e">
        <f>#REF!</f>
        <v>#REF!</v>
      </c>
      <c r="FG162" s="54" t="e">
        <f>#REF!</f>
        <v>#REF!</v>
      </c>
      <c r="FH162" s="54" t="e">
        <f>#REF!</f>
        <v>#REF!</v>
      </c>
      <c r="FI162" s="54" t="e">
        <f>#REF!</f>
        <v>#REF!</v>
      </c>
    </row>
    <row r="163" spans="158:165" ht="15" customHeight="1" x14ac:dyDescent="0.15">
      <c r="FB163" s="53">
        <v>2</v>
      </c>
      <c r="FC163" s="54">
        <v>16</v>
      </c>
      <c r="FD163" s="54" t="e">
        <f>#REF!</f>
        <v>#REF!</v>
      </c>
      <c r="FE163" s="54" t="e">
        <f>#REF!</f>
        <v>#REF!</v>
      </c>
      <c r="FF163" s="54" t="e">
        <f>#REF!</f>
        <v>#REF!</v>
      </c>
      <c r="FG163" s="54" t="e">
        <f>#REF!</f>
        <v>#REF!</v>
      </c>
      <c r="FH163" s="54" t="e">
        <f>#REF!</f>
        <v>#REF!</v>
      </c>
      <c r="FI163" s="54" t="e">
        <f>#REF!</f>
        <v>#REF!</v>
      </c>
    </row>
    <row r="164" spans="158:165" ht="15" customHeight="1" x14ac:dyDescent="0.15">
      <c r="FB164" s="53">
        <v>2</v>
      </c>
      <c r="FC164" s="54">
        <v>17</v>
      </c>
      <c r="FD164" s="54" t="e">
        <f>#REF!</f>
        <v>#REF!</v>
      </c>
      <c r="FE164" s="54" t="e">
        <f>#REF!</f>
        <v>#REF!</v>
      </c>
      <c r="FF164" s="54" t="e">
        <f>#REF!</f>
        <v>#REF!</v>
      </c>
      <c r="FG164" s="54" t="e">
        <f>#REF!</f>
        <v>#REF!</v>
      </c>
      <c r="FH164" s="54" t="e">
        <f>#REF!</f>
        <v>#REF!</v>
      </c>
      <c r="FI164" s="54" t="e">
        <f>#REF!</f>
        <v>#REF!</v>
      </c>
    </row>
    <row r="165" spans="158:165" ht="15" customHeight="1" x14ac:dyDescent="0.15">
      <c r="FB165" s="53">
        <v>2</v>
      </c>
      <c r="FC165" s="54">
        <v>18</v>
      </c>
      <c r="FD165" s="54" t="e">
        <f>#REF!</f>
        <v>#REF!</v>
      </c>
      <c r="FE165" s="54" t="e">
        <f>#REF!</f>
        <v>#REF!</v>
      </c>
      <c r="FF165" s="54" t="e">
        <f>#REF!</f>
        <v>#REF!</v>
      </c>
      <c r="FG165" s="54" t="e">
        <f>#REF!</f>
        <v>#REF!</v>
      </c>
      <c r="FH165" s="54" t="e">
        <f>#REF!</f>
        <v>#REF!</v>
      </c>
      <c r="FI165" s="54" t="e">
        <f>#REF!</f>
        <v>#REF!</v>
      </c>
    </row>
    <row r="166" spans="158:165" ht="15" customHeight="1" x14ac:dyDescent="0.15">
      <c r="FB166" s="53">
        <v>2</v>
      </c>
      <c r="FC166" s="54">
        <v>19</v>
      </c>
      <c r="FD166" s="54" t="e">
        <f>#REF!</f>
        <v>#REF!</v>
      </c>
      <c r="FE166" s="54" t="e">
        <f>#REF!</f>
        <v>#REF!</v>
      </c>
      <c r="FF166" s="54" t="e">
        <f>#REF!</f>
        <v>#REF!</v>
      </c>
      <c r="FG166" s="54" t="e">
        <f>#REF!</f>
        <v>#REF!</v>
      </c>
      <c r="FH166" s="54" t="e">
        <f>#REF!</f>
        <v>#REF!</v>
      </c>
      <c r="FI166" s="54" t="e">
        <f>#REF!</f>
        <v>#REF!</v>
      </c>
    </row>
    <row r="167" spans="158:165" ht="15" customHeight="1" x14ac:dyDescent="0.15">
      <c r="FB167" s="53">
        <v>2</v>
      </c>
      <c r="FC167" s="54">
        <v>20</v>
      </c>
      <c r="FD167" s="54" t="e">
        <f>#REF!</f>
        <v>#REF!</v>
      </c>
      <c r="FE167" s="54" t="e">
        <f>#REF!</f>
        <v>#REF!</v>
      </c>
      <c r="FF167" s="54" t="e">
        <f>#REF!</f>
        <v>#REF!</v>
      </c>
      <c r="FG167" s="54" t="e">
        <f>#REF!</f>
        <v>#REF!</v>
      </c>
      <c r="FH167" s="54" t="e">
        <f>#REF!</f>
        <v>#REF!</v>
      </c>
      <c r="FI167" s="54" t="e">
        <f>#REF!</f>
        <v>#REF!</v>
      </c>
    </row>
    <row r="168" spans="158:165" ht="15" customHeight="1" x14ac:dyDescent="0.15">
      <c r="FB168" s="53">
        <v>2</v>
      </c>
      <c r="FC168" s="54">
        <v>21</v>
      </c>
      <c r="FD168" s="54" t="e">
        <f>#REF!</f>
        <v>#REF!</v>
      </c>
      <c r="FE168" s="54" t="e">
        <f>#REF!</f>
        <v>#REF!</v>
      </c>
      <c r="FF168" s="54" t="e">
        <f>#REF!</f>
        <v>#REF!</v>
      </c>
      <c r="FG168" s="54" t="e">
        <f>#REF!</f>
        <v>#REF!</v>
      </c>
      <c r="FH168" s="54" t="e">
        <f>#REF!</f>
        <v>#REF!</v>
      </c>
      <c r="FI168" s="54" t="e">
        <f>#REF!</f>
        <v>#REF!</v>
      </c>
    </row>
    <row r="169" spans="158:165" ht="15" customHeight="1" x14ac:dyDescent="0.15">
      <c r="FB169" s="53">
        <v>2</v>
      </c>
      <c r="FC169" s="54">
        <v>22</v>
      </c>
      <c r="FD169" s="54" t="e">
        <f>#REF!</f>
        <v>#REF!</v>
      </c>
      <c r="FE169" s="54" t="e">
        <f>#REF!</f>
        <v>#REF!</v>
      </c>
      <c r="FF169" s="54" t="e">
        <f>#REF!</f>
        <v>#REF!</v>
      </c>
      <c r="FG169" s="54" t="e">
        <f>#REF!</f>
        <v>#REF!</v>
      </c>
      <c r="FH169" s="54" t="e">
        <f>#REF!</f>
        <v>#REF!</v>
      </c>
      <c r="FI169" s="54" t="e">
        <f>#REF!</f>
        <v>#REF!</v>
      </c>
    </row>
    <row r="170" spans="158:165" ht="15" customHeight="1" x14ac:dyDescent="0.15">
      <c r="FB170" s="53">
        <v>2</v>
      </c>
      <c r="FC170" s="54">
        <v>23</v>
      </c>
      <c r="FD170" s="54" t="e">
        <f>#REF!</f>
        <v>#REF!</v>
      </c>
      <c r="FE170" s="54" t="e">
        <f>#REF!</f>
        <v>#REF!</v>
      </c>
      <c r="FF170" s="54" t="e">
        <f>#REF!</f>
        <v>#REF!</v>
      </c>
      <c r="FG170" s="54" t="e">
        <f>#REF!</f>
        <v>#REF!</v>
      </c>
      <c r="FH170" s="54" t="e">
        <f>#REF!</f>
        <v>#REF!</v>
      </c>
      <c r="FI170" s="54" t="e">
        <f>#REF!</f>
        <v>#REF!</v>
      </c>
    </row>
    <row r="171" spans="158:165" ht="15" customHeight="1" x14ac:dyDescent="0.15">
      <c r="FB171" s="53">
        <v>3</v>
      </c>
      <c r="FC171" s="54">
        <v>1</v>
      </c>
      <c r="FD171" s="54" t="e">
        <f>#REF!</f>
        <v>#REF!</v>
      </c>
      <c r="FE171" s="54" t="e">
        <f>#REF!</f>
        <v>#REF!</v>
      </c>
      <c r="FF171" s="54" t="e">
        <f>#REF!</f>
        <v>#REF!</v>
      </c>
      <c r="FG171" s="54" t="e">
        <f>#REF!</f>
        <v>#REF!</v>
      </c>
      <c r="FH171" s="54" t="e">
        <f>#REF!</f>
        <v>#REF!</v>
      </c>
      <c r="FI171" s="54" t="e">
        <f>#REF!</f>
        <v>#REF!</v>
      </c>
    </row>
    <row r="172" spans="158:165" ht="15" customHeight="1" x14ac:dyDescent="0.15">
      <c r="FB172" s="53">
        <v>3</v>
      </c>
      <c r="FC172" s="54">
        <v>2</v>
      </c>
      <c r="FD172" s="54" t="e">
        <f>#REF!</f>
        <v>#REF!</v>
      </c>
      <c r="FE172" s="54" t="e">
        <f>#REF!</f>
        <v>#REF!</v>
      </c>
      <c r="FF172" s="54" t="e">
        <f>#REF!</f>
        <v>#REF!</v>
      </c>
      <c r="FG172" s="54" t="e">
        <f>#REF!</f>
        <v>#REF!</v>
      </c>
      <c r="FH172" s="54" t="e">
        <f>#REF!</f>
        <v>#REF!</v>
      </c>
      <c r="FI172" s="54" t="e">
        <f>#REF!</f>
        <v>#REF!</v>
      </c>
    </row>
    <row r="173" spans="158:165" ht="15" customHeight="1" x14ac:dyDescent="0.15">
      <c r="FB173" s="53">
        <v>3</v>
      </c>
      <c r="FC173" s="54">
        <v>3</v>
      </c>
      <c r="FD173" s="54" t="e">
        <f>#REF!</f>
        <v>#REF!</v>
      </c>
      <c r="FE173" s="54" t="e">
        <f>#REF!</f>
        <v>#REF!</v>
      </c>
      <c r="FF173" s="54" t="e">
        <f>#REF!</f>
        <v>#REF!</v>
      </c>
      <c r="FG173" s="54" t="e">
        <f>#REF!</f>
        <v>#REF!</v>
      </c>
      <c r="FH173" s="54" t="e">
        <f>#REF!</f>
        <v>#REF!</v>
      </c>
      <c r="FI173" s="54" t="e">
        <f>#REF!</f>
        <v>#REF!</v>
      </c>
    </row>
    <row r="174" spans="158:165" ht="15" customHeight="1" x14ac:dyDescent="0.15">
      <c r="FB174" s="53">
        <v>3</v>
      </c>
      <c r="FC174" s="54">
        <v>4</v>
      </c>
      <c r="FD174" s="54" t="e">
        <f>#REF!</f>
        <v>#REF!</v>
      </c>
      <c r="FE174" s="54" t="e">
        <f>#REF!</f>
        <v>#REF!</v>
      </c>
      <c r="FF174" s="54" t="e">
        <f>#REF!</f>
        <v>#REF!</v>
      </c>
      <c r="FG174" s="54" t="e">
        <f>#REF!</f>
        <v>#REF!</v>
      </c>
      <c r="FH174" s="54" t="e">
        <f>#REF!</f>
        <v>#REF!</v>
      </c>
      <c r="FI174" s="54" t="e">
        <f>#REF!</f>
        <v>#REF!</v>
      </c>
    </row>
    <row r="175" spans="158:165" ht="15" customHeight="1" x14ac:dyDescent="0.15">
      <c r="FB175" s="53">
        <v>3</v>
      </c>
      <c r="FC175" s="54">
        <v>5</v>
      </c>
      <c r="FD175" s="54" t="e">
        <f>#REF!</f>
        <v>#REF!</v>
      </c>
      <c r="FE175" s="54" t="e">
        <f>#REF!</f>
        <v>#REF!</v>
      </c>
      <c r="FF175" s="54" t="e">
        <f>#REF!</f>
        <v>#REF!</v>
      </c>
      <c r="FG175" s="54" t="e">
        <f>#REF!</f>
        <v>#REF!</v>
      </c>
      <c r="FH175" s="54" t="e">
        <f>#REF!</f>
        <v>#REF!</v>
      </c>
      <c r="FI175" s="54" t="e">
        <f>#REF!</f>
        <v>#REF!</v>
      </c>
    </row>
    <row r="176" spans="158:165" ht="15" customHeight="1" x14ac:dyDescent="0.15">
      <c r="FB176" s="53">
        <v>3</v>
      </c>
      <c r="FC176" s="54">
        <v>6</v>
      </c>
      <c r="FD176" s="54" t="e">
        <f>#REF!</f>
        <v>#REF!</v>
      </c>
      <c r="FE176" s="54" t="e">
        <f>#REF!</f>
        <v>#REF!</v>
      </c>
      <c r="FF176" s="54" t="e">
        <f>#REF!</f>
        <v>#REF!</v>
      </c>
      <c r="FG176" s="54" t="e">
        <f>#REF!</f>
        <v>#REF!</v>
      </c>
      <c r="FH176" s="54" t="e">
        <f>#REF!</f>
        <v>#REF!</v>
      </c>
      <c r="FI176" s="54" t="e">
        <f>#REF!</f>
        <v>#REF!</v>
      </c>
    </row>
    <row r="177" spans="2:165" ht="15" customHeight="1" x14ac:dyDescent="0.15">
      <c r="FB177" s="53">
        <v>3</v>
      </c>
      <c r="FC177" s="54">
        <v>7</v>
      </c>
      <c r="FD177" s="54" t="e">
        <f>#REF!</f>
        <v>#REF!</v>
      </c>
      <c r="FE177" s="54" t="e">
        <f>#REF!</f>
        <v>#REF!</v>
      </c>
      <c r="FF177" s="54" t="e">
        <f>#REF!</f>
        <v>#REF!</v>
      </c>
      <c r="FG177" s="54" t="e">
        <f>#REF!</f>
        <v>#REF!</v>
      </c>
      <c r="FH177" s="54" t="e">
        <f>#REF!</f>
        <v>#REF!</v>
      </c>
      <c r="FI177" s="54" t="e">
        <f>#REF!</f>
        <v>#REF!</v>
      </c>
    </row>
    <row r="178" spans="2:165" ht="15" customHeight="1" x14ac:dyDescent="0.15">
      <c r="FB178" s="53">
        <v>3</v>
      </c>
      <c r="FC178" s="54">
        <v>8</v>
      </c>
      <c r="FD178" s="54" t="e">
        <f>#REF!</f>
        <v>#REF!</v>
      </c>
      <c r="FE178" s="54" t="e">
        <f>#REF!</f>
        <v>#REF!</v>
      </c>
      <c r="FF178" s="54" t="e">
        <f>#REF!</f>
        <v>#REF!</v>
      </c>
      <c r="FG178" s="54" t="e">
        <f>#REF!</f>
        <v>#REF!</v>
      </c>
      <c r="FH178" s="54" t="e">
        <f>#REF!</f>
        <v>#REF!</v>
      </c>
      <c r="FI178" s="54" t="e">
        <f>#REF!</f>
        <v>#REF!</v>
      </c>
    </row>
    <row r="179" spans="2:165" ht="15" customHeight="1" x14ac:dyDescent="0.15">
      <c r="FB179" s="53">
        <v>3</v>
      </c>
      <c r="FC179" s="54">
        <v>9</v>
      </c>
      <c r="FD179" s="54" t="e">
        <f>#REF!</f>
        <v>#REF!</v>
      </c>
      <c r="FE179" s="54" t="e">
        <f>#REF!</f>
        <v>#REF!</v>
      </c>
      <c r="FF179" s="54" t="e">
        <f>#REF!</f>
        <v>#REF!</v>
      </c>
      <c r="FG179" s="54" t="e">
        <f>#REF!</f>
        <v>#REF!</v>
      </c>
      <c r="FH179" s="54" t="e">
        <f>#REF!</f>
        <v>#REF!</v>
      </c>
      <c r="FI179" s="54" t="e">
        <f>#REF!</f>
        <v>#REF!</v>
      </c>
    </row>
    <row r="180" spans="2:165" ht="15" customHeight="1" x14ac:dyDescent="0.15">
      <c r="FB180" s="53">
        <v>3</v>
      </c>
      <c r="FC180" s="54">
        <v>10</v>
      </c>
      <c r="FD180" s="54" t="e">
        <f>#REF!</f>
        <v>#REF!</v>
      </c>
      <c r="FE180" s="54" t="e">
        <f>#REF!</f>
        <v>#REF!</v>
      </c>
      <c r="FF180" s="54" t="e">
        <f>#REF!</f>
        <v>#REF!</v>
      </c>
      <c r="FG180" s="54" t="e">
        <f>#REF!</f>
        <v>#REF!</v>
      </c>
      <c r="FH180" s="54" t="e">
        <f>#REF!</f>
        <v>#REF!</v>
      </c>
      <c r="FI180" s="54" t="e">
        <f>#REF!</f>
        <v>#REF!</v>
      </c>
    </row>
    <row r="181" spans="2:165" ht="15" customHeight="1" x14ac:dyDescent="0.15">
      <c r="FB181" s="53">
        <v>3</v>
      </c>
      <c r="FC181" s="54">
        <v>11</v>
      </c>
      <c r="FD181" s="54" t="e">
        <f>#REF!</f>
        <v>#REF!</v>
      </c>
      <c r="FE181" s="54" t="e">
        <f>#REF!</f>
        <v>#REF!</v>
      </c>
      <c r="FF181" s="54" t="e">
        <f>#REF!</f>
        <v>#REF!</v>
      </c>
      <c r="FG181" s="54" t="e">
        <f>#REF!</f>
        <v>#REF!</v>
      </c>
      <c r="FH181" s="54" t="e">
        <f>#REF!</f>
        <v>#REF!</v>
      </c>
      <c r="FI181" s="54" t="e">
        <f>#REF!</f>
        <v>#REF!</v>
      </c>
    </row>
    <row r="182" spans="2:165" ht="15" customHeight="1" x14ac:dyDescent="0.15">
      <c r="FB182" s="53">
        <v>3</v>
      </c>
      <c r="FC182" s="54">
        <v>12</v>
      </c>
      <c r="FD182" s="54" t="e">
        <f>#REF!</f>
        <v>#REF!</v>
      </c>
      <c r="FE182" s="54" t="e">
        <f>#REF!</f>
        <v>#REF!</v>
      </c>
      <c r="FF182" s="54" t="e">
        <f>#REF!</f>
        <v>#REF!</v>
      </c>
      <c r="FG182" s="54" t="e">
        <f>#REF!</f>
        <v>#REF!</v>
      </c>
      <c r="FH182" s="54" t="e">
        <f>#REF!</f>
        <v>#REF!</v>
      </c>
      <c r="FI182" s="54" t="e">
        <f>#REF!</f>
        <v>#REF!</v>
      </c>
    </row>
    <row r="183" spans="2:165" ht="15" customHeight="1" x14ac:dyDescent="0.15">
      <c r="FB183" s="53">
        <v>3</v>
      </c>
      <c r="FC183" s="54">
        <v>13</v>
      </c>
      <c r="FD183" s="54" t="e">
        <f>#REF!</f>
        <v>#REF!</v>
      </c>
      <c r="FE183" s="54" t="e">
        <f>#REF!</f>
        <v>#REF!</v>
      </c>
      <c r="FF183" s="54" t="e">
        <f>#REF!</f>
        <v>#REF!</v>
      </c>
      <c r="FG183" s="54" t="e">
        <f>#REF!</f>
        <v>#REF!</v>
      </c>
      <c r="FH183" s="54" t="e">
        <f>#REF!</f>
        <v>#REF!</v>
      </c>
      <c r="FI183" s="54" t="e">
        <f>#REF!</f>
        <v>#REF!</v>
      </c>
    </row>
    <row r="184" spans="2:165" ht="15" customHeight="1" x14ac:dyDescent="0.15">
      <c r="FB184" s="53">
        <v>3</v>
      </c>
      <c r="FC184" s="54">
        <v>14</v>
      </c>
      <c r="FD184" s="54" t="e">
        <f>#REF!</f>
        <v>#REF!</v>
      </c>
      <c r="FE184" s="54" t="e">
        <f>#REF!</f>
        <v>#REF!</v>
      </c>
      <c r="FF184" s="54" t="e">
        <f>#REF!</f>
        <v>#REF!</v>
      </c>
      <c r="FG184" s="54" t="e">
        <f>#REF!</f>
        <v>#REF!</v>
      </c>
      <c r="FH184" s="54" t="e">
        <f>#REF!</f>
        <v>#REF!</v>
      </c>
      <c r="FI184" s="54" t="e">
        <f>#REF!</f>
        <v>#REF!</v>
      </c>
    </row>
    <row r="185" spans="2:165" ht="15" customHeight="1" x14ac:dyDescent="0.15">
      <c r="P185" s="22"/>
      <c r="Q185" s="22"/>
      <c r="R185" s="22"/>
      <c r="S185" s="22"/>
      <c r="T185" s="22"/>
      <c r="U185" s="22"/>
      <c r="V185" s="22"/>
      <c r="W185" s="22"/>
      <c r="FB185" s="53">
        <v>3</v>
      </c>
      <c r="FC185" s="54">
        <v>15</v>
      </c>
      <c r="FD185" s="54" t="e">
        <f>#REF!</f>
        <v>#REF!</v>
      </c>
      <c r="FE185" s="54" t="e">
        <f>#REF!</f>
        <v>#REF!</v>
      </c>
      <c r="FF185" s="54" t="e">
        <f>#REF!</f>
        <v>#REF!</v>
      </c>
      <c r="FG185" s="54" t="e">
        <f>#REF!</f>
        <v>#REF!</v>
      </c>
      <c r="FH185" s="54" t="e">
        <f>#REF!</f>
        <v>#REF!</v>
      </c>
      <c r="FI185" s="54" t="e">
        <f>#REF!</f>
        <v>#REF!</v>
      </c>
    </row>
    <row r="186" spans="2:165" ht="15" customHeight="1" x14ac:dyDescent="0.15">
      <c r="P186" s="22">
        <v>0</v>
      </c>
      <c r="Q186" s="22">
        <v>15</v>
      </c>
      <c r="R186" s="22">
        <v>32</v>
      </c>
      <c r="S186" s="22">
        <v>117</v>
      </c>
      <c r="T186" s="22">
        <v>41</v>
      </c>
      <c r="U186" s="22">
        <v>124</v>
      </c>
      <c r="V186" s="22"/>
      <c r="W186" s="22"/>
      <c r="FB186" s="53">
        <v>3</v>
      </c>
      <c r="FC186" s="54">
        <v>16</v>
      </c>
      <c r="FD186" s="54" t="e">
        <f>#REF!</f>
        <v>#REF!</v>
      </c>
      <c r="FE186" s="54" t="e">
        <f>#REF!</f>
        <v>#REF!</v>
      </c>
      <c r="FF186" s="54" t="e">
        <f>#REF!</f>
        <v>#REF!</v>
      </c>
      <c r="FG186" s="54" t="e">
        <f>#REF!</f>
        <v>#REF!</v>
      </c>
      <c r="FH186" s="54" t="e">
        <f>#REF!</f>
        <v>#REF!</v>
      </c>
      <c r="FI186" s="54" t="e">
        <f>#REF!</f>
        <v>#REF!</v>
      </c>
    </row>
    <row r="187" spans="2:165" ht="15" customHeight="1" x14ac:dyDescent="0.15">
      <c r="P187" s="22"/>
      <c r="Q187" s="22"/>
      <c r="R187" s="22"/>
      <c r="S187" s="22"/>
      <c r="T187" s="22"/>
      <c r="U187" s="22"/>
      <c r="V187" s="22"/>
      <c r="W187" s="22"/>
      <c r="FB187" s="53">
        <v>3</v>
      </c>
      <c r="FC187" s="54">
        <v>17</v>
      </c>
      <c r="FD187" s="54" t="e">
        <f>#REF!</f>
        <v>#REF!</v>
      </c>
      <c r="FE187" s="54" t="e">
        <f>#REF!</f>
        <v>#REF!</v>
      </c>
      <c r="FF187" s="54" t="e">
        <f>#REF!</f>
        <v>#REF!</v>
      </c>
      <c r="FG187" s="54" t="e">
        <f>#REF!</f>
        <v>#REF!</v>
      </c>
      <c r="FH187" s="54" t="e">
        <f>#REF!</f>
        <v>#REF!</v>
      </c>
      <c r="FI187" s="54" t="e">
        <f>#REF!</f>
        <v>#REF!</v>
      </c>
    </row>
    <row r="188" spans="2:165" ht="15" customHeight="1" x14ac:dyDescent="0.15">
      <c r="P188" s="22" t="s">
        <v>117</v>
      </c>
      <c r="Q188" s="22"/>
      <c r="R188" s="22"/>
      <c r="S188" s="22"/>
      <c r="T188" s="22"/>
      <c r="U188" s="22"/>
      <c r="V188" s="22"/>
      <c r="W188" s="22"/>
      <c r="FB188" s="53">
        <v>3</v>
      </c>
      <c r="FC188" s="54">
        <v>18</v>
      </c>
      <c r="FD188" s="54" t="e">
        <f>#REF!</f>
        <v>#REF!</v>
      </c>
      <c r="FE188" s="54" t="e">
        <f>#REF!</f>
        <v>#REF!</v>
      </c>
      <c r="FF188" s="54" t="e">
        <f>#REF!</f>
        <v>#REF!</v>
      </c>
      <c r="FG188" s="54" t="e">
        <f>#REF!</f>
        <v>#REF!</v>
      </c>
      <c r="FH188" s="54" t="e">
        <f>#REF!</f>
        <v>#REF!</v>
      </c>
      <c r="FI188" s="54" t="e">
        <f>#REF!</f>
        <v>#REF!</v>
      </c>
    </row>
    <row r="189" spans="2:165" ht="15" customHeight="1" x14ac:dyDescent="0.15"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FB189" s="53">
        <v>3</v>
      </c>
      <c r="FC189" s="54">
        <v>19</v>
      </c>
      <c r="FD189" s="54" t="e">
        <f>#REF!</f>
        <v>#REF!</v>
      </c>
      <c r="FE189" s="54" t="e">
        <f>#REF!</f>
        <v>#REF!</v>
      </c>
      <c r="FF189" s="54" t="e">
        <f>#REF!</f>
        <v>#REF!</v>
      </c>
      <c r="FG189" s="54" t="e">
        <f>#REF!</f>
        <v>#REF!</v>
      </c>
      <c r="FH189" s="54" t="e">
        <f>#REF!</f>
        <v>#REF!</v>
      </c>
      <c r="FI189" s="54" t="e">
        <f>#REF!</f>
        <v>#REF!</v>
      </c>
    </row>
    <row r="190" spans="2:165" ht="15" customHeight="1" x14ac:dyDescent="0.15">
      <c r="P190" s="22"/>
      <c r="Q190" s="22"/>
      <c r="R190" s="22"/>
      <c r="S190" s="22"/>
      <c r="T190" s="22"/>
      <c r="U190" s="22"/>
      <c r="FB190" s="53">
        <v>3</v>
      </c>
      <c r="FC190" s="54">
        <v>20</v>
      </c>
      <c r="FD190" s="54" t="e">
        <f>#REF!</f>
        <v>#REF!</v>
      </c>
      <c r="FE190" s="54" t="e">
        <f>#REF!</f>
        <v>#REF!</v>
      </c>
      <c r="FF190" s="54" t="e">
        <f>#REF!</f>
        <v>#REF!</v>
      </c>
      <c r="FG190" s="54" t="e">
        <f>#REF!</f>
        <v>#REF!</v>
      </c>
      <c r="FH190" s="54" t="e">
        <f>#REF!</f>
        <v>#REF!</v>
      </c>
      <c r="FI190" s="54" t="e">
        <f>#REF!</f>
        <v>#REF!</v>
      </c>
    </row>
    <row r="191" spans="2:165" ht="15" customHeight="1" x14ac:dyDescent="0.15">
      <c r="P191" s="22"/>
      <c r="Q191" s="2"/>
      <c r="R191" s="2"/>
      <c r="S191" s="2"/>
      <c r="FB191" s="53">
        <v>3</v>
      </c>
      <c r="FC191" s="54">
        <v>21</v>
      </c>
      <c r="FD191" s="54" t="e">
        <f>#REF!</f>
        <v>#REF!</v>
      </c>
      <c r="FE191" s="54" t="e">
        <f>#REF!</f>
        <v>#REF!</v>
      </c>
      <c r="FF191" s="54" t="e">
        <f>#REF!</f>
        <v>#REF!</v>
      </c>
      <c r="FG191" s="54" t="e">
        <f>#REF!</f>
        <v>#REF!</v>
      </c>
      <c r="FH191" s="54" t="e">
        <f>#REF!</f>
        <v>#REF!</v>
      </c>
      <c r="FI191" s="54" t="e">
        <f>#REF!</f>
        <v>#REF!</v>
      </c>
    </row>
    <row r="192" spans="2:165" ht="15" customHeight="1" x14ac:dyDescent="0.15">
      <c r="FB192" s="53">
        <v>3</v>
      </c>
      <c r="FC192" s="54">
        <v>22</v>
      </c>
      <c r="FD192" s="54" t="e">
        <f>#REF!</f>
        <v>#REF!</v>
      </c>
      <c r="FE192" s="54" t="e">
        <f>#REF!</f>
        <v>#REF!</v>
      </c>
      <c r="FF192" s="54" t="e">
        <f>#REF!</f>
        <v>#REF!</v>
      </c>
      <c r="FG192" s="54" t="e">
        <f>#REF!</f>
        <v>#REF!</v>
      </c>
      <c r="FH192" s="54" t="e">
        <f>#REF!</f>
        <v>#REF!</v>
      </c>
      <c r="FI192" s="54" t="e">
        <f>#REF!</f>
        <v>#REF!</v>
      </c>
    </row>
    <row r="193" spans="158:165" ht="15" customHeight="1" x14ac:dyDescent="0.15">
      <c r="FB193" s="53">
        <v>3</v>
      </c>
      <c r="FC193" s="54">
        <v>23</v>
      </c>
      <c r="FD193" s="54" t="e">
        <f>#REF!</f>
        <v>#REF!</v>
      </c>
      <c r="FE193" s="54" t="e">
        <f>#REF!</f>
        <v>#REF!</v>
      </c>
      <c r="FF193" s="54" t="e">
        <f>#REF!</f>
        <v>#REF!</v>
      </c>
      <c r="FG193" s="54" t="e">
        <f>#REF!</f>
        <v>#REF!</v>
      </c>
      <c r="FH193" s="54" t="e">
        <f>#REF!</f>
        <v>#REF!</v>
      </c>
      <c r="FI193" s="54" t="e">
        <f>#REF!</f>
        <v>#REF!</v>
      </c>
    </row>
    <row r="194" spans="158:165" ht="15" customHeight="1" x14ac:dyDescent="0.15">
      <c r="FB194" s="53"/>
      <c r="FC194" s="54"/>
      <c r="FD194" s="54"/>
      <c r="FE194" s="54"/>
      <c r="FF194" s="54"/>
      <c r="FG194" s="54"/>
      <c r="FH194" s="54"/>
      <c r="FI194" s="54"/>
    </row>
    <row r="195" spans="158:165" ht="15" customHeight="1" x14ac:dyDescent="0.15">
      <c r="FB195" s="53"/>
      <c r="FC195" s="54"/>
      <c r="FD195" s="54"/>
      <c r="FE195" s="54"/>
      <c r="FF195" s="54"/>
      <c r="FG195" s="54"/>
      <c r="FH195" s="54"/>
      <c r="FI195" s="54"/>
    </row>
    <row r="196" spans="158:165" ht="15" customHeight="1" x14ac:dyDescent="0.15">
      <c r="FB196" s="53"/>
      <c r="FC196" s="54"/>
      <c r="FD196" s="54"/>
      <c r="FE196" s="54"/>
      <c r="FF196" s="54"/>
      <c r="FG196" s="54"/>
      <c r="FH196" s="54"/>
      <c r="FI196" s="54"/>
    </row>
    <row r="197" spans="158:165" ht="15" customHeight="1" x14ac:dyDescent="0.15">
      <c r="FB197" s="53"/>
      <c r="FC197" s="54"/>
      <c r="FD197" s="54"/>
      <c r="FE197" s="54"/>
      <c r="FF197" s="54"/>
      <c r="FG197" s="54"/>
      <c r="FH197" s="54"/>
      <c r="FI197" s="54"/>
    </row>
    <row r="198" spans="158:165" ht="15" customHeight="1" x14ac:dyDescent="0.15">
      <c r="FB198" s="53"/>
      <c r="FC198" s="54"/>
      <c r="FD198" s="54"/>
      <c r="FE198" s="54"/>
      <c r="FF198" s="54"/>
      <c r="FG198" s="54"/>
      <c r="FH198" s="54"/>
      <c r="FI198" s="54"/>
    </row>
    <row r="199" spans="158:165" ht="15" customHeight="1" x14ac:dyDescent="0.15">
      <c r="FB199" s="53"/>
      <c r="FC199" s="54"/>
      <c r="FD199" s="54"/>
      <c r="FE199" s="54"/>
      <c r="FF199" s="54"/>
      <c r="FG199" s="54"/>
      <c r="FH199" s="54"/>
      <c r="FI199" s="54"/>
    </row>
    <row r="200" spans="158:165" ht="15" customHeight="1" x14ac:dyDescent="0.15">
      <c r="FB200" s="53"/>
      <c r="FC200" s="54"/>
      <c r="FD200" s="54"/>
      <c r="FE200" s="54"/>
      <c r="FF200" s="54"/>
      <c r="FG200" s="54"/>
      <c r="FH200" s="54"/>
      <c r="FI200" s="54"/>
    </row>
    <row r="201" spans="158:165" ht="15" customHeight="1" x14ac:dyDescent="0.15">
      <c r="FB201" s="53"/>
      <c r="FC201" s="54"/>
      <c r="FD201" s="54"/>
      <c r="FE201" s="54"/>
      <c r="FF201" s="54"/>
      <c r="FG201" s="54"/>
      <c r="FH201" s="54"/>
      <c r="FI201" s="54"/>
    </row>
    <row r="202" spans="158:165" ht="15" customHeight="1" x14ac:dyDescent="0.15">
      <c r="FB202" s="53"/>
      <c r="FC202" s="54"/>
      <c r="FD202" s="54"/>
      <c r="FE202" s="54"/>
      <c r="FF202" s="54"/>
      <c r="FG202" s="54"/>
      <c r="FH202" s="54"/>
      <c r="FI202" s="54"/>
    </row>
    <row r="203" spans="158:165" ht="15" customHeight="1" x14ac:dyDescent="0.15">
      <c r="FB203" s="53"/>
      <c r="FC203" s="54"/>
      <c r="FD203" s="54"/>
      <c r="FE203" s="54"/>
      <c r="FF203" s="54"/>
      <c r="FG203" s="54"/>
      <c r="FH203" s="54"/>
      <c r="FI203" s="54"/>
    </row>
    <row r="204" spans="158:165" ht="15" customHeight="1" x14ac:dyDescent="0.15">
      <c r="FB204" s="53"/>
      <c r="FC204" s="54"/>
      <c r="FD204" s="54"/>
      <c r="FE204" s="54"/>
      <c r="FF204" s="54"/>
      <c r="FG204" s="54"/>
      <c r="FH204" s="54"/>
      <c r="FI204" s="54"/>
    </row>
    <row r="205" spans="158:165" ht="15" customHeight="1" x14ac:dyDescent="0.15">
      <c r="FB205" s="53"/>
      <c r="FC205" s="54"/>
      <c r="FD205" s="54"/>
      <c r="FE205" s="54"/>
      <c r="FF205" s="54"/>
      <c r="FG205" s="54"/>
      <c r="FH205" s="54"/>
      <c r="FI205" s="54"/>
    </row>
    <row r="206" spans="158:165" ht="15" customHeight="1" x14ac:dyDescent="0.15">
      <c r="FB206" s="53"/>
      <c r="FC206" s="54"/>
      <c r="FD206" s="54"/>
      <c r="FE206" s="54"/>
      <c r="FF206" s="54"/>
      <c r="FG206" s="54"/>
      <c r="FH206" s="54"/>
      <c r="FI206" s="54"/>
    </row>
    <row r="207" spans="158:165" ht="15" customHeight="1" x14ac:dyDescent="0.15">
      <c r="FB207" s="53"/>
      <c r="FC207" s="54"/>
      <c r="FD207" s="54"/>
      <c r="FE207" s="54"/>
      <c r="FF207" s="54"/>
      <c r="FG207" s="54"/>
      <c r="FH207" s="54"/>
      <c r="FI207" s="54"/>
    </row>
    <row r="208" spans="158:165" ht="15" customHeight="1" x14ac:dyDescent="0.15">
      <c r="FB208" s="53"/>
      <c r="FC208" s="54"/>
      <c r="FD208" s="54"/>
      <c r="FE208" s="54"/>
      <c r="FF208" s="54"/>
      <c r="FG208" s="54"/>
      <c r="FH208" s="54"/>
      <c r="FI208" s="54"/>
    </row>
    <row r="209" spans="84:165" ht="15" customHeight="1" x14ac:dyDescent="0.15">
      <c r="FB209" s="53"/>
      <c r="FC209" s="54"/>
      <c r="FD209" s="54"/>
      <c r="FE209" s="54"/>
      <c r="FF209" s="54"/>
      <c r="FG209" s="54"/>
      <c r="FH209" s="54"/>
      <c r="FI209" s="54"/>
    </row>
    <row r="210" spans="84:165" ht="15" customHeight="1" x14ac:dyDescent="0.15">
      <c r="FB210" s="53"/>
      <c r="FC210" s="54"/>
      <c r="FD210" s="54"/>
      <c r="FE210" s="54"/>
      <c r="FF210" s="54"/>
      <c r="FG210" s="54"/>
      <c r="FH210" s="54"/>
      <c r="FI210" s="54"/>
    </row>
    <row r="211" spans="84:165" ht="15" customHeight="1" x14ac:dyDescent="0.15">
      <c r="FB211" s="53"/>
      <c r="FC211" s="54"/>
      <c r="FD211" s="54"/>
      <c r="FE211" s="54"/>
      <c r="FF211" s="54"/>
      <c r="FG211" s="54"/>
      <c r="FH211" s="54"/>
      <c r="FI211" s="54"/>
    </row>
    <row r="212" spans="84:165" ht="15" customHeight="1" x14ac:dyDescent="0.15">
      <c r="FB212" s="53"/>
      <c r="FC212" s="54"/>
      <c r="FD212" s="54"/>
      <c r="FE212" s="54"/>
      <c r="FF212" s="54"/>
      <c r="FG212" s="54"/>
      <c r="FH212" s="54"/>
      <c r="FI212" s="54"/>
    </row>
    <row r="213" spans="84:165" ht="15" customHeight="1" x14ac:dyDescent="0.15">
      <c r="CF213" s="52"/>
      <c r="FB213" s="53"/>
      <c r="FC213" s="54"/>
      <c r="FD213" s="54"/>
      <c r="FE213" s="54"/>
      <c r="FF213" s="54"/>
      <c r="FG213" s="54"/>
      <c r="FH213" s="54"/>
      <c r="FI213" s="54"/>
    </row>
    <row r="214" spans="84:165" ht="15" customHeight="1" x14ac:dyDescent="0.15">
      <c r="FB214" s="53"/>
      <c r="FC214" s="54"/>
      <c r="FD214" s="54"/>
      <c r="FE214" s="54"/>
      <c r="FF214" s="54"/>
      <c r="FG214" s="54"/>
      <c r="FH214" s="54"/>
      <c r="FI214" s="54"/>
    </row>
    <row r="215" spans="84:165" ht="15" customHeight="1" x14ac:dyDescent="0.15">
      <c r="FB215" s="53"/>
      <c r="FC215" s="54"/>
      <c r="FD215" s="54"/>
      <c r="FE215" s="54"/>
      <c r="FF215" s="54"/>
      <c r="FG215" s="54"/>
      <c r="FH215" s="54"/>
      <c r="FI215" s="54"/>
    </row>
    <row r="216" spans="84:165" ht="15" customHeight="1" x14ac:dyDescent="0.15">
      <c r="FB216" s="53"/>
      <c r="FC216" s="54"/>
      <c r="FD216" s="54"/>
      <c r="FE216" s="54"/>
      <c r="FF216" s="54"/>
      <c r="FG216" s="54"/>
      <c r="FH216" s="54"/>
      <c r="FI216" s="54"/>
    </row>
    <row r="217" spans="84:165" ht="15" customHeight="1" x14ac:dyDescent="0.15">
      <c r="FB217" s="53"/>
      <c r="FC217" s="54"/>
      <c r="FD217" s="54"/>
      <c r="FE217" s="54"/>
      <c r="FF217" s="54"/>
      <c r="FG217" s="54"/>
      <c r="FH217" s="54"/>
      <c r="FI217" s="54"/>
    </row>
    <row r="218" spans="84:165" ht="15" customHeight="1" x14ac:dyDescent="0.15">
      <c r="FB218" s="53"/>
      <c r="FC218" s="54"/>
      <c r="FD218" s="54"/>
      <c r="FE218" s="54"/>
      <c r="FF218" s="54"/>
      <c r="FG218" s="54"/>
      <c r="FH218" s="54"/>
      <c r="FI218" s="54"/>
    </row>
    <row r="219" spans="84:165" ht="15" customHeight="1" x14ac:dyDescent="0.15">
      <c r="FB219" s="53"/>
      <c r="FC219" s="54"/>
      <c r="FD219" s="54"/>
      <c r="FE219" s="54"/>
      <c r="FF219" s="54"/>
      <c r="FG219" s="54"/>
      <c r="FH219" s="54"/>
      <c r="FI219" s="54"/>
    </row>
    <row r="220" spans="84:165" ht="15" customHeight="1" x14ac:dyDescent="0.15">
      <c r="FB220" s="53"/>
      <c r="FC220" s="54"/>
      <c r="FD220" s="54"/>
      <c r="FE220" s="54"/>
      <c r="FF220" s="54"/>
      <c r="FG220" s="54"/>
      <c r="FH220" s="54"/>
      <c r="FI220" s="54"/>
    </row>
    <row r="221" spans="84:165" ht="15" customHeight="1" x14ac:dyDescent="0.15">
      <c r="FB221" s="53"/>
      <c r="FC221" s="54"/>
      <c r="FD221" s="54"/>
      <c r="FE221" s="54"/>
      <c r="FF221" s="54"/>
      <c r="FG221" s="54"/>
      <c r="FH221" s="54"/>
      <c r="FI221" s="54"/>
    </row>
    <row r="222" spans="84:165" ht="15" customHeight="1" x14ac:dyDescent="0.15">
      <c r="FB222" s="53"/>
      <c r="FC222" s="54"/>
      <c r="FD222" s="54"/>
      <c r="FE222" s="54"/>
      <c r="FF222" s="54"/>
      <c r="FG222" s="54"/>
      <c r="FH222" s="54"/>
      <c r="FI222" s="54"/>
    </row>
    <row r="223" spans="84:165" ht="15" customHeight="1" x14ac:dyDescent="0.15">
      <c r="FB223" s="53"/>
      <c r="FC223" s="54"/>
      <c r="FD223" s="54"/>
      <c r="FE223" s="54"/>
      <c r="FF223" s="54"/>
      <c r="FG223" s="54"/>
      <c r="FH223" s="54"/>
      <c r="FI223" s="54"/>
    </row>
    <row r="224" spans="84:165" ht="15" customHeight="1" x14ac:dyDescent="0.15">
      <c r="FB224" s="53"/>
      <c r="FC224" s="54"/>
      <c r="FD224" s="54"/>
      <c r="FE224" s="54"/>
      <c r="FF224" s="54"/>
      <c r="FG224" s="54"/>
      <c r="FH224" s="54"/>
      <c r="FI224" s="54"/>
    </row>
    <row r="225" spans="158:165" ht="15" customHeight="1" x14ac:dyDescent="0.15">
      <c r="FB225" s="53"/>
      <c r="FC225" s="54"/>
      <c r="FD225" s="54"/>
      <c r="FE225" s="54"/>
      <c r="FF225" s="54"/>
      <c r="FG225" s="54"/>
      <c r="FH225" s="54"/>
      <c r="FI225" s="54"/>
    </row>
    <row r="226" spans="158:165" ht="15" customHeight="1" x14ac:dyDescent="0.15">
      <c r="FB226" s="53"/>
      <c r="FC226" s="54"/>
      <c r="FD226" s="54"/>
      <c r="FE226" s="54"/>
      <c r="FF226" s="54"/>
      <c r="FG226" s="54"/>
      <c r="FH226" s="54"/>
      <c r="FI226" s="54"/>
    </row>
    <row r="227" spans="158:165" ht="15" customHeight="1" x14ac:dyDescent="0.15">
      <c r="FB227" s="53"/>
      <c r="FC227" s="54"/>
      <c r="FD227" s="54"/>
      <c r="FE227" s="54"/>
      <c r="FF227" s="54"/>
      <c r="FG227" s="54"/>
      <c r="FH227" s="54"/>
      <c r="FI227" s="54"/>
    </row>
    <row r="228" spans="158:165" ht="15" customHeight="1" x14ac:dyDescent="0.15">
      <c r="FB228" s="53"/>
      <c r="FC228" s="54"/>
      <c r="FD228" s="54"/>
      <c r="FE228" s="54"/>
      <c r="FF228" s="54"/>
      <c r="FG228" s="54"/>
      <c r="FH228" s="54"/>
      <c r="FI228" s="54"/>
    </row>
    <row r="229" spans="158:165" ht="15" customHeight="1" x14ac:dyDescent="0.15">
      <c r="FB229" s="53"/>
      <c r="FC229" s="54"/>
      <c r="FD229" s="54"/>
      <c r="FE229" s="54"/>
      <c r="FF229" s="54"/>
      <c r="FG229" s="54"/>
      <c r="FH229" s="54"/>
      <c r="FI229" s="54"/>
    </row>
    <row r="230" spans="158:165" ht="15" customHeight="1" x14ac:dyDescent="0.15">
      <c r="FB230" s="53"/>
      <c r="FC230" s="54"/>
      <c r="FD230" s="54"/>
      <c r="FE230" s="54"/>
      <c r="FF230" s="54"/>
      <c r="FG230" s="54"/>
      <c r="FH230" s="54"/>
      <c r="FI230" s="54"/>
    </row>
    <row r="231" spans="158:165" ht="15" customHeight="1" x14ac:dyDescent="0.15">
      <c r="FB231" s="53"/>
      <c r="FC231" s="54"/>
      <c r="FD231" s="54"/>
      <c r="FE231" s="54"/>
      <c r="FF231" s="54"/>
      <c r="FG231" s="54"/>
      <c r="FH231" s="54"/>
      <c r="FI231" s="54"/>
    </row>
    <row r="232" spans="158:165" ht="15" customHeight="1" x14ac:dyDescent="0.15">
      <c r="FB232" s="53"/>
      <c r="FC232" s="54"/>
      <c r="FD232" s="54"/>
      <c r="FE232" s="54"/>
      <c r="FF232" s="54"/>
      <c r="FG232" s="54"/>
      <c r="FH232" s="54"/>
      <c r="FI232" s="54"/>
    </row>
    <row r="233" spans="158:165" ht="15" customHeight="1" x14ac:dyDescent="0.15">
      <c r="FB233" s="53"/>
      <c r="FC233" s="54"/>
      <c r="FD233" s="54"/>
      <c r="FE233" s="54"/>
      <c r="FF233" s="54"/>
      <c r="FG233" s="54"/>
      <c r="FH233" s="54"/>
      <c r="FI233" s="54"/>
    </row>
    <row r="234" spans="158:165" ht="15" customHeight="1" x14ac:dyDescent="0.15">
      <c r="FB234" s="53"/>
      <c r="FC234" s="54"/>
      <c r="FD234" s="54"/>
      <c r="FE234" s="54"/>
      <c r="FF234" s="54"/>
      <c r="FG234" s="54"/>
      <c r="FH234" s="54"/>
      <c r="FI234" s="54"/>
    </row>
    <row r="235" spans="158:165" ht="15" customHeight="1" x14ac:dyDescent="0.15">
      <c r="FB235" s="53"/>
      <c r="FC235" s="54"/>
      <c r="FD235" s="54"/>
      <c r="FE235" s="54"/>
      <c r="FF235" s="54"/>
      <c r="FG235" s="54"/>
      <c r="FH235" s="54"/>
      <c r="FI235" s="54"/>
    </row>
    <row r="236" spans="158:165" ht="15" customHeight="1" x14ac:dyDescent="0.15">
      <c r="FB236" s="53"/>
      <c r="FC236" s="54"/>
      <c r="FD236" s="54"/>
      <c r="FE236" s="54"/>
      <c r="FF236" s="54"/>
      <c r="FG236" s="54"/>
      <c r="FH236" s="54"/>
      <c r="FI236" s="54"/>
    </row>
    <row r="237" spans="158:165" ht="15" customHeight="1" x14ac:dyDescent="0.15">
      <c r="FB237" s="53"/>
      <c r="FC237" s="54"/>
      <c r="FD237" s="54"/>
      <c r="FE237" s="54"/>
      <c r="FF237" s="54"/>
      <c r="FG237" s="54"/>
      <c r="FH237" s="54"/>
      <c r="FI237" s="54"/>
    </row>
    <row r="238" spans="158:165" ht="15" customHeight="1" x14ac:dyDescent="0.15">
      <c r="FB238" s="53"/>
      <c r="FC238" s="54"/>
      <c r="FD238" s="54"/>
      <c r="FE238" s="54"/>
      <c r="FF238" s="54"/>
      <c r="FG238" s="54"/>
      <c r="FH238" s="54"/>
      <c r="FI238" s="54"/>
    </row>
    <row r="239" spans="158:165" ht="15" customHeight="1" x14ac:dyDescent="0.15">
      <c r="FB239" s="53"/>
      <c r="FC239" s="54"/>
      <c r="FD239" s="54"/>
      <c r="FE239" s="54"/>
      <c r="FF239" s="54"/>
      <c r="FG239" s="54"/>
      <c r="FH239" s="54"/>
      <c r="FI239" s="54"/>
    </row>
    <row r="240" spans="158:165" ht="15" customHeight="1" x14ac:dyDescent="0.15">
      <c r="FB240" s="53"/>
      <c r="FC240" s="54"/>
      <c r="FD240" s="54"/>
      <c r="FE240" s="54"/>
      <c r="FF240" s="54"/>
      <c r="FG240" s="54"/>
      <c r="FH240" s="54"/>
      <c r="FI240" s="54"/>
    </row>
    <row r="241" spans="158:165" ht="15" customHeight="1" x14ac:dyDescent="0.15">
      <c r="FB241" s="53"/>
      <c r="FC241" s="54"/>
      <c r="FD241" s="54"/>
      <c r="FE241" s="54"/>
      <c r="FF241" s="54"/>
      <c r="FG241" s="54"/>
      <c r="FH241" s="54"/>
      <c r="FI241" s="54"/>
    </row>
    <row r="242" spans="158:165" ht="15" customHeight="1" x14ac:dyDescent="0.15">
      <c r="FB242" s="53"/>
      <c r="FC242" s="54"/>
      <c r="FD242" s="54"/>
      <c r="FE242" s="54"/>
      <c r="FF242" s="54"/>
      <c r="FG242" s="54"/>
      <c r="FH242" s="54"/>
      <c r="FI242" s="54"/>
    </row>
    <row r="243" spans="158:165" ht="15" customHeight="1" x14ac:dyDescent="0.15">
      <c r="FB243" s="53"/>
      <c r="FC243" s="54"/>
      <c r="FD243" s="54"/>
      <c r="FE243" s="54"/>
      <c r="FF243" s="54"/>
      <c r="FG243" s="54"/>
      <c r="FH243" s="54"/>
      <c r="FI243" s="54"/>
    </row>
    <row r="244" spans="158:165" ht="15" customHeight="1" x14ac:dyDescent="0.15">
      <c r="FB244" s="53"/>
      <c r="FC244" s="54"/>
      <c r="FD244" s="54"/>
      <c r="FE244" s="54"/>
      <c r="FF244" s="54"/>
      <c r="FG244" s="54"/>
      <c r="FH244" s="54"/>
      <c r="FI244" s="54"/>
    </row>
    <row r="245" spans="158:165" ht="15" customHeight="1" x14ac:dyDescent="0.15">
      <c r="FB245" s="53"/>
      <c r="FC245" s="54"/>
      <c r="FD245" s="54"/>
      <c r="FE245" s="54"/>
      <c r="FF245" s="54"/>
      <c r="FG245" s="54"/>
      <c r="FH245" s="54"/>
      <c r="FI245" s="54"/>
    </row>
    <row r="246" spans="158:165" ht="15" customHeight="1" x14ac:dyDescent="0.15">
      <c r="FB246" s="53"/>
      <c r="FC246" s="54"/>
      <c r="FD246" s="54"/>
      <c r="FE246" s="54"/>
      <c r="FF246" s="54"/>
      <c r="FG246" s="54"/>
      <c r="FH246" s="54"/>
      <c r="FI246" s="54"/>
    </row>
    <row r="247" spans="158:165" ht="15" customHeight="1" x14ac:dyDescent="0.15">
      <c r="FB247" s="53"/>
      <c r="FC247" s="54"/>
      <c r="FD247" s="54"/>
      <c r="FE247" s="54"/>
      <c r="FF247" s="54"/>
      <c r="FG247" s="54"/>
      <c r="FH247" s="54"/>
      <c r="FI247" s="54"/>
    </row>
    <row r="248" spans="158:165" ht="15" customHeight="1" x14ac:dyDescent="0.15">
      <c r="FB248" s="53"/>
      <c r="FC248" s="54"/>
      <c r="FD248" s="54"/>
      <c r="FE248" s="54"/>
      <c r="FF248" s="54"/>
      <c r="FG248" s="54"/>
      <c r="FH248" s="54"/>
      <c r="FI248" s="54"/>
    </row>
    <row r="249" spans="158:165" ht="15" customHeight="1" x14ac:dyDescent="0.15">
      <c r="FB249" s="53"/>
      <c r="FC249" s="54"/>
      <c r="FD249" s="54"/>
      <c r="FE249" s="54"/>
      <c r="FF249" s="54"/>
      <c r="FG249" s="54"/>
      <c r="FH249" s="54"/>
      <c r="FI249" s="54"/>
    </row>
    <row r="250" spans="158:165" ht="15" customHeight="1" x14ac:dyDescent="0.15">
      <c r="FB250" s="53"/>
      <c r="FC250" s="54"/>
      <c r="FD250" s="54"/>
      <c r="FE250" s="54"/>
      <c r="FF250" s="54"/>
      <c r="FG250" s="54"/>
      <c r="FH250" s="54"/>
      <c r="FI250" s="54"/>
    </row>
    <row r="251" spans="158:165" ht="15" customHeight="1" x14ac:dyDescent="0.15">
      <c r="FB251" s="53"/>
      <c r="FC251" s="54"/>
      <c r="FD251" s="54"/>
      <c r="FE251" s="54"/>
      <c r="FF251" s="54"/>
      <c r="FG251" s="54"/>
      <c r="FH251" s="54"/>
      <c r="FI251" s="54"/>
    </row>
    <row r="252" spans="158:165" ht="15" customHeight="1" x14ac:dyDescent="0.15">
      <c r="FB252" s="53"/>
      <c r="FC252" s="54"/>
      <c r="FD252" s="54"/>
      <c r="FE252" s="54"/>
      <c r="FF252" s="54"/>
      <c r="FG252" s="54"/>
      <c r="FH252" s="54"/>
      <c r="FI252" s="54"/>
    </row>
    <row r="253" spans="158:165" ht="15" customHeight="1" x14ac:dyDescent="0.15">
      <c r="FB253" s="53"/>
      <c r="FC253" s="54"/>
      <c r="FD253" s="54"/>
      <c r="FE253" s="54"/>
      <c r="FF253" s="54"/>
      <c r="FG253" s="54"/>
      <c r="FH253" s="54"/>
      <c r="FI253" s="54"/>
    </row>
    <row r="254" spans="158:165" ht="15" customHeight="1" x14ac:dyDescent="0.15">
      <c r="FB254" s="53"/>
      <c r="FC254" s="54"/>
      <c r="FD254" s="54"/>
      <c r="FE254" s="54"/>
      <c r="FF254" s="54"/>
      <c r="FG254" s="54"/>
      <c r="FH254" s="54"/>
      <c r="FI254" s="54"/>
    </row>
    <row r="255" spans="158:165" ht="15" customHeight="1" x14ac:dyDescent="0.15">
      <c r="FB255" s="53"/>
      <c r="FC255" s="54"/>
      <c r="FD255" s="54"/>
      <c r="FE255" s="54"/>
      <c r="FF255" s="54"/>
      <c r="FG255" s="54"/>
      <c r="FH255" s="54"/>
      <c r="FI255" s="54"/>
    </row>
    <row r="256" spans="158:165" ht="15" customHeight="1" x14ac:dyDescent="0.15">
      <c r="FB256" s="53"/>
      <c r="FC256" s="54"/>
      <c r="FD256" s="54"/>
      <c r="FE256" s="54"/>
      <c r="FF256" s="54"/>
      <c r="FG256" s="54"/>
      <c r="FH256" s="54"/>
      <c r="FI256" s="54"/>
    </row>
    <row r="257" spans="158:165" ht="15" customHeight="1" x14ac:dyDescent="0.15">
      <c r="FB257" s="53"/>
      <c r="FC257" s="54"/>
      <c r="FD257" s="54"/>
      <c r="FE257" s="54"/>
      <c r="FF257" s="54"/>
      <c r="FG257" s="54"/>
      <c r="FH257" s="54"/>
      <c r="FI257" s="54"/>
    </row>
    <row r="258" spans="158:165" ht="15" customHeight="1" x14ac:dyDescent="0.15">
      <c r="FB258" s="53"/>
      <c r="FC258" s="54"/>
      <c r="FD258" s="54"/>
      <c r="FE258" s="54"/>
      <c r="FF258" s="54"/>
      <c r="FG258" s="54"/>
      <c r="FH258" s="54"/>
      <c r="FI258" s="54"/>
    </row>
    <row r="259" spans="158:165" ht="15" customHeight="1" x14ac:dyDescent="0.15">
      <c r="FB259" s="53"/>
      <c r="FC259" s="54"/>
      <c r="FD259" s="54"/>
      <c r="FE259" s="54"/>
      <c r="FF259" s="54"/>
      <c r="FG259" s="54"/>
      <c r="FH259" s="54"/>
      <c r="FI259" s="54"/>
    </row>
    <row r="260" spans="158:165" ht="15" customHeight="1" x14ac:dyDescent="0.15">
      <c r="FB260" s="53"/>
      <c r="FC260" s="54"/>
      <c r="FD260" s="54"/>
      <c r="FE260" s="54"/>
      <c r="FF260" s="54"/>
      <c r="FG260" s="54"/>
      <c r="FH260" s="54"/>
      <c r="FI260" s="54"/>
    </row>
    <row r="261" spans="158:165" ht="15" customHeight="1" x14ac:dyDescent="0.15">
      <c r="FB261" s="53"/>
      <c r="FC261" s="54"/>
      <c r="FD261" s="54"/>
      <c r="FE261" s="54"/>
      <c r="FF261" s="54"/>
      <c r="FG261" s="54"/>
      <c r="FH261" s="54"/>
      <c r="FI261" s="54"/>
    </row>
    <row r="262" spans="158:165" ht="15" customHeight="1" x14ac:dyDescent="0.15">
      <c r="FB262" s="53"/>
      <c r="FC262" s="54"/>
      <c r="FD262" s="54"/>
      <c r="FE262" s="54"/>
      <c r="FF262" s="54"/>
      <c r="FG262" s="54"/>
      <c r="FH262" s="54"/>
      <c r="FI262" s="54"/>
    </row>
    <row r="263" spans="158:165" ht="15" customHeight="1" x14ac:dyDescent="0.15">
      <c r="FB263" s="53"/>
      <c r="FC263" s="54"/>
      <c r="FD263" s="54"/>
      <c r="FE263" s="54"/>
      <c r="FF263" s="54"/>
      <c r="FG263" s="54"/>
      <c r="FH263" s="54"/>
      <c r="FI263" s="54"/>
    </row>
    <row r="264" spans="158:165" ht="15" customHeight="1" x14ac:dyDescent="0.15">
      <c r="FB264" s="53"/>
      <c r="FC264" s="54"/>
      <c r="FD264" s="54"/>
      <c r="FE264" s="54"/>
      <c r="FF264" s="54"/>
      <c r="FG264" s="54"/>
      <c r="FH264" s="54"/>
      <c r="FI264" s="54"/>
    </row>
    <row r="265" spans="158:165" ht="15" customHeight="1" x14ac:dyDescent="0.15">
      <c r="FB265" s="53"/>
      <c r="FC265" s="54"/>
      <c r="FD265" s="54"/>
      <c r="FE265" s="54"/>
      <c r="FF265" s="54"/>
      <c r="FG265" s="54"/>
      <c r="FH265" s="54"/>
      <c r="FI265" s="54"/>
    </row>
    <row r="266" spans="158:165" ht="15" customHeight="1" x14ac:dyDescent="0.15">
      <c r="FB266" s="53"/>
      <c r="FC266" s="54"/>
      <c r="FD266" s="54"/>
      <c r="FE266" s="54"/>
      <c r="FF266" s="54"/>
      <c r="FG266" s="54"/>
      <c r="FH266" s="54"/>
      <c r="FI266" s="54"/>
    </row>
    <row r="267" spans="158:165" ht="15" customHeight="1" x14ac:dyDescent="0.15">
      <c r="FB267" s="53"/>
      <c r="FC267" s="54"/>
      <c r="FD267" s="54"/>
      <c r="FE267" s="54"/>
      <c r="FF267" s="54"/>
      <c r="FG267" s="54"/>
      <c r="FH267" s="54"/>
      <c r="FI267" s="54"/>
    </row>
    <row r="268" spans="158:165" ht="15" customHeight="1" x14ac:dyDescent="0.15">
      <c r="FB268" s="53"/>
      <c r="FC268" s="54"/>
      <c r="FD268" s="54"/>
      <c r="FE268" s="54"/>
      <c r="FF268" s="54"/>
      <c r="FG268" s="54"/>
      <c r="FH268" s="54"/>
      <c r="FI268" s="54"/>
    </row>
    <row r="269" spans="158:165" ht="15" customHeight="1" x14ac:dyDescent="0.15">
      <c r="FB269" s="53"/>
      <c r="FC269" s="54"/>
      <c r="FD269" s="54"/>
      <c r="FE269" s="54"/>
      <c r="FF269" s="54"/>
      <c r="FG269" s="54"/>
      <c r="FH269" s="54"/>
      <c r="FI269" s="54"/>
    </row>
    <row r="270" spans="158:165" ht="15" customHeight="1" x14ac:dyDescent="0.15">
      <c r="FB270" s="53"/>
      <c r="FC270" s="54"/>
      <c r="FD270" s="54"/>
      <c r="FE270" s="54"/>
      <c r="FF270" s="54"/>
      <c r="FG270" s="54"/>
      <c r="FH270" s="54"/>
      <c r="FI270" s="54"/>
    </row>
    <row r="271" spans="158:165" ht="15" customHeight="1" x14ac:dyDescent="0.15">
      <c r="FB271" s="53"/>
      <c r="FC271" s="54"/>
      <c r="FD271" s="54"/>
      <c r="FE271" s="54"/>
      <c r="FF271" s="54"/>
      <c r="FG271" s="54"/>
      <c r="FH271" s="54"/>
      <c r="FI271" s="54"/>
    </row>
    <row r="272" spans="158:165" ht="15" customHeight="1" x14ac:dyDescent="0.15">
      <c r="FB272" s="53"/>
      <c r="FC272" s="54"/>
      <c r="FD272" s="54"/>
      <c r="FE272" s="54"/>
      <c r="FF272" s="54"/>
      <c r="FG272" s="54"/>
      <c r="FH272" s="54"/>
      <c r="FI272" s="54"/>
    </row>
    <row r="273" spans="158:165" ht="15" customHeight="1" x14ac:dyDescent="0.15">
      <c r="FB273" s="53"/>
      <c r="FC273" s="54"/>
      <c r="FD273" s="54"/>
      <c r="FE273" s="54"/>
      <c r="FF273" s="54"/>
      <c r="FG273" s="54"/>
      <c r="FH273" s="54"/>
      <c r="FI273" s="54"/>
    </row>
    <row r="274" spans="158:165" ht="15" customHeight="1" x14ac:dyDescent="0.15">
      <c r="FB274" s="53"/>
      <c r="FC274" s="54"/>
      <c r="FD274" s="54"/>
      <c r="FE274" s="54"/>
      <c r="FF274" s="54"/>
      <c r="FG274" s="54"/>
      <c r="FH274" s="54"/>
      <c r="FI274" s="54"/>
    </row>
    <row r="275" spans="158:165" ht="15" customHeight="1" x14ac:dyDescent="0.15">
      <c r="FB275" s="53"/>
      <c r="FC275" s="54"/>
      <c r="FD275" s="54"/>
      <c r="FE275" s="54"/>
      <c r="FF275" s="54"/>
      <c r="FG275" s="54"/>
      <c r="FH275" s="54"/>
      <c r="FI275" s="54"/>
    </row>
    <row r="276" spans="158:165" ht="15" customHeight="1" x14ac:dyDescent="0.15">
      <c r="FB276" s="53"/>
      <c r="FC276" s="54"/>
      <c r="FD276" s="54"/>
      <c r="FE276" s="54"/>
      <c r="FF276" s="54"/>
      <c r="FG276" s="54"/>
      <c r="FH276" s="54"/>
      <c r="FI276" s="54"/>
    </row>
    <row r="277" spans="158:165" ht="15" customHeight="1" x14ac:dyDescent="0.15">
      <c r="FB277" s="53"/>
      <c r="FC277" s="54"/>
      <c r="FD277" s="54"/>
      <c r="FE277" s="54"/>
      <c r="FF277" s="54"/>
      <c r="FG277" s="54"/>
      <c r="FH277" s="54"/>
      <c r="FI277" s="54"/>
    </row>
    <row r="278" spans="158:165" ht="15" customHeight="1" x14ac:dyDescent="0.15">
      <c r="FB278" s="53"/>
      <c r="FC278" s="54"/>
      <c r="FD278" s="54"/>
      <c r="FE278" s="54"/>
      <c r="FF278" s="54"/>
      <c r="FG278" s="54"/>
      <c r="FH278" s="54"/>
      <c r="FI278" s="54"/>
    </row>
    <row r="279" spans="158:165" ht="15" customHeight="1" x14ac:dyDescent="0.15">
      <c r="FB279" s="53"/>
      <c r="FC279" s="54"/>
      <c r="FD279" s="54"/>
      <c r="FE279" s="54"/>
      <c r="FF279" s="54"/>
      <c r="FG279" s="54"/>
      <c r="FH279" s="54"/>
      <c r="FI279" s="54"/>
    </row>
    <row r="280" spans="158:165" ht="15" customHeight="1" x14ac:dyDescent="0.15">
      <c r="FB280" s="53"/>
      <c r="FC280" s="54"/>
      <c r="FD280" s="54"/>
      <c r="FE280" s="54"/>
      <c r="FF280" s="54"/>
      <c r="FG280" s="54"/>
      <c r="FH280" s="54"/>
      <c r="FI280" s="54"/>
    </row>
    <row r="281" spans="158:165" ht="15" customHeight="1" x14ac:dyDescent="0.15">
      <c r="FB281" s="53"/>
      <c r="FC281" s="54"/>
      <c r="FD281" s="54"/>
      <c r="FE281" s="54"/>
      <c r="FF281" s="54"/>
      <c r="FG281" s="54"/>
      <c r="FH281" s="54"/>
      <c r="FI281" s="54"/>
    </row>
    <row r="282" spans="158:165" ht="15" customHeight="1" x14ac:dyDescent="0.15">
      <c r="FB282" s="53"/>
      <c r="FC282" s="54"/>
      <c r="FD282" s="54"/>
      <c r="FE282" s="54"/>
      <c r="FF282" s="54"/>
      <c r="FG282" s="54"/>
      <c r="FH282" s="54"/>
      <c r="FI282" s="54"/>
    </row>
    <row r="283" spans="158:165" ht="15" customHeight="1" x14ac:dyDescent="0.15">
      <c r="FB283" s="53"/>
      <c r="FC283" s="54"/>
      <c r="FD283" s="54"/>
      <c r="FE283" s="54"/>
      <c r="FF283" s="54"/>
      <c r="FG283" s="54"/>
      <c r="FH283" s="54"/>
      <c r="FI283" s="54"/>
    </row>
    <row r="284" spans="158:165" ht="15" customHeight="1" x14ac:dyDescent="0.15">
      <c r="FB284" s="53"/>
      <c r="FC284" s="54"/>
      <c r="FD284" s="54"/>
      <c r="FE284" s="54"/>
      <c r="FF284" s="54"/>
      <c r="FG284" s="54"/>
      <c r="FH284" s="54"/>
      <c r="FI284" s="54"/>
    </row>
    <row r="285" spans="158:165" ht="15" customHeight="1" x14ac:dyDescent="0.15">
      <c r="FB285" s="53"/>
      <c r="FC285" s="54"/>
      <c r="FD285" s="54"/>
      <c r="FE285" s="54"/>
      <c r="FF285" s="54"/>
      <c r="FG285" s="54"/>
      <c r="FH285" s="54"/>
      <c r="FI285" s="54"/>
    </row>
    <row r="286" spans="158:165" ht="15" customHeight="1" x14ac:dyDescent="0.15">
      <c r="FB286" s="53"/>
      <c r="FC286" s="54"/>
      <c r="FD286" s="54"/>
      <c r="FE286" s="54"/>
      <c r="FF286" s="54"/>
      <c r="FG286" s="54"/>
      <c r="FH286" s="54"/>
      <c r="FI286" s="54"/>
    </row>
    <row r="287" spans="158:165" ht="15" customHeight="1" x14ac:dyDescent="0.15">
      <c r="FB287" s="53"/>
      <c r="FC287" s="54"/>
      <c r="FD287" s="54"/>
      <c r="FE287" s="54"/>
      <c r="FF287" s="54"/>
      <c r="FG287" s="54"/>
      <c r="FH287" s="54"/>
      <c r="FI287" s="54"/>
    </row>
    <row r="288" spans="158:165" ht="15" customHeight="1" x14ac:dyDescent="0.15">
      <c r="FB288" s="53"/>
      <c r="FC288" s="54"/>
      <c r="FD288" s="54"/>
      <c r="FE288" s="54"/>
      <c r="FF288" s="54"/>
      <c r="FG288" s="54"/>
      <c r="FH288" s="54"/>
      <c r="FI288" s="54"/>
    </row>
    <row r="289" spans="158:165" ht="15" customHeight="1" x14ac:dyDescent="0.15">
      <c r="FB289" s="53"/>
      <c r="FC289" s="54"/>
      <c r="FD289" s="54"/>
      <c r="FE289" s="54"/>
      <c r="FF289" s="54"/>
      <c r="FG289" s="54"/>
      <c r="FH289" s="54"/>
      <c r="FI289" s="54"/>
    </row>
    <row r="290" spans="158:165" ht="15" customHeight="1" x14ac:dyDescent="0.15">
      <c r="FB290" s="53"/>
      <c r="FC290" s="54"/>
      <c r="FD290" s="54"/>
      <c r="FE290" s="54"/>
      <c r="FF290" s="54"/>
      <c r="FG290" s="54"/>
      <c r="FH290" s="54"/>
      <c r="FI290" s="54"/>
    </row>
    <row r="291" spans="158:165" ht="15" customHeight="1" x14ac:dyDescent="0.15">
      <c r="FB291" s="53"/>
      <c r="FC291" s="54"/>
      <c r="FD291" s="54"/>
      <c r="FE291" s="54"/>
      <c r="FF291" s="54"/>
      <c r="FG291" s="54"/>
      <c r="FH291" s="54"/>
      <c r="FI291" s="54"/>
    </row>
    <row r="292" spans="158:165" ht="15" customHeight="1" x14ac:dyDescent="0.15">
      <c r="FB292" s="53"/>
      <c r="FC292" s="54"/>
      <c r="FD292" s="54"/>
      <c r="FE292" s="54"/>
      <c r="FF292" s="54"/>
      <c r="FG292" s="54"/>
      <c r="FH292" s="54"/>
      <c r="FI292" s="54"/>
    </row>
    <row r="293" spans="158:165" ht="15" customHeight="1" x14ac:dyDescent="0.15">
      <c r="FB293" s="53"/>
      <c r="FC293" s="54"/>
      <c r="FD293" s="54"/>
      <c r="FE293" s="54"/>
      <c r="FF293" s="54"/>
      <c r="FG293" s="54"/>
      <c r="FH293" s="54"/>
      <c r="FI293" s="54"/>
    </row>
    <row r="294" spans="158:165" ht="15" customHeight="1" x14ac:dyDescent="0.15">
      <c r="FB294" s="53"/>
      <c r="FC294" s="54"/>
      <c r="FD294" s="54"/>
      <c r="FE294" s="54"/>
      <c r="FF294" s="54"/>
      <c r="FG294" s="54"/>
      <c r="FH294" s="54"/>
      <c r="FI294" s="54"/>
    </row>
    <row r="295" spans="158:165" ht="15" customHeight="1" x14ac:dyDescent="0.15">
      <c r="FB295" s="53"/>
      <c r="FC295" s="54"/>
      <c r="FD295" s="54"/>
      <c r="FE295" s="54"/>
      <c r="FF295" s="54"/>
      <c r="FG295" s="54"/>
      <c r="FH295" s="54"/>
      <c r="FI295" s="54"/>
    </row>
    <row r="296" spans="158:165" ht="15" customHeight="1" x14ac:dyDescent="0.15">
      <c r="FB296" s="53"/>
      <c r="FC296" s="54"/>
      <c r="FD296" s="54"/>
      <c r="FE296" s="54"/>
      <c r="FF296" s="54"/>
      <c r="FG296" s="54"/>
      <c r="FH296" s="54"/>
      <c r="FI296" s="54"/>
    </row>
    <row r="297" spans="158:165" ht="15" customHeight="1" x14ac:dyDescent="0.15">
      <c r="FB297" s="53"/>
      <c r="FC297" s="54"/>
      <c r="FD297" s="54"/>
      <c r="FE297" s="54"/>
      <c r="FF297" s="54"/>
      <c r="FG297" s="54"/>
      <c r="FH297" s="54"/>
      <c r="FI297" s="54"/>
    </row>
    <row r="298" spans="158:165" ht="15" customHeight="1" x14ac:dyDescent="0.15">
      <c r="FB298" s="53"/>
      <c r="FC298" s="54"/>
      <c r="FD298" s="54"/>
      <c r="FE298" s="54"/>
      <c r="FF298" s="54"/>
      <c r="FG298" s="54"/>
      <c r="FH298" s="54"/>
      <c r="FI298" s="54"/>
    </row>
    <row r="299" spans="158:165" ht="15" customHeight="1" x14ac:dyDescent="0.15">
      <c r="FB299" s="53"/>
      <c r="FC299" s="54"/>
      <c r="FD299" s="54"/>
      <c r="FE299" s="54"/>
      <c r="FF299" s="54"/>
      <c r="FG299" s="54"/>
      <c r="FH299" s="54"/>
      <c r="FI299" s="54"/>
    </row>
    <row r="300" spans="158:165" ht="15" customHeight="1" x14ac:dyDescent="0.15">
      <c r="FB300" s="53"/>
      <c r="FC300" s="54"/>
      <c r="FD300" s="54"/>
      <c r="FE300" s="54"/>
      <c r="FF300" s="54"/>
      <c r="FG300" s="54"/>
      <c r="FH300" s="54"/>
      <c r="FI300" s="54"/>
    </row>
    <row r="301" spans="158:165" ht="15" customHeight="1" x14ac:dyDescent="0.15">
      <c r="FB301" s="53"/>
      <c r="FC301" s="54"/>
      <c r="FD301" s="54"/>
      <c r="FE301" s="54"/>
      <c r="FF301" s="54"/>
      <c r="FG301" s="54"/>
      <c r="FH301" s="54"/>
      <c r="FI301" s="54"/>
    </row>
    <row r="302" spans="158:165" ht="15" customHeight="1" x14ac:dyDescent="0.15">
      <c r="FB302" s="53"/>
      <c r="FC302" s="54"/>
      <c r="FD302" s="54"/>
      <c r="FE302" s="54"/>
      <c r="FF302" s="54"/>
      <c r="FG302" s="54"/>
      <c r="FH302" s="54"/>
      <c r="FI302" s="54"/>
    </row>
    <row r="303" spans="158:165" ht="15" customHeight="1" x14ac:dyDescent="0.15">
      <c r="FB303" s="53"/>
      <c r="FC303" s="54"/>
      <c r="FD303" s="54"/>
      <c r="FE303" s="54"/>
      <c r="FF303" s="54"/>
      <c r="FG303" s="54"/>
      <c r="FH303" s="54"/>
      <c r="FI303" s="54"/>
    </row>
    <row r="304" spans="158:165" ht="15" customHeight="1" x14ac:dyDescent="0.15">
      <c r="FB304" s="53"/>
      <c r="FC304" s="54"/>
      <c r="FD304" s="54"/>
      <c r="FE304" s="54"/>
      <c r="FF304" s="54"/>
      <c r="FG304" s="54"/>
      <c r="FH304" s="54"/>
      <c r="FI304" s="54"/>
    </row>
    <row r="305" spans="158:165" ht="15" customHeight="1" x14ac:dyDescent="0.15">
      <c r="FB305" s="53"/>
      <c r="FC305" s="54"/>
      <c r="FD305" s="54"/>
      <c r="FE305" s="54"/>
      <c r="FF305" s="54"/>
      <c r="FG305" s="54"/>
      <c r="FH305" s="54"/>
      <c r="FI305" s="54"/>
    </row>
    <row r="306" spans="158:165" ht="15" customHeight="1" x14ac:dyDescent="0.15">
      <c r="FB306" s="53"/>
      <c r="FC306" s="54"/>
      <c r="FD306" s="54"/>
      <c r="FE306" s="54"/>
      <c r="FF306" s="54"/>
      <c r="FG306" s="54"/>
      <c r="FH306" s="54"/>
      <c r="FI306" s="54"/>
    </row>
    <row r="307" spans="158:165" ht="15" customHeight="1" x14ac:dyDescent="0.15">
      <c r="FB307" s="53"/>
      <c r="FC307" s="54"/>
      <c r="FD307" s="54"/>
      <c r="FE307" s="54"/>
      <c r="FF307" s="54"/>
      <c r="FG307" s="54"/>
      <c r="FH307" s="54"/>
      <c r="FI307" s="54"/>
    </row>
    <row r="308" spans="158:165" ht="15" customHeight="1" x14ac:dyDescent="0.15">
      <c r="FB308" s="53"/>
      <c r="FC308" s="54"/>
      <c r="FD308" s="54"/>
      <c r="FE308" s="54"/>
      <c r="FF308" s="54"/>
      <c r="FG308" s="54"/>
      <c r="FH308" s="54"/>
      <c r="FI308" s="54"/>
    </row>
    <row r="309" spans="158:165" ht="15" customHeight="1" x14ac:dyDescent="0.15">
      <c r="FB309" s="53"/>
      <c r="FC309" s="54"/>
      <c r="FD309" s="54"/>
      <c r="FE309" s="54"/>
      <c r="FF309" s="54"/>
      <c r="FG309" s="54"/>
      <c r="FH309" s="54"/>
      <c r="FI309" s="54"/>
    </row>
    <row r="310" spans="158:165" ht="15" customHeight="1" x14ac:dyDescent="0.15">
      <c r="FB310" s="53"/>
      <c r="FC310" s="54"/>
      <c r="FD310" s="54"/>
      <c r="FE310" s="54"/>
      <c r="FF310" s="54"/>
      <c r="FG310" s="54"/>
      <c r="FH310" s="54"/>
      <c r="FI310" s="54"/>
    </row>
    <row r="311" spans="158:165" ht="15" customHeight="1" x14ac:dyDescent="0.15">
      <c r="FB311" s="53"/>
      <c r="FC311" s="54"/>
      <c r="FD311" s="54"/>
      <c r="FE311" s="54"/>
      <c r="FF311" s="54"/>
      <c r="FG311" s="54"/>
      <c r="FH311" s="54"/>
      <c r="FI311" s="54"/>
    </row>
    <row r="312" spans="158:165" ht="15" customHeight="1" x14ac:dyDescent="0.15">
      <c r="FB312" s="53"/>
      <c r="FC312" s="54"/>
      <c r="FD312" s="54"/>
      <c r="FE312" s="54"/>
      <c r="FF312" s="54"/>
      <c r="FG312" s="54"/>
      <c r="FH312" s="54"/>
      <c r="FI312" s="54"/>
    </row>
    <row r="313" spans="158:165" ht="15" customHeight="1" x14ac:dyDescent="0.15">
      <c r="FB313" s="53"/>
      <c r="FC313" s="54"/>
      <c r="FD313" s="54"/>
      <c r="FE313" s="54"/>
      <c r="FF313" s="54"/>
      <c r="FG313" s="54"/>
      <c r="FH313" s="54"/>
      <c r="FI313" s="54"/>
    </row>
    <row r="314" spans="158:165" ht="15" customHeight="1" x14ac:dyDescent="0.15">
      <c r="FB314" s="53"/>
      <c r="FC314" s="54"/>
      <c r="FD314" s="54"/>
      <c r="FE314" s="54"/>
      <c r="FF314" s="54"/>
      <c r="FG314" s="54"/>
      <c r="FH314" s="54"/>
      <c r="FI314" s="54"/>
    </row>
    <row r="315" spans="158:165" ht="15" customHeight="1" x14ac:dyDescent="0.15">
      <c r="FB315" s="53"/>
      <c r="FC315" s="54"/>
      <c r="FD315" s="54"/>
      <c r="FE315" s="54"/>
      <c r="FF315" s="54"/>
      <c r="FG315" s="54"/>
      <c r="FH315" s="54"/>
      <c r="FI315" s="54"/>
    </row>
    <row r="316" spans="158:165" ht="15" customHeight="1" x14ac:dyDescent="0.15">
      <c r="FB316" s="53"/>
      <c r="FC316" s="54"/>
      <c r="FD316" s="54"/>
      <c r="FE316" s="54"/>
      <c r="FF316" s="54"/>
      <c r="FG316" s="54"/>
      <c r="FH316" s="54"/>
      <c r="FI316" s="54"/>
    </row>
    <row r="317" spans="158:165" ht="15" customHeight="1" x14ac:dyDescent="0.15">
      <c r="FB317" s="53"/>
      <c r="FC317" s="54"/>
      <c r="FD317" s="54"/>
      <c r="FE317" s="54"/>
      <c r="FF317" s="54"/>
      <c r="FG317" s="54"/>
      <c r="FH317" s="54"/>
      <c r="FI317" s="54"/>
    </row>
    <row r="318" spans="158:165" ht="15" customHeight="1" x14ac:dyDescent="0.15">
      <c r="FB318" s="53"/>
      <c r="FC318" s="54"/>
      <c r="FD318" s="54"/>
      <c r="FE318" s="54"/>
      <c r="FF318" s="54"/>
      <c r="FG318" s="54"/>
      <c r="FH318" s="54"/>
      <c r="FI318" s="54"/>
    </row>
    <row r="319" spans="158:165" ht="15" customHeight="1" x14ac:dyDescent="0.15">
      <c r="FB319" s="53"/>
      <c r="FC319" s="54"/>
      <c r="FD319" s="54"/>
      <c r="FE319" s="54"/>
      <c r="FF319" s="54"/>
      <c r="FG319" s="54"/>
      <c r="FH319" s="54"/>
      <c r="FI319" s="54"/>
    </row>
    <row r="320" spans="158:165" ht="15" customHeight="1" x14ac:dyDescent="0.15">
      <c r="FB320" s="53"/>
      <c r="FC320" s="54"/>
      <c r="FD320" s="54"/>
      <c r="FE320" s="54"/>
      <c r="FF320" s="54"/>
      <c r="FG320" s="54"/>
      <c r="FH320" s="54"/>
      <c r="FI320" s="54"/>
    </row>
    <row r="321" spans="158:165" ht="15" customHeight="1" x14ac:dyDescent="0.15">
      <c r="FB321" s="53"/>
      <c r="FC321" s="54"/>
      <c r="FD321" s="54"/>
      <c r="FE321" s="54"/>
      <c r="FF321" s="54"/>
      <c r="FG321" s="54"/>
      <c r="FH321" s="54"/>
      <c r="FI321" s="54"/>
    </row>
    <row r="322" spans="158:165" ht="15" customHeight="1" x14ac:dyDescent="0.15">
      <c r="FB322" s="53"/>
      <c r="FC322" s="54"/>
      <c r="FD322" s="54"/>
      <c r="FE322" s="54"/>
      <c r="FF322" s="54"/>
      <c r="FG322" s="54"/>
      <c r="FH322" s="54"/>
      <c r="FI322" s="54"/>
    </row>
    <row r="323" spans="158:165" ht="15" customHeight="1" x14ac:dyDescent="0.15">
      <c r="FB323" s="53"/>
      <c r="FC323" s="54"/>
      <c r="FD323" s="54"/>
      <c r="FE323" s="54"/>
      <c r="FF323" s="54"/>
      <c r="FG323" s="54"/>
      <c r="FH323" s="54"/>
      <c r="FI323" s="54"/>
    </row>
    <row r="324" spans="158:165" ht="15" customHeight="1" x14ac:dyDescent="0.15">
      <c r="FB324" s="53"/>
      <c r="FC324" s="54"/>
      <c r="FD324" s="54"/>
      <c r="FE324" s="54"/>
      <c r="FF324" s="54"/>
      <c r="FG324" s="54"/>
      <c r="FH324" s="54"/>
      <c r="FI324" s="54"/>
    </row>
    <row r="325" spans="158:165" ht="15" customHeight="1" x14ac:dyDescent="0.15">
      <c r="FB325" s="53"/>
      <c r="FC325" s="54"/>
      <c r="FD325" s="54"/>
      <c r="FE325" s="54"/>
      <c r="FF325" s="54"/>
      <c r="FG325" s="54"/>
      <c r="FH325" s="54"/>
      <c r="FI325" s="54"/>
    </row>
    <row r="326" spans="158:165" ht="15" customHeight="1" x14ac:dyDescent="0.15">
      <c r="FB326" s="53"/>
      <c r="FC326" s="54"/>
      <c r="FD326" s="54"/>
      <c r="FE326" s="54"/>
      <c r="FF326" s="54"/>
      <c r="FG326" s="54"/>
      <c r="FH326" s="54"/>
      <c r="FI326" s="54"/>
    </row>
    <row r="327" spans="158:165" ht="15" customHeight="1" x14ac:dyDescent="0.15">
      <c r="FB327" s="53"/>
      <c r="FC327" s="54"/>
      <c r="FD327" s="54"/>
      <c r="FE327" s="54"/>
      <c r="FF327" s="54"/>
      <c r="FG327" s="54"/>
      <c r="FH327" s="54"/>
      <c r="FI327" s="54"/>
    </row>
    <row r="328" spans="158:165" ht="15" customHeight="1" x14ac:dyDescent="0.15">
      <c r="FB328" s="53"/>
      <c r="FC328" s="54"/>
      <c r="FD328" s="54"/>
      <c r="FE328" s="54"/>
      <c r="FF328" s="54"/>
      <c r="FG328" s="54"/>
      <c r="FH328" s="54"/>
      <c r="FI328" s="54"/>
    </row>
    <row r="329" spans="158:165" ht="15" customHeight="1" x14ac:dyDescent="0.15">
      <c r="FB329" s="53"/>
      <c r="FC329" s="54"/>
      <c r="FD329" s="54"/>
      <c r="FE329" s="54"/>
      <c r="FF329" s="54"/>
      <c r="FG329" s="54"/>
      <c r="FH329" s="54"/>
      <c r="FI329" s="54"/>
    </row>
    <row r="330" spans="158:165" ht="15" customHeight="1" x14ac:dyDescent="0.15">
      <c r="FB330" s="53"/>
      <c r="FC330" s="54"/>
      <c r="FD330" s="54"/>
      <c r="FE330" s="54"/>
      <c r="FF330" s="54"/>
      <c r="FG330" s="54"/>
      <c r="FH330" s="54"/>
      <c r="FI330" s="54"/>
    </row>
    <row r="331" spans="158:165" ht="15" customHeight="1" x14ac:dyDescent="0.15">
      <c r="FB331" s="53"/>
      <c r="FC331" s="54"/>
      <c r="FD331" s="54"/>
      <c r="FE331" s="54"/>
      <c r="FF331" s="54"/>
      <c r="FG331" s="54"/>
      <c r="FH331" s="54"/>
      <c r="FI331" s="54"/>
    </row>
    <row r="332" spans="158:165" ht="15" customHeight="1" x14ac:dyDescent="0.15">
      <c r="FB332" s="53"/>
      <c r="FC332" s="54"/>
      <c r="FD332" s="54"/>
      <c r="FE332" s="54"/>
      <c r="FF332" s="54"/>
      <c r="FG332" s="54"/>
      <c r="FH332" s="54"/>
      <c r="FI332" s="54"/>
    </row>
    <row r="333" spans="158:165" ht="15" customHeight="1" x14ac:dyDescent="0.15">
      <c r="FB333" s="53"/>
      <c r="FC333" s="54"/>
      <c r="FD333" s="54"/>
      <c r="FE333" s="54"/>
      <c r="FF333" s="54"/>
      <c r="FG333" s="54"/>
      <c r="FH333" s="54"/>
      <c r="FI333" s="54"/>
    </row>
    <row r="334" spans="158:165" ht="15" customHeight="1" x14ac:dyDescent="0.15">
      <c r="FB334" s="53"/>
      <c r="FC334" s="54"/>
      <c r="FD334" s="54"/>
      <c r="FE334" s="54"/>
      <c r="FF334" s="54"/>
      <c r="FG334" s="54"/>
      <c r="FH334" s="54"/>
      <c r="FI334" s="54"/>
    </row>
    <row r="335" spans="158:165" ht="15" customHeight="1" x14ac:dyDescent="0.15">
      <c r="FB335" s="53"/>
      <c r="FC335" s="54"/>
      <c r="FD335" s="54"/>
      <c r="FE335" s="54"/>
      <c r="FF335" s="54"/>
      <c r="FG335" s="54"/>
      <c r="FH335" s="54"/>
      <c r="FI335" s="54"/>
    </row>
    <row r="336" spans="158:165" ht="15" customHeight="1" x14ac:dyDescent="0.15">
      <c r="FB336" s="53"/>
      <c r="FC336" s="54"/>
      <c r="FD336" s="54"/>
      <c r="FE336" s="54"/>
      <c r="FF336" s="54"/>
      <c r="FG336" s="54"/>
      <c r="FH336" s="54"/>
      <c r="FI336" s="54"/>
    </row>
    <row r="337" spans="158:165" ht="15" customHeight="1" x14ac:dyDescent="0.15">
      <c r="FB337" s="53"/>
      <c r="FC337" s="54"/>
      <c r="FD337" s="54"/>
      <c r="FE337" s="54"/>
      <c r="FF337" s="54"/>
      <c r="FG337" s="54"/>
      <c r="FH337" s="54"/>
      <c r="FI337" s="54"/>
    </row>
    <row r="338" spans="158:165" ht="15" customHeight="1" x14ac:dyDescent="0.15">
      <c r="FB338" s="53"/>
      <c r="FC338" s="54"/>
      <c r="FD338" s="54"/>
      <c r="FE338" s="54"/>
      <c r="FF338" s="54"/>
      <c r="FG338" s="54"/>
      <c r="FH338" s="54"/>
      <c r="FI338" s="54"/>
    </row>
    <row r="339" spans="158:165" ht="15" customHeight="1" x14ac:dyDescent="0.15">
      <c r="FB339" s="53"/>
      <c r="FC339" s="54"/>
      <c r="FD339" s="54"/>
      <c r="FE339" s="54"/>
      <c r="FF339" s="54"/>
      <c r="FG339" s="54"/>
      <c r="FH339" s="54"/>
      <c r="FI339" s="54"/>
    </row>
    <row r="340" spans="158:165" ht="15" customHeight="1" x14ac:dyDescent="0.15">
      <c r="FB340" s="53"/>
      <c r="FC340" s="54"/>
      <c r="FD340" s="54"/>
      <c r="FE340" s="54"/>
      <c r="FF340" s="54"/>
      <c r="FG340" s="54"/>
      <c r="FH340" s="54"/>
      <c r="FI340" s="54"/>
    </row>
    <row r="341" spans="158:165" ht="15" customHeight="1" x14ac:dyDescent="0.15">
      <c r="FB341" s="53"/>
      <c r="FC341" s="54"/>
      <c r="FD341" s="54"/>
      <c r="FE341" s="54"/>
      <c r="FF341" s="54"/>
      <c r="FG341" s="54"/>
      <c r="FH341" s="54"/>
      <c r="FI341" s="54"/>
    </row>
    <row r="342" spans="158:165" ht="15" customHeight="1" x14ac:dyDescent="0.15">
      <c r="FB342" s="53"/>
      <c r="FC342" s="54"/>
      <c r="FD342" s="54"/>
      <c r="FE342" s="54"/>
      <c r="FF342" s="54"/>
      <c r="FG342" s="54"/>
      <c r="FH342" s="54"/>
      <c r="FI342" s="54"/>
    </row>
    <row r="343" spans="158:165" ht="15" customHeight="1" x14ac:dyDescent="0.15">
      <c r="FB343" s="53"/>
      <c r="FC343" s="54"/>
      <c r="FD343" s="54"/>
      <c r="FE343" s="54"/>
      <c r="FF343" s="54"/>
      <c r="FG343" s="54"/>
      <c r="FH343" s="54"/>
      <c r="FI343" s="54"/>
    </row>
    <row r="344" spans="158:165" ht="15" customHeight="1" x14ac:dyDescent="0.15">
      <c r="FB344" s="53"/>
      <c r="FC344" s="54"/>
      <c r="FD344" s="54"/>
      <c r="FE344" s="54"/>
      <c r="FF344" s="54"/>
      <c r="FG344" s="54"/>
      <c r="FH344" s="54"/>
      <c r="FI344" s="54"/>
    </row>
    <row r="345" spans="158:165" ht="15" customHeight="1" x14ac:dyDescent="0.15">
      <c r="FB345" s="53"/>
      <c r="FC345" s="54"/>
      <c r="FD345" s="54"/>
      <c r="FE345" s="54"/>
      <c r="FF345" s="54"/>
      <c r="FG345" s="54"/>
      <c r="FH345" s="54"/>
      <c r="FI345" s="54"/>
    </row>
    <row r="346" spans="158:165" ht="15" customHeight="1" x14ac:dyDescent="0.15">
      <c r="FB346" s="53"/>
      <c r="FC346" s="54"/>
      <c r="FD346" s="54"/>
      <c r="FE346" s="54"/>
      <c r="FF346" s="54"/>
      <c r="FG346" s="54"/>
      <c r="FH346" s="54"/>
      <c r="FI346" s="54"/>
    </row>
    <row r="347" spans="158:165" ht="15" customHeight="1" x14ac:dyDescent="0.15">
      <c r="FB347" s="53"/>
      <c r="FC347" s="54"/>
      <c r="FD347" s="54"/>
      <c r="FE347" s="54"/>
      <c r="FF347" s="54"/>
      <c r="FG347" s="54"/>
      <c r="FH347" s="54"/>
      <c r="FI347" s="54"/>
    </row>
    <row r="348" spans="158:165" ht="15" customHeight="1" x14ac:dyDescent="0.15">
      <c r="FB348" s="53"/>
      <c r="FC348" s="54"/>
      <c r="FD348" s="54"/>
      <c r="FE348" s="54"/>
      <c r="FF348" s="54"/>
      <c r="FG348" s="54"/>
      <c r="FH348" s="54"/>
      <c r="FI348" s="54"/>
    </row>
    <row r="349" spans="158:165" ht="15" customHeight="1" x14ac:dyDescent="0.15">
      <c r="FB349" s="53"/>
      <c r="FC349" s="54"/>
      <c r="FD349" s="54"/>
      <c r="FE349" s="54"/>
      <c r="FF349" s="54"/>
      <c r="FG349" s="54"/>
      <c r="FH349" s="54"/>
      <c r="FI349" s="54"/>
    </row>
    <row r="350" spans="158:165" ht="15" customHeight="1" x14ac:dyDescent="0.15">
      <c r="FB350" s="53"/>
      <c r="FC350" s="54"/>
      <c r="FD350" s="54"/>
      <c r="FE350" s="54"/>
      <c r="FF350" s="54"/>
      <c r="FG350" s="54"/>
      <c r="FH350" s="54"/>
      <c r="FI350" s="54"/>
    </row>
    <row r="351" spans="158:165" ht="15" customHeight="1" x14ac:dyDescent="0.15">
      <c r="FB351" s="53"/>
      <c r="FC351" s="54"/>
      <c r="FD351" s="54"/>
      <c r="FE351" s="54"/>
      <c r="FF351" s="54"/>
      <c r="FG351" s="54"/>
      <c r="FH351" s="54"/>
      <c r="FI351" s="54"/>
    </row>
    <row r="352" spans="158:165" ht="15" customHeight="1" x14ac:dyDescent="0.15">
      <c r="FB352" s="53"/>
      <c r="FC352" s="54"/>
      <c r="FD352" s="54"/>
      <c r="FE352" s="54"/>
      <c r="FF352" s="54"/>
      <c r="FG352" s="54"/>
      <c r="FH352" s="54"/>
      <c r="FI352" s="54"/>
    </row>
    <row r="353" spans="158:165" ht="15" customHeight="1" x14ac:dyDescent="0.15">
      <c r="FB353" s="53"/>
      <c r="FC353" s="54"/>
      <c r="FD353" s="54"/>
      <c r="FE353" s="54"/>
      <c r="FF353" s="54"/>
      <c r="FG353" s="54"/>
      <c r="FH353" s="54"/>
      <c r="FI353" s="54"/>
    </row>
    <row r="354" spans="158:165" ht="15" customHeight="1" x14ac:dyDescent="0.15">
      <c r="FB354" s="53"/>
      <c r="FC354" s="54"/>
      <c r="FD354" s="54"/>
      <c r="FE354" s="54"/>
      <c r="FF354" s="54"/>
      <c r="FG354" s="54"/>
      <c r="FH354" s="54"/>
      <c r="FI354" s="54"/>
    </row>
    <row r="412" spans="158:165" ht="15" customHeight="1" x14ac:dyDescent="0.15">
      <c r="FB412" s="79" t="s">
        <v>55</v>
      </c>
      <c r="FC412" s="79" t="s">
        <v>56</v>
      </c>
      <c r="FD412" s="79" t="s">
        <v>57</v>
      </c>
      <c r="FE412" s="79" t="s">
        <v>58</v>
      </c>
      <c r="FF412" s="79" t="s">
        <v>59</v>
      </c>
      <c r="FG412" s="79" t="s">
        <v>118</v>
      </c>
      <c r="FH412" s="79" t="s">
        <v>60</v>
      </c>
      <c r="FI412" s="79" t="s">
        <v>61</v>
      </c>
    </row>
    <row r="413" spans="158:165" ht="15" customHeight="1" x14ac:dyDescent="0.15">
      <c r="FB413" s="53"/>
      <c r="FC413" s="54"/>
      <c r="FD413" s="54"/>
      <c r="FE413" s="54"/>
      <c r="FF413" s="54"/>
      <c r="FG413" s="54"/>
      <c r="FH413" s="54"/>
      <c r="FI413" s="54"/>
    </row>
    <row r="414" spans="158:165" ht="15" customHeight="1" x14ac:dyDescent="0.15">
      <c r="FB414" s="53"/>
      <c r="FC414" s="54"/>
      <c r="FD414" s="54"/>
      <c r="FE414" s="54"/>
      <c r="FF414" s="54"/>
      <c r="FG414" s="54"/>
      <c r="FH414" s="54"/>
      <c r="FI414" s="54"/>
    </row>
    <row r="415" spans="158:165" ht="15" customHeight="1" x14ac:dyDescent="0.15">
      <c r="FB415" s="53"/>
      <c r="FC415" s="54"/>
      <c r="FD415" s="54"/>
      <c r="FE415" s="54"/>
      <c r="FF415" s="54"/>
      <c r="FG415" s="54"/>
      <c r="FH415" s="54"/>
      <c r="FI415" s="54"/>
    </row>
    <row r="416" spans="158:165" ht="15" customHeight="1" x14ac:dyDescent="0.15">
      <c r="FB416" s="53"/>
      <c r="FC416" s="54"/>
      <c r="FD416" s="54"/>
      <c r="FE416" s="54"/>
      <c r="FF416" s="54"/>
      <c r="FG416" s="54"/>
      <c r="FH416" s="54"/>
      <c r="FI416" s="54"/>
    </row>
    <row r="417" spans="158:165" ht="15" customHeight="1" x14ac:dyDescent="0.15">
      <c r="FB417" s="53"/>
      <c r="FC417" s="54"/>
      <c r="FD417" s="54"/>
      <c r="FE417" s="54"/>
      <c r="FF417" s="54"/>
      <c r="FG417" s="54"/>
      <c r="FH417" s="54"/>
      <c r="FI417" s="54"/>
    </row>
    <row r="418" spans="158:165" ht="15" customHeight="1" x14ac:dyDescent="0.15">
      <c r="FB418" s="53"/>
      <c r="FC418" s="54"/>
      <c r="FD418" s="54"/>
      <c r="FE418" s="54"/>
      <c r="FF418" s="54"/>
      <c r="FG418" s="54"/>
      <c r="FH418" s="54"/>
      <c r="FI418" s="54"/>
    </row>
    <row r="419" spans="158:165" ht="15" customHeight="1" x14ac:dyDescent="0.15">
      <c r="FB419" s="53"/>
      <c r="FC419" s="54"/>
      <c r="FD419" s="54"/>
      <c r="FE419" s="54"/>
      <c r="FF419" s="54"/>
      <c r="FG419" s="54"/>
      <c r="FH419" s="54"/>
      <c r="FI419" s="54"/>
    </row>
    <row r="420" spans="158:165" ht="15" customHeight="1" x14ac:dyDescent="0.15">
      <c r="FB420" s="53"/>
      <c r="FC420" s="54"/>
      <c r="FD420" s="54"/>
      <c r="FE420" s="54"/>
      <c r="FF420" s="54"/>
      <c r="FG420" s="54"/>
      <c r="FH420" s="54"/>
      <c r="FI420" s="54"/>
    </row>
    <row r="421" spans="158:165" ht="15" customHeight="1" x14ac:dyDescent="0.15">
      <c r="FB421" s="53"/>
      <c r="FC421" s="54"/>
      <c r="FD421" s="54"/>
      <c r="FE421" s="54"/>
      <c r="FF421" s="54"/>
      <c r="FG421" s="54"/>
      <c r="FH421" s="54"/>
      <c r="FI421" s="54"/>
    </row>
    <row r="422" spans="158:165" ht="15" customHeight="1" x14ac:dyDescent="0.15">
      <c r="FB422" s="53"/>
      <c r="FC422" s="54"/>
      <c r="FD422" s="54"/>
      <c r="FE422" s="54"/>
      <c r="FF422" s="54"/>
      <c r="FG422" s="54"/>
      <c r="FH422" s="54"/>
      <c r="FI422" s="54"/>
    </row>
    <row r="423" spans="158:165" ht="15" customHeight="1" x14ac:dyDescent="0.15">
      <c r="FB423" s="53"/>
      <c r="FC423" s="54"/>
      <c r="FD423" s="54"/>
      <c r="FE423" s="54"/>
      <c r="FF423" s="54"/>
      <c r="FG423" s="54"/>
      <c r="FH423" s="54"/>
      <c r="FI423" s="54"/>
    </row>
    <row r="424" spans="158:165" ht="15" customHeight="1" x14ac:dyDescent="0.15">
      <c r="FB424" s="53"/>
      <c r="FC424" s="54"/>
      <c r="FD424" s="54"/>
      <c r="FE424" s="54"/>
      <c r="FF424" s="54"/>
      <c r="FG424" s="54"/>
      <c r="FH424" s="54"/>
      <c r="FI424" s="54"/>
    </row>
    <row r="425" spans="158:165" ht="15" customHeight="1" x14ac:dyDescent="0.15">
      <c r="FB425" s="53"/>
      <c r="FC425" s="54"/>
      <c r="FD425" s="54"/>
      <c r="FE425" s="54"/>
      <c r="FF425" s="54"/>
      <c r="FG425" s="54"/>
      <c r="FH425" s="54"/>
      <c r="FI425" s="54"/>
    </row>
    <row r="426" spans="158:165" ht="15" customHeight="1" x14ac:dyDescent="0.15">
      <c r="FB426" s="53"/>
      <c r="FC426" s="54"/>
      <c r="FD426" s="54"/>
      <c r="FE426" s="54"/>
      <c r="FF426" s="54"/>
      <c r="FG426" s="54"/>
      <c r="FH426" s="54"/>
      <c r="FI426" s="54"/>
    </row>
    <row r="427" spans="158:165" ht="15" customHeight="1" x14ac:dyDescent="0.15">
      <c r="FB427" s="53"/>
      <c r="FC427" s="54"/>
      <c r="FD427" s="54"/>
      <c r="FE427" s="54"/>
      <c r="FF427" s="54"/>
      <c r="FG427" s="54"/>
      <c r="FH427" s="54"/>
      <c r="FI427" s="54"/>
    </row>
    <row r="428" spans="158:165" ht="15" customHeight="1" x14ac:dyDescent="0.15">
      <c r="FB428" s="53"/>
      <c r="FC428" s="54"/>
      <c r="FD428" s="54"/>
      <c r="FE428" s="54"/>
      <c r="FF428" s="54"/>
      <c r="FG428" s="54"/>
      <c r="FH428" s="54"/>
      <c r="FI428" s="54"/>
    </row>
    <row r="429" spans="158:165" ht="15" customHeight="1" x14ac:dyDescent="0.15">
      <c r="FB429" s="53"/>
      <c r="FC429" s="54"/>
      <c r="FD429" s="54"/>
      <c r="FE429" s="54"/>
      <c r="FF429" s="54"/>
      <c r="FG429" s="54"/>
      <c r="FH429" s="54"/>
      <c r="FI429" s="54"/>
    </row>
    <row r="430" spans="158:165" ht="15" customHeight="1" x14ac:dyDescent="0.15">
      <c r="FB430" s="53"/>
      <c r="FC430" s="54"/>
      <c r="FD430" s="54"/>
      <c r="FE430" s="54"/>
      <c r="FF430" s="54"/>
      <c r="FG430" s="54"/>
      <c r="FH430" s="54"/>
      <c r="FI430" s="54"/>
    </row>
    <row r="431" spans="158:165" ht="15" customHeight="1" x14ac:dyDescent="0.15">
      <c r="FB431" s="53"/>
      <c r="FC431" s="54"/>
      <c r="FD431" s="54"/>
      <c r="FE431" s="54"/>
      <c r="FF431" s="54"/>
      <c r="FG431" s="54"/>
      <c r="FH431" s="54"/>
      <c r="FI431" s="54"/>
    </row>
    <row r="432" spans="158:165" ht="15" customHeight="1" x14ac:dyDescent="0.15">
      <c r="FB432" s="53"/>
      <c r="FC432" s="54"/>
      <c r="FD432" s="54"/>
      <c r="FE432" s="54"/>
      <c r="FF432" s="54"/>
      <c r="FG432" s="54"/>
      <c r="FH432" s="54"/>
      <c r="FI432" s="54"/>
    </row>
    <row r="433" spans="158:165" ht="15" customHeight="1" x14ac:dyDescent="0.15">
      <c r="FB433" s="53"/>
      <c r="FC433" s="54"/>
      <c r="FD433" s="54"/>
      <c r="FE433" s="54"/>
      <c r="FF433" s="54"/>
      <c r="FG433" s="54"/>
      <c r="FH433" s="54"/>
      <c r="FI433" s="54"/>
    </row>
    <row r="434" spans="158:165" ht="15" customHeight="1" x14ac:dyDescent="0.15">
      <c r="FB434" s="53"/>
      <c r="FC434" s="54"/>
      <c r="FD434" s="54"/>
      <c r="FE434" s="54"/>
      <c r="FF434" s="54"/>
      <c r="FG434" s="54"/>
      <c r="FH434" s="54"/>
      <c r="FI434" s="54"/>
    </row>
    <row r="435" spans="158:165" ht="15" customHeight="1" x14ac:dyDescent="0.15">
      <c r="FB435" s="53"/>
      <c r="FC435" s="54"/>
      <c r="FD435" s="54"/>
      <c r="FE435" s="54"/>
      <c r="FF435" s="54"/>
      <c r="FG435" s="54"/>
      <c r="FH435" s="54"/>
      <c r="FI435" s="54"/>
    </row>
    <row r="436" spans="158:165" ht="15" customHeight="1" x14ac:dyDescent="0.15">
      <c r="FB436" s="53"/>
      <c r="FC436" s="54"/>
      <c r="FD436" s="54"/>
      <c r="FE436" s="54"/>
      <c r="FF436" s="54"/>
      <c r="FG436" s="54"/>
      <c r="FH436" s="54"/>
      <c r="FI436" s="54"/>
    </row>
    <row r="437" spans="158:165" ht="15" customHeight="1" x14ac:dyDescent="0.15">
      <c r="FB437" s="53"/>
      <c r="FC437" s="54"/>
      <c r="FD437" s="54"/>
      <c r="FE437" s="54"/>
      <c r="FF437" s="54"/>
      <c r="FG437" s="54"/>
      <c r="FH437" s="54"/>
      <c r="FI437" s="54"/>
    </row>
    <row r="438" spans="158:165" ht="15" customHeight="1" x14ac:dyDescent="0.15">
      <c r="FB438" s="53"/>
      <c r="FC438" s="54"/>
      <c r="FD438" s="54"/>
      <c r="FE438" s="54"/>
      <c r="FF438" s="54"/>
      <c r="FG438" s="54"/>
      <c r="FH438" s="54"/>
      <c r="FI438" s="54"/>
    </row>
    <row r="439" spans="158:165" ht="15" customHeight="1" x14ac:dyDescent="0.15">
      <c r="FB439" s="53"/>
      <c r="FC439" s="54"/>
      <c r="FD439" s="54"/>
      <c r="FE439" s="54"/>
      <c r="FF439" s="54"/>
      <c r="FG439" s="54"/>
      <c r="FH439" s="54"/>
      <c r="FI439" s="54"/>
    </row>
    <row r="440" spans="158:165" ht="15" customHeight="1" x14ac:dyDescent="0.15">
      <c r="FB440" s="53"/>
      <c r="FC440" s="54"/>
      <c r="FD440" s="54"/>
      <c r="FE440" s="54"/>
      <c r="FF440" s="54"/>
      <c r="FG440" s="54"/>
      <c r="FH440" s="54"/>
      <c r="FI440" s="54"/>
    </row>
    <row r="441" spans="158:165" ht="15" customHeight="1" x14ac:dyDescent="0.15">
      <c r="FB441" s="53"/>
      <c r="FC441" s="54"/>
      <c r="FD441" s="54"/>
      <c r="FE441" s="54"/>
      <c r="FF441" s="54"/>
      <c r="FG441" s="54"/>
      <c r="FH441" s="54"/>
      <c r="FI441" s="54"/>
    </row>
    <row r="442" spans="158:165" ht="15" customHeight="1" x14ac:dyDescent="0.15">
      <c r="FB442" s="53"/>
      <c r="FC442" s="54"/>
      <c r="FD442" s="54"/>
      <c r="FE442" s="54"/>
      <c r="FF442" s="54"/>
      <c r="FG442" s="54"/>
      <c r="FH442" s="54"/>
      <c r="FI442" s="54"/>
    </row>
    <row r="443" spans="158:165" ht="15" customHeight="1" x14ac:dyDescent="0.15">
      <c r="FB443" s="53"/>
      <c r="FC443" s="54"/>
      <c r="FD443" s="54"/>
      <c r="FE443" s="54"/>
      <c r="FF443" s="54"/>
      <c r="FG443" s="54"/>
      <c r="FH443" s="54"/>
      <c r="FI443" s="54"/>
    </row>
    <row r="444" spans="158:165" ht="15" customHeight="1" x14ac:dyDescent="0.15">
      <c r="FB444" s="53"/>
      <c r="FC444" s="54"/>
      <c r="FD444" s="54"/>
      <c r="FE444" s="54"/>
      <c r="FF444" s="54"/>
      <c r="FG444" s="54"/>
      <c r="FH444" s="54"/>
      <c r="FI444" s="54"/>
    </row>
    <row r="445" spans="158:165" ht="15" customHeight="1" x14ac:dyDescent="0.15">
      <c r="FB445" s="53"/>
      <c r="FC445" s="54"/>
      <c r="FD445" s="54"/>
      <c r="FE445" s="54"/>
      <c r="FF445" s="54"/>
      <c r="FG445" s="54"/>
      <c r="FH445" s="54"/>
      <c r="FI445" s="54"/>
    </row>
    <row r="446" spans="158:165" ht="15" customHeight="1" x14ac:dyDescent="0.15">
      <c r="FB446" s="53"/>
      <c r="FC446" s="54"/>
      <c r="FD446" s="54"/>
      <c r="FE446" s="54"/>
      <c r="FF446" s="54"/>
      <c r="FG446" s="54"/>
      <c r="FH446" s="54"/>
      <c r="FI446" s="54"/>
    </row>
    <row r="447" spans="158:165" ht="15" customHeight="1" x14ac:dyDescent="0.15">
      <c r="FB447" s="53"/>
      <c r="FC447" s="54"/>
      <c r="FD447" s="54"/>
      <c r="FE447" s="54"/>
      <c r="FF447" s="54"/>
      <c r="FG447" s="54"/>
      <c r="FH447" s="54"/>
      <c r="FI447" s="54"/>
    </row>
    <row r="448" spans="158:165" ht="15" customHeight="1" x14ac:dyDescent="0.15">
      <c r="FB448" s="53"/>
      <c r="FC448" s="54"/>
      <c r="FD448" s="54"/>
      <c r="FE448" s="54"/>
      <c r="FF448" s="54"/>
      <c r="FG448" s="54"/>
      <c r="FH448" s="54"/>
      <c r="FI448" s="54"/>
    </row>
    <row r="449" spans="158:165" ht="15" customHeight="1" x14ac:dyDescent="0.15">
      <c r="FB449" s="53"/>
      <c r="FC449" s="54"/>
      <c r="FD449" s="54"/>
      <c r="FE449" s="54"/>
      <c r="FF449" s="54"/>
      <c r="FG449" s="54"/>
      <c r="FH449" s="54"/>
      <c r="FI449" s="54"/>
    </row>
    <row r="450" spans="158:165" ht="15" customHeight="1" x14ac:dyDescent="0.15">
      <c r="FB450" s="53"/>
      <c r="FC450" s="54"/>
      <c r="FD450" s="54"/>
      <c r="FE450" s="54"/>
      <c r="FF450" s="54"/>
      <c r="FG450" s="54"/>
      <c r="FH450" s="54"/>
      <c r="FI450" s="54"/>
    </row>
    <row r="451" spans="158:165" ht="15" customHeight="1" x14ac:dyDescent="0.15">
      <c r="FB451" s="53"/>
      <c r="FC451" s="54"/>
      <c r="FD451" s="54"/>
      <c r="FE451" s="54"/>
      <c r="FF451" s="54"/>
      <c r="FG451" s="54"/>
      <c r="FH451" s="54"/>
      <c r="FI451" s="54"/>
    </row>
    <row r="452" spans="158:165" ht="15" customHeight="1" x14ac:dyDescent="0.15">
      <c r="FB452" s="53"/>
      <c r="FC452" s="54"/>
      <c r="FD452" s="54"/>
      <c r="FE452" s="54"/>
      <c r="FF452" s="54"/>
      <c r="FG452" s="54"/>
      <c r="FH452" s="54"/>
      <c r="FI452" s="54"/>
    </row>
    <row r="453" spans="158:165" ht="15" customHeight="1" x14ac:dyDescent="0.15">
      <c r="FB453" s="53"/>
      <c r="FC453" s="54"/>
      <c r="FD453" s="54"/>
      <c r="FE453" s="54"/>
      <c r="FF453" s="54"/>
      <c r="FG453" s="54"/>
      <c r="FH453" s="54"/>
      <c r="FI453" s="54"/>
    </row>
    <row r="454" spans="158:165" ht="15" customHeight="1" x14ac:dyDescent="0.15">
      <c r="FB454" s="53"/>
      <c r="FC454" s="54"/>
      <c r="FD454" s="54"/>
      <c r="FE454" s="54"/>
      <c r="FF454" s="54"/>
      <c r="FG454" s="54"/>
      <c r="FH454" s="54"/>
      <c r="FI454" s="54"/>
    </row>
    <row r="455" spans="158:165" ht="15" customHeight="1" x14ac:dyDescent="0.15">
      <c r="FB455" s="53"/>
      <c r="FC455" s="54"/>
      <c r="FD455" s="54"/>
      <c r="FE455" s="54"/>
      <c r="FF455" s="54"/>
      <c r="FG455" s="54"/>
      <c r="FH455" s="54"/>
      <c r="FI455" s="54"/>
    </row>
    <row r="456" spans="158:165" ht="15" customHeight="1" x14ac:dyDescent="0.15">
      <c r="FB456" s="53"/>
      <c r="FC456" s="54"/>
      <c r="FD456" s="54"/>
      <c r="FE456" s="54"/>
      <c r="FF456" s="54"/>
      <c r="FG456" s="54"/>
      <c r="FH456" s="54"/>
      <c r="FI456" s="54"/>
    </row>
    <row r="457" spans="158:165" ht="15" customHeight="1" x14ac:dyDescent="0.15">
      <c r="FB457" s="53"/>
      <c r="FC457" s="54"/>
      <c r="FD457" s="54"/>
      <c r="FE457" s="54"/>
      <c r="FF457" s="54"/>
      <c r="FG457" s="54"/>
      <c r="FH457" s="54"/>
      <c r="FI457" s="54"/>
    </row>
    <row r="458" spans="158:165" ht="15" customHeight="1" x14ac:dyDescent="0.15">
      <c r="FB458" s="53"/>
      <c r="FC458" s="54"/>
      <c r="FD458" s="54"/>
      <c r="FE458" s="54"/>
      <c r="FF458" s="54"/>
      <c r="FG458" s="54"/>
      <c r="FH458" s="54"/>
      <c r="FI458" s="54"/>
    </row>
    <row r="459" spans="158:165" ht="15" customHeight="1" x14ac:dyDescent="0.15">
      <c r="FB459" s="53"/>
      <c r="FC459" s="54"/>
      <c r="FD459" s="54"/>
      <c r="FE459" s="54"/>
      <c r="FF459" s="54"/>
      <c r="FG459" s="54"/>
      <c r="FH459" s="54"/>
      <c r="FI459" s="54"/>
    </row>
    <row r="460" spans="158:165" ht="15" customHeight="1" x14ac:dyDescent="0.15">
      <c r="FB460" s="53"/>
      <c r="FC460" s="54"/>
      <c r="FD460" s="54"/>
      <c r="FE460" s="54"/>
      <c r="FF460" s="54"/>
      <c r="FG460" s="54"/>
      <c r="FH460" s="54"/>
      <c r="FI460" s="54"/>
    </row>
    <row r="461" spans="158:165" ht="15" customHeight="1" x14ac:dyDescent="0.15">
      <c r="FB461" s="53"/>
      <c r="FC461" s="54"/>
      <c r="FD461" s="54"/>
      <c r="FE461" s="54"/>
      <c r="FF461" s="54"/>
      <c r="FG461" s="54"/>
      <c r="FH461" s="54"/>
      <c r="FI461" s="54"/>
    </row>
    <row r="462" spans="158:165" ht="15" customHeight="1" x14ac:dyDescent="0.15">
      <c r="FB462" s="53"/>
      <c r="FC462" s="54"/>
      <c r="FD462" s="54"/>
      <c r="FE462" s="54"/>
      <c r="FF462" s="54"/>
      <c r="FG462" s="54"/>
      <c r="FH462" s="54"/>
      <c r="FI462" s="54"/>
    </row>
    <row r="463" spans="158:165" ht="15" customHeight="1" x14ac:dyDescent="0.15">
      <c r="FB463" s="53"/>
      <c r="FC463" s="54"/>
      <c r="FD463" s="54"/>
      <c r="FE463" s="54"/>
      <c r="FF463" s="54"/>
      <c r="FG463" s="54"/>
      <c r="FH463" s="54"/>
      <c r="FI463" s="54"/>
    </row>
    <row r="464" spans="158:165" ht="15" customHeight="1" x14ac:dyDescent="0.15">
      <c r="FB464" s="53"/>
      <c r="FC464" s="54"/>
      <c r="FD464" s="54"/>
      <c r="FE464" s="54"/>
      <c r="FF464" s="54"/>
      <c r="FG464" s="54"/>
      <c r="FH464" s="54"/>
      <c r="FI464" s="54"/>
    </row>
    <row r="465" spans="158:165" ht="15" customHeight="1" x14ac:dyDescent="0.15">
      <c r="FB465" s="53"/>
      <c r="FC465" s="54"/>
      <c r="FD465" s="54"/>
      <c r="FE465" s="54"/>
      <c r="FF465" s="54"/>
      <c r="FG465" s="54"/>
      <c r="FH465" s="54"/>
      <c r="FI465" s="54"/>
    </row>
    <row r="466" spans="158:165" ht="15" customHeight="1" x14ac:dyDescent="0.15">
      <c r="FB466" s="53"/>
      <c r="FC466" s="54"/>
      <c r="FD466" s="54"/>
      <c r="FE466" s="54"/>
      <c r="FF466" s="54"/>
      <c r="FG466" s="54"/>
      <c r="FH466" s="54"/>
      <c r="FI466" s="54"/>
    </row>
    <row r="467" spans="158:165" ht="15" customHeight="1" x14ac:dyDescent="0.15">
      <c r="FB467" s="53"/>
      <c r="FC467" s="54"/>
      <c r="FD467" s="54"/>
      <c r="FE467" s="54"/>
      <c r="FF467" s="54"/>
      <c r="FG467" s="54"/>
      <c r="FH467" s="54"/>
      <c r="FI467" s="54"/>
    </row>
    <row r="468" spans="158:165" ht="15" customHeight="1" x14ac:dyDescent="0.15">
      <c r="FB468" s="53"/>
      <c r="FC468" s="54"/>
      <c r="FD468" s="54"/>
      <c r="FE468" s="54"/>
      <c r="FF468" s="54"/>
      <c r="FG468" s="54"/>
      <c r="FH468" s="54"/>
      <c r="FI468" s="54"/>
    </row>
    <row r="469" spans="158:165" ht="15" customHeight="1" x14ac:dyDescent="0.15">
      <c r="FB469" s="53"/>
      <c r="FC469" s="54"/>
      <c r="FD469" s="54"/>
      <c r="FE469" s="54"/>
      <c r="FF469" s="54"/>
      <c r="FG469" s="54"/>
      <c r="FH469" s="54"/>
      <c r="FI469" s="54"/>
    </row>
    <row r="470" spans="158:165" ht="15" customHeight="1" x14ac:dyDescent="0.15">
      <c r="FB470" s="53"/>
      <c r="FC470" s="54"/>
      <c r="FD470" s="54"/>
      <c r="FE470" s="54"/>
      <c r="FF470" s="54"/>
      <c r="FG470" s="54"/>
      <c r="FH470" s="54"/>
      <c r="FI470" s="54"/>
    </row>
    <row r="471" spans="158:165" ht="15" customHeight="1" x14ac:dyDescent="0.15">
      <c r="FB471" s="53"/>
      <c r="FC471" s="54"/>
      <c r="FD471" s="54"/>
      <c r="FE471" s="54"/>
      <c r="FF471" s="54"/>
      <c r="FG471" s="54"/>
      <c r="FH471" s="54"/>
      <c r="FI471" s="54"/>
    </row>
    <row r="472" spans="158:165" ht="15" customHeight="1" x14ac:dyDescent="0.15">
      <c r="FB472" s="53"/>
      <c r="FC472" s="54"/>
      <c r="FD472" s="54"/>
      <c r="FE472" s="54"/>
      <c r="FF472" s="54"/>
      <c r="FG472" s="54"/>
      <c r="FH472" s="54"/>
      <c r="FI472" s="54"/>
    </row>
    <row r="473" spans="158:165" ht="15" customHeight="1" x14ac:dyDescent="0.15">
      <c r="FB473" s="53"/>
      <c r="FC473" s="54"/>
      <c r="FD473" s="54"/>
      <c r="FE473" s="54"/>
      <c r="FF473" s="54"/>
      <c r="FG473" s="54"/>
      <c r="FH473" s="54"/>
      <c r="FI473" s="54"/>
    </row>
    <row r="474" spans="158:165" ht="15" customHeight="1" x14ac:dyDescent="0.15">
      <c r="FB474" s="53"/>
      <c r="FC474" s="54"/>
      <c r="FD474" s="54"/>
      <c r="FE474" s="54"/>
      <c r="FF474" s="54"/>
      <c r="FG474" s="54"/>
      <c r="FH474" s="54"/>
      <c r="FI474" s="54"/>
    </row>
    <row r="475" spans="158:165" ht="15" customHeight="1" x14ac:dyDescent="0.15">
      <c r="FB475" s="53"/>
      <c r="FC475" s="54"/>
      <c r="FD475" s="54"/>
      <c r="FE475" s="54"/>
      <c r="FF475" s="54"/>
      <c r="FG475" s="54"/>
      <c r="FH475" s="54"/>
      <c r="FI475" s="54"/>
    </row>
    <row r="476" spans="158:165" ht="15" customHeight="1" x14ac:dyDescent="0.15">
      <c r="FB476" s="53"/>
      <c r="FC476" s="54"/>
      <c r="FD476" s="54"/>
      <c r="FE476" s="54"/>
      <c r="FF476" s="54"/>
      <c r="FG476" s="54"/>
      <c r="FH476" s="54"/>
      <c r="FI476" s="54"/>
    </row>
    <row r="477" spans="158:165" ht="15" customHeight="1" x14ac:dyDescent="0.15">
      <c r="FB477" s="53"/>
      <c r="FC477" s="54"/>
      <c r="FD477" s="54"/>
      <c r="FE477" s="54"/>
      <c r="FF477" s="54"/>
      <c r="FG477" s="54"/>
      <c r="FH477" s="54"/>
      <c r="FI477" s="54"/>
    </row>
    <row r="478" spans="158:165" ht="15" customHeight="1" x14ac:dyDescent="0.15">
      <c r="FB478" s="53"/>
      <c r="FC478" s="54"/>
      <c r="FD478" s="54"/>
      <c r="FE478" s="54"/>
      <c r="FF478" s="54"/>
      <c r="FG478" s="54"/>
      <c r="FH478" s="54"/>
      <c r="FI478" s="54"/>
    </row>
    <row r="479" spans="158:165" ht="15" customHeight="1" x14ac:dyDescent="0.15">
      <c r="FB479" s="53"/>
      <c r="FC479" s="54"/>
      <c r="FD479" s="54"/>
      <c r="FE479" s="54"/>
      <c r="FF479" s="54"/>
      <c r="FG479" s="54"/>
      <c r="FH479" s="54"/>
      <c r="FI479" s="54"/>
    </row>
    <row r="480" spans="158:165" ht="15" customHeight="1" x14ac:dyDescent="0.15">
      <c r="FB480" s="53"/>
      <c r="FC480" s="54"/>
      <c r="FD480" s="54"/>
      <c r="FE480" s="54"/>
      <c r="FF480" s="54"/>
      <c r="FG480" s="54"/>
      <c r="FH480" s="54"/>
      <c r="FI480" s="54"/>
    </row>
    <row r="481" spans="158:165" ht="15" customHeight="1" x14ac:dyDescent="0.15">
      <c r="FB481" s="53"/>
      <c r="FC481" s="54"/>
      <c r="FD481" s="54"/>
      <c r="FE481" s="54"/>
      <c r="FF481" s="54"/>
      <c r="FG481" s="54"/>
      <c r="FH481" s="54"/>
      <c r="FI481" s="54"/>
    </row>
    <row r="482" spans="158:165" ht="15" customHeight="1" x14ac:dyDescent="0.15">
      <c r="FB482" s="53"/>
      <c r="FC482" s="54"/>
      <c r="FD482" s="54"/>
      <c r="FE482" s="54"/>
      <c r="FF482" s="54"/>
      <c r="FG482" s="54"/>
      <c r="FH482" s="54"/>
      <c r="FI482" s="54"/>
    </row>
    <row r="483" spans="158:165" ht="15" customHeight="1" x14ac:dyDescent="0.15">
      <c r="FB483" s="53"/>
      <c r="FC483" s="54"/>
      <c r="FD483" s="54"/>
      <c r="FE483" s="54"/>
      <c r="FF483" s="54"/>
      <c r="FG483" s="54"/>
      <c r="FH483" s="54"/>
      <c r="FI483" s="54"/>
    </row>
    <row r="484" spans="158:165" ht="15" customHeight="1" x14ac:dyDescent="0.15">
      <c r="FB484" s="53"/>
      <c r="FC484" s="54"/>
      <c r="FD484" s="54"/>
      <c r="FE484" s="54"/>
      <c r="FF484" s="54"/>
      <c r="FG484" s="54"/>
      <c r="FH484" s="54"/>
      <c r="FI484" s="54"/>
    </row>
    <row r="485" spans="158:165" ht="15" customHeight="1" x14ac:dyDescent="0.15">
      <c r="FB485" s="53"/>
      <c r="FC485" s="54"/>
      <c r="FD485" s="54"/>
      <c r="FE485" s="54"/>
      <c r="FF485" s="54"/>
      <c r="FG485" s="54"/>
      <c r="FH485" s="54"/>
      <c r="FI485" s="54"/>
    </row>
    <row r="486" spans="158:165" ht="15" customHeight="1" x14ac:dyDescent="0.15">
      <c r="FB486" s="53"/>
      <c r="FC486" s="54"/>
      <c r="FD486" s="54"/>
      <c r="FE486" s="54"/>
      <c r="FF486" s="54"/>
      <c r="FG486" s="54"/>
      <c r="FH486" s="54"/>
      <c r="FI486" s="54"/>
    </row>
    <row r="487" spans="158:165" ht="15" customHeight="1" x14ac:dyDescent="0.15">
      <c r="FB487" s="53"/>
      <c r="FC487" s="54"/>
      <c r="FD487" s="54"/>
      <c r="FE487" s="54"/>
      <c r="FF487" s="54"/>
      <c r="FG487" s="54"/>
      <c r="FH487" s="54"/>
      <c r="FI487" s="54"/>
    </row>
    <row r="488" spans="158:165" ht="15" customHeight="1" x14ac:dyDescent="0.15">
      <c r="FB488" s="53"/>
      <c r="FC488" s="54"/>
      <c r="FD488" s="54"/>
      <c r="FE488" s="54"/>
      <c r="FF488" s="54"/>
      <c r="FG488" s="54"/>
      <c r="FH488" s="54"/>
      <c r="FI488" s="54"/>
    </row>
    <row r="489" spans="158:165" ht="15" customHeight="1" x14ac:dyDescent="0.15">
      <c r="FB489" s="53"/>
      <c r="FC489" s="54"/>
      <c r="FD489" s="54"/>
      <c r="FE489" s="54"/>
      <c r="FF489" s="54"/>
      <c r="FG489" s="54"/>
      <c r="FH489" s="54"/>
      <c r="FI489" s="54"/>
    </row>
    <row r="490" spans="158:165" ht="15" customHeight="1" x14ac:dyDescent="0.15">
      <c r="FB490" s="53"/>
      <c r="FC490" s="54"/>
      <c r="FD490" s="54"/>
      <c r="FE490" s="54"/>
      <c r="FF490" s="54"/>
      <c r="FG490" s="54"/>
      <c r="FH490" s="54"/>
      <c r="FI490" s="54"/>
    </row>
    <row r="491" spans="158:165" ht="15" customHeight="1" x14ac:dyDescent="0.15">
      <c r="FB491" s="53"/>
      <c r="FC491" s="54"/>
      <c r="FD491" s="54"/>
      <c r="FE491" s="54"/>
      <c r="FF491" s="54"/>
      <c r="FG491" s="54"/>
      <c r="FH491" s="54"/>
      <c r="FI491" s="54"/>
    </row>
    <row r="492" spans="158:165" ht="15" customHeight="1" x14ac:dyDescent="0.15">
      <c r="FB492" s="53"/>
      <c r="FC492" s="54"/>
      <c r="FD492" s="54"/>
      <c r="FE492" s="54"/>
      <c r="FF492" s="54"/>
      <c r="FG492" s="54"/>
      <c r="FH492" s="54"/>
      <c r="FI492" s="54"/>
    </row>
    <row r="493" spans="158:165" ht="15" customHeight="1" x14ac:dyDescent="0.15">
      <c r="FB493" s="53"/>
      <c r="FC493" s="54"/>
      <c r="FD493" s="54"/>
      <c r="FE493" s="54"/>
      <c r="FF493" s="54"/>
      <c r="FG493" s="54"/>
      <c r="FH493" s="54"/>
      <c r="FI493" s="54"/>
    </row>
    <row r="494" spans="158:165" ht="15" customHeight="1" x14ac:dyDescent="0.15">
      <c r="FB494" s="53"/>
      <c r="FC494" s="54"/>
      <c r="FD494" s="54"/>
      <c r="FE494" s="54"/>
      <c r="FF494" s="54"/>
      <c r="FG494" s="54"/>
      <c r="FH494" s="54"/>
      <c r="FI494" s="54"/>
    </row>
    <row r="495" spans="158:165" ht="15" customHeight="1" x14ac:dyDescent="0.15">
      <c r="FB495" s="53"/>
      <c r="FC495" s="54"/>
      <c r="FD495" s="54"/>
      <c r="FE495" s="54"/>
      <c r="FF495" s="54"/>
      <c r="FG495" s="54"/>
      <c r="FH495" s="54"/>
      <c r="FI495" s="54"/>
    </row>
    <row r="496" spans="158:165" ht="15" customHeight="1" x14ac:dyDescent="0.15">
      <c r="FB496" s="53"/>
      <c r="FC496" s="54"/>
      <c r="FD496" s="54"/>
      <c r="FE496" s="54"/>
      <c r="FF496" s="54"/>
      <c r="FG496" s="54"/>
      <c r="FH496" s="54"/>
      <c r="FI496" s="54"/>
    </row>
    <row r="497" spans="158:165" ht="15" customHeight="1" x14ac:dyDescent="0.15">
      <c r="FB497" s="53"/>
      <c r="FC497" s="54"/>
      <c r="FD497" s="54"/>
      <c r="FE497" s="54"/>
      <c r="FF497" s="54"/>
      <c r="FG497" s="54"/>
      <c r="FH497" s="54"/>
      <c r="FI497" s="54"/>
    </row>
    <row r="498" spans="158:165" ht="15" customHeight="1" x14ac:dyDescent="0.15">
      <c r="FB498" s="53"/>
      <c r="FC498" s="54"/>
      <c r="FD498" s="54"/>
      <c r="FE498" s="54"/>
      <c r="FF498" s="54"/>
      <c r="FG498" s="54"/>
      <c r="FH498" s="54"/>
      <c r="FI498" s="54"/>
    </row>
    <row r="499" spans="158:165" ht="15" customHeight="1" x14ac:dyDescent="0.15">
      <c r="FB499" s="53"/>
      <c r="FC499" s="54"/>
      <c r="FD499" s="54"/>
      <c r="FE499" s="54"/>
      <c r="FF499" s="54"/>
      <c r="FG499" s="54"/>
      <c r="FH499" s="54"/>
      <c r="FI499" s="54"/>
    </row>
    <row r="500" spans="158:165" ht="15" customHeight="1" x14ac:dyDescent="0.15">
      <c r="FB500" s="53"/>
      <c r="FC500" s="54"/>
      <c r="FD500" s="54"/>
      <c r="FE500" s="54"/>
      <c r="FF500" s="54"/>
      <c r="FG500" s="54"/>
      <c r="FH500" s="54"/>
      <c r="FI500" s="54"/>
    </row>
    <row r="501" spans="158:165" ht="15" customHeight="1" x14ac:dyDescent="0.15">
      <c r="FB501" s="53"/>
      <c r="FC501" s="54"/>
      <c r="FD501" s="54"/>
      <c r="FE501" s="54"/>
      <c r="FF501" s="54"/>
      <c r="FG501" s="54"/>
      <c r="FH501" s="54"/>
      <c r="FI501" s="54"/>
    </row>
    <row r="502" spans="158:165" ht="15" customHeight="1" x14ac:dyDescent="0.15">
      <c r="FB502" s="53"/>
      <c r="FC502" s="54"/>
      <c r="FD502" s="54"/>
      <c r="FE502" s="54"/>
      <c r="FF502" s="54"/>
      <c r="FG502" s="54"/>
      <c r="FH502" s="54"/>
      <c r="FI502" s="54"/>
    </row>
    <row r="503" spans="158:165" ht="15" customHeight="1" x14ac:dyDescent="0.15">
      <c r="FB503" s="53"/>
      <c r="FC503" s="54"/>
      <c r="FD503" s="54"/>
      <c r="FE503" s="54"/>
      <c r="FF503" s="54"/>
      <c r="FG503" s="54"/>
      <c r="FH503" s="54"/>
      <c r="FI503" s="54"/>
    </row>
    <row r="504" spans="158:165" ht="15" customHeight="1" x14ac:dyDescent="0.15">
      <c r="FB504" s="53"/>
      <c r="FC504" s="54"/>
      <c r="FD504" s="54"/>
      <c r="FE504" s="54"/>
      <c r="FF504" s="54"/>
      <c r="FG504" s="54"/>
      <c r="FH504" s="54"/>
      <c r="FI504" s="54"/>
    </row>
    <row r="505" spans="158:165" ht="15" customHeight="1" x14ac:dyDescent="0.15">
      <c r="FB505" s="53"/>
      <c r="FC505" s="54"/>
      <c r="FD505" s="54"/>
      <c r="FE505" s="54"/>
      <c r="FF505" s="54"/>
      <c r="FG505" s="54"/>
      <c r="FH505" s="54"/>
      <c r="FI505" s="54"/>
    </row>
    <row r="506" spans="158:165" ht="15" customHeight="1" x14ac:dyDescent="0.15">
      <c r="FB506" s="53"/>
      <c r="FC506" s="54"/>
      <c r="FD506" s="54"/>
      <c r="FE506" s="54"/>
      <c r="FF506" s="54"/>
      <c r="FG506" s="54"/>
      <c r="FH506" s="54"/>
      <c r="FI506" s="54"/>
    </row>
    <row r="507" spans="158:165" ht="15" customHeight="1" x14ac:dyDescent="0.15">
      <c r="FB507" s="53"/>
      <c r="FC507" s="54"/>
      <c r="FD507" s="54"/>
      <c r="FE507" s="54"/>
      <c r="FF507" s="54"/>
      <c r="FG507" s="54"/>
      <c r="FH507" s="54"/>
      <c r="FI507" s="54"/>
    </row>
    <row r="508" spans="158:165" ht="15" customHeight="1" x14ac:dyDescent="0.15">
      <c r="FB508" s="53"/>
      <c r="FC508" s="54"/>
      <c r="FD508" s="54"/>
      <c r="FE508" s="54"/>
      <c r="FF508" s="54"/>
      <c r="FG508" s="54"/>
      <c r="FH508" s="54"/>
      <c r="FI508" s="54"/>
    </row>
    <row r="509" spans="158:165" ht="15" customHeight="1" x14ac:dyDescent="0.15">
      <c r="FB509" s="53"/>
      <c r="FC509" s="54"/>
      <c r="FD509" s="54"/>
      <c r="FE509" s="54"/>
      <c r="FF509" s="54"/>
      <c r="FG509" s="54"/>
      <c r="FH509" s="54"/>
      <c r="FI509" s="54"/>
    </row>
    <row r="510" spans="158:165" ht="15" customHeight="1" x14ac:dyDescent="0.15">
      <c r="FB510" s="53"/>
      <c r="FC510" s="54"/>
      <c r="FD510" s="54"/>
      <c r="FE510" s="54"/>
      <c r="FF510" s="54"/>
      <c r="FG510" s="54"/>
      <c r="FH510" s="54"/>
      <c r="FI510" s="54"/>
    </row>
    <row r="511" spans="158:165" ht="15" customHeight="1" x14ac:dyDescent="0.15">
      <c r="FB511" s="53"/>
      <c r="FC511" s="54"/>
      <c r="FD511" s="54"/>
      <c r="FE511" s="54"/>
      <c r="FF511" s="54"/>
      <c r="FG511" s="54"/>
      <c r="FH511" s="54"/>
      <c r="FI511" s="54"/>
    </row>
    <row r="512" spans="158:165" ht="15" customHeight="1" x14ac:dyDescent="0.15">
      <c r="FB512" s="53"/>
      <c r="FC512" s="54"/>
      <c r="FD512" s="54"/>
      <c r="FE512" s="54"/>
      <c r="FF512" s="54"/>
      <c r="FG512" s="54"/>
      <c r="FH512" s="54"/>
      <c r="FI512" s="54"/>
    </row>
    <row r="513" spans="158:165" ht="15" customHeight="1" x14ac:dyDescent="0.15">
      <c r="FB513" s="53"/>
      <c r="FC513" s="54"/>
      <c r="FD513" s="54"/>
      <c r="FE513" s="54"/>
      <c r="FF513" s="54"/>
      <c r="FG513" s="54"/>
      <c r="FH513" s="54"/>
      <c r="FI513" s="54"/>
    </row>
    <row r="514" spans="158:165" ht="15" customHeight="1" x14ac:dyDescent="0.15">
      <c r="FB514" s="53"/>
      <c r="FC514" s="54"/>
      <c r="FD514" s="54"/>
      <c r="FE514" s="54"/>
      <c r="FF514" s="54"/>
      <c r="FG514" s="54"/>
      <c r="FH514" s="54"/>
      <c r="FI514" s="54"/>
    </row>
    <row r="515" spans="158:165" ht="15" customHeight="1" x14ac:dyDescent="0.15">
      <c r="FB515" s="53"/>
      <c r="FC515" s="54"/>
      <c r="FD515" s="54"/>
      <c r="FE515" s="54"/>
      <c r="FF515" s="54"/>
      <c r="FG515" s="54"/>
      <c r="FH515" s="54"/>
      <c r="FI515" s="54"/>
    </row>
    <row r="516" spans="158:165" ht="15" customHeight="1" x14ac:dyDescent="0.15">
      <c r="FB516" s="53"/>
      <c r="FC516" s="54"/>
      <c r="FD516" s="54"/>
      <c r="FE516" s="54"/>
      <c r="FF516" s="54"/>
      <c r="FG516" s="54"/>
      <c r="FH516" s="54"/>
      <c r="FI516" s="54"/>
    </row>
    <row r="517" spans="158:165" ht="15" customHeight="1" x14ac:dyDescent="0.15">
      <c r="FB517" s="53"/>
      <c r="FC517" s="54"/>
      <c r="FD517" s="54"/>
      <c r="FE517" s="54"/>
      <c r="FF517" s="54"/>
      <c r="FG517" s="54"/>
      <c r="FH517" s="54"/>
      <c r="FI517" s="54"/>
    </row>
    <row r="518" spans="158:165" ht="15" customHeight="1" x14ac:dyDescent="0.15">
      <c r="FB518" s="53"/>
      <c r="FC518" s="54"/>
      <c r="FD518" s="54"/>
      <c r="FE518" s="54"/>
      <c r="FF518" s="54"/>
      <c r="FG518" s="54"/>
      <c r="FH518" s="54"/>
      <c r="FI518" s="54"/>
    </row>
    <row r="519" spans="158:165" ht="15" customHeight="1" x14ac:dyDescent="0.15">
      <c r="FB519" s="53"/>
      <c r="FC519" s="54"/>
      <c r="FD519" s="54"/>
      <c r="FE519" s="54"/>
      <c r="FF519" s="54"/>
      <c r="FG519" s="54"/>
      <c r="FH519" s="54"/>
      <c r="FI519" s="54"/>
    </row>
    <row r="520" spans="158:165" ht="15" customHeight="1" x14ac:dyDescent="0.15">
      <c r="FB520" s="53"/>
      <c r="FC520" s="54"/>
      <c r="FD520" s="54"/>
      <c r="FE520" s="54"/>
      <c r="FF520" s="54"/>
      <c r="FG520" s="54"/>
      <c r="FH520" s="54"/>
      <c r="FI520" s="54"/>
    </row>
    <row r="521" spans="158:165" ht="15" customHeight="1" x14ac:dyDescent="0.15">
      <c r="FB521" s="53"/>
      <c r="FC521" s="54"/>
      <c r="FD521" s="54"/>
      <c r="FE521" s="54"/>
      <c r="FF521" s="54"/>
      <c r="FG521" s="54"/>
      <c r="FH521" s="54"/>
      <c r="FI521" s="54"/>
    </row>
    <row r="522" spans="158:165" ht="15" customHeight="1" x14ac:dyDescent="0.15">
      <c r="FB522" s="53"/>
      <c r="FC522" s="54"/>
      <c r="FD522" s="54"/>
      <c r="FE522" s="54"/>
      <c r="FF522" s="54"/>
      <c r="FG522" s="54"/>
      <c r="FH522" s="54"/>
      <c r="FI522" s="54"/>
    </row>
    <row r="523" spans="158:165" ht="15" customHeight="1" x14ac:dyDescent="0.15">
      <c r="FB523" s="53"/>
      <c r="FC523" s="54"/>
      <c r="FD523" s="54"/>
      <c r="FE523" s="54"/>
      <c r="FF523" s="54"/>
      <c r="FG523" s="54"/>
      <c r="FH523" s="54"/>
      <c r="FI523" s="54"/>
    </row>
    <row r="524" spans="158:165" ht="15" customHeight="1" x14ac:dyDescent="0.15">
      <c r="FB524" s="53"/>
      <c r="FC524" s="54"/>
      <c r="FD524" s="54"/>
      <c r="FE524" s="54"/>
      <c r="FF524" s="54"/>
      <c r="FG524" s="54"/>
      <c r="FH524" s="54"/>
      <c r="FI524" s="54"/>
    </row>
    <row r="525" spans="158:165" ht="15" customHeight="1" x14ac:dyDescent="0.15">
      <c r="FB525" s="53"/>
      <c r="FC525" s="54"/>
      <c r="FD525" s="54"/>
      <c r="FE525" s="54"/>
      <c r="FF525" s="54"/>
      <c r="FG525" s="54"/>
      <c r="FH525" s="54"/>
      <c r="FI525" s="54"/>
    </row>
    <row r="526" spans="158:165" ht="15" customHeight="1" x14ac:dyDescent="0.15">
      <c r="FB526" s="53"/>
      <c r="FC526" s="54"/>
      <c r="FD526" s="54"/>
      <c r="FE526" s="54"/>
      <c r="FF526" s="54"/>
      <c r="FG526" s="54"/>
      <c r="FH526" s="54"/>
      <c r="FI526" s="54"/>
    </row>
    <row r="527" spans="158:165" ht="15" customHeight="1" x14ac:dyDescent="0.15">
      <c r="FB527" s="53"/>
      <c r="FC527" s="54"/>
      <c r="FD527" s="54"/>
      <c r="FE527" s="54"/>
      <c r="FF527" s="54"/>
      <c r="FG527" s="54"/>
      <c r="FH527" s="54"/>
      <c r="FI527" s="54"/>
    </row>
    <row r="528" spans="158:165" ht="15" customHeight="1" x14ac:dyDescent="0.15">
      <c r="FB528" s="53"/>
      <c r="FC528" s="54"/>
      <c r="FD528" s="54"/>
      <c r="FE528" s="54"/>
      <c r="FF528" s="54"/>
      <c r="FG528" s="54"/>
      <c r="FH528" s="54"/>
      <c r="FI528" s="54"/>
    </row>
    <row r="529" spans="158:165" ht="15" customHeight="1" x14ac:dyDescent="0.15">
      <c r="FB529" s="53"/>
      <c r="FC529" s="54"/>
      <c r="FD529" s="54"/>
      <c r="FE529" s="54"/>
      <c r="FF529" s="54"/>
      <c r="FG529" s="54"/>
      <c r="FH529" s="54"/>
      <c r="FI529" s="54"/>
    </row>
    <row r="530" spans="158:165" ht="15" customHeight="1" x14ac:dyDescent="0.15">
      <c r="FB530" s="53"/>
      <c r="FC530" s="54"/>
      <c r="FD530" s="54"/>
      <c r="FE530" s="54"/>
      <c r="FF530" s="54"/>
      <c r="FG530" s="54"/>
      <c r="FH530" s="54"/>
      <c r="FI530" s="54"/>
    </row>
    <row r="531" spans="158:165" ht="15" customHeight="1" x14ac:dyDescent="0.15">
      <c r="FB531" s="53"/>
      <c r="FC531" s="54"/>
      <c r="FD531" s="54"/>
      <c r="FE531" s="54"/>
      <c r="FF531" s="54"/>
      <c r="FG531" s="54"/>
      <c r="FH531" s="54"/>
      <c r="FI531" s="54"/>
    </row>
    <row r="532" spans="158:165" ht="15" customHeight="1" x14ac:dyDescent="0.15">
      <c r="FB532" s="53"/>
      <c r="FC532" s="54"/>
      <c r="FD532" s="54"/>
      <c r="FE532" s="54"/>
      <c r="FF532" s="54"/>
      <c r="FG532" s="54"/>
      <c r="FH532" s="54"/>
      <c r="FI532" s="54"/>
    </row>
    <row r="533" spans="158:165" ht="15" customHeight="1" x14ac:dyDescent="0.15">
      <c r="FB533" s="53"/>
      <c r="FC533" s="54"/>
      <c r="FD533" s="54"/>
      <c r="FE533" s="54"/>
      <c r="FF533" s="54"/>
      <c r="FG533" s="54"/>
      <c r="FH533" s="54"/>
      <c r="FI533" s="54"/>
    </row>
    <row r="534" spans="158:165" ht="15" customHeight="1" x14ac:dyDescent="0.15">
      <c r="FB534" s="53"/>
      <c r="FC534" s="54"/>
      <c r="FD534" s="54"/>
      <c r="FE534" s="54"/>
      <c r="FF534" s="54"/>
      <c r="FG534" s="54"/>
      <c r="FH534" s="54"/>
      <c r="FI534" s="54"/>
    </row>
    <row r="535" spans="158:165" ht="15" customHeight="1" x14ac:dyDescent="0.15">
      <c r="FB535" s="53"/>
      <c r="FC535" s="54"/>
      <c r="FD535" s="54"/>
      <c r="FE535" s="54"/>
      <c r="FF535" s="54"/>
      <c r="FG535" s="54"/>
      <c r="FH535" s="54"/>
      <c r="FI535" s="54"/>
    </row>
    <row r="536" spans="158:165" ht="15" customHeight="1" x14ac:dyDescent="0.15">
      <c r="FB536" s="53"/>
      <c r="FC536" s="54"/>
      <c r="FD536" s="54"/>
      <c r="FE536" s="54"/>
      <c r="FF536" s="54"/>
      <c r="FG536" s="54"/>
      <c r="FH536" s="54"/>
      <c r="FI536" s="54"/>
    </row>
    <row r="537" spans="158:165" ht="15" customHeight="1" x14ac:dyDescent="0.15">
      <c r="FB537" s="53"/>
      <c r="FC537" s="54"/>
      <c r="FD537" s="54"/>
      <c r="FE537" s="54"/>
      <c r="FF537" s="54"/>
      <c r="FG537" s="54"/>
      <c r="FH537" s="54"/>
      <c r="FI537" s="54"/>
    </row>
    <row r="538" spans="158:165" ht="15" customHeight="1" x14ac:dyDescent="0.15">
      <c r="FB538" s="53"/>
      <c r="FC538" s="54"/>
      <c r="FD538" s="54"/>
      <c r="FE538" s="54"/>
      <c r="FF538" s="54"/>
      <c r="FG538" s="54"/>
      <c r="FH538" s="54"/>
      <c r="FI538" s="54"/>
    </row>
    <row r="539" spans="158:165" ht="15" customHeight="1" x14ac:dyDescent="0.15">
      <c r="FB539" s="53"/>
      <c r="FC539" s="54"/>
      <c r="FD539" s="54"/>
      <c r="FE539" s="54"/>
      <c r="FF539" s="54"/>
      <c r="FG539" s="54"/>
      <c r="FH539" s="54"/>
      <c r="FI539" s="54"/>
    </row>
    <row r="540" spans="158:165" ht="15" customHeight="1" x14ac:dyDescent="0.15">
      <c r="FB540" s="53"/>
      <c r="FC540" s="54"/>
      <c r="FD540" s="54"/>
      <c r="FE540" s="54"/>
      <c r="FF540" s="54"/>
      <c r="FG540" s="54"/>
      <c r="FH540" s="54"/>
      <c r="FI540" s="54"/>
    </row>
    <row r="541" spans="158:165" ht="15" customHeight="1" x14ac:dyDescent="0.15">
      <c r="FB541" s="53"/>
      <c r="FC541" s="54"/>
      <c r="FD541" s="54"/>
      <c r="FE541" s="54"/>
      <c r="FF541" s="54"/>
      <c r="FG541" s="54"/>
      <c r="FH541" s="54"/>
      <c r="FI541" s="54"/>
    </row>
    <row r="542" spans="158:165" ht="15" customHeight="1" x14ac:dyDescent="0.15">
      <c r="FB542" s="53"/>
      <c r="FC542" s="54"/>
      <c r="FD542" s="54"/>
      <c r="FE542" s="54"/>
      <c r="FF542" s="54"/>
      <c r="FG542" s="54"/>
      <c r="FH542" s="54"/>
      <c r="FI542" s="54"/>
    </row>
    <row r="543" spans="158:165" ht="15" customHeight="1" x14ac:dyDescent="0.15">
      <c r="FB543" s="53"/>
      <c r="FC543" s="54"/>
      <c r="FD543" s="54"/>
      <c r="FE543" s="54"/>
      <c r="FF543" s="54"/>
      <c r="FG543" s="54"/>
      <c r="FH543" s="54"/>
      <c r="FI543" s="54"/>
    </row>
    <row r="544" spans="158:165" ht="15" customHeight="1" x14ac:dyDescent="0.15">
      <c r="FB544" s="53"/>
      <c r="FC544" s="54"/>
      <c r="FD544" s="54"/>
      <c r="FE544" s="54"/>
      <c r="FF544" s="54"/>
      <c r="FG544" s="54"/>
      <c r="FH544" s="54"/>
      <c r="FI544" s="54"/>
    </row>
    <row r="545" spans="158:165" ht="15" customHeight="1" x14ac:dyDescent="0.15">
      <c r="FB545" s="53"/>
      <c r="FC545" s="54"/>
      <c r="FD545" s="54"/>
      <c r="FE545" s="54"/>
      <c r="FF545" s="54"/>
      <c r="FG545" s="54"/>
      <c r="FH545" s="54"/>
      <c r="FI545" s="54"/>
    </row>
    <row r="546" spans="158:165" ht="15" customHeight="1" x14ac:dyDescent="0.15">
      <c r="FB546" s="53"/>
      <c r="FC546" s="54"/>
      <c r="FD546" s="54"/>
      <c r="FE546" s="54"/>
      <c r="FF546" s="54"/>
      <c r="FG546" s="54"/>
      <c r="FH546" s="54"/>
      <c r="FI546" s="54"/>
    </row>
    <row r="547" spans="158:165" ht="15" customHeight="1" x14ac:dyDescent="0.15">
      <c r="FB547" s="53"/>
      <c r="FC547" s="54"/>
      <c r="FD547" s="54"/>
      <c r="FE547" s="54"/>
      <c r="FF547" s="54"/>
      <c r="FG547" s="54"/>
      <c r="FH547" s="54"/>
      <c r="FI547" s="54"/>
    </row>
    <row r="548" spans="158:165" ht="15" customHeight="1" x14ac:dyDescent="0.15">
      <c r="FB548" s="53"/>
      <c r="FC548" s="54"/>
      <c r="FD548" s="54"/>
      <c r="FE548" s="54"/>
      <c r="FF548" s="54"/>
      <c r="FG548" s="54"/>
      <c r="FH548" s="54"/>
      <c r="FI548" s="54"/>
    </row>
    <row r="549" spans="158:165" ht="15" customHeight="1" x14ac:dyDescent="0.15">
      <c r="FB549" s="53"/>
      <c r="FC549" s="54"/>
      <c r="FD549" s="54"/>
      <c r="FE549" s="54"/>
      <c r="FF549" s="54"/>
      <c r="FG549" s="54"/>
      <c r="FH549" s="54"/>
      <c r="FI549" s="54"/>
    </row>
    <row r="550" spans="158:165" ht="15" customHeight="1" x14ac:dyDescent="0.15">
      <c r="FB550" s="53"/>
      <c r="FC550" s="54"/>
      <c r="FD550" s="54"/>
      <c r="FE550" s="54"/>
      <c r="FF550" s="54"/>
      <c r="FG550" s="54"/>
      <c r="FH550" s="54"/>
      <c r="FI550" s="54"/>
    </row>
    <row r="551" spans="158:165" ht="15" customHeight="1" x14ac:dyDescent="0.15">
      <c r="FB551" s="53"/>
      <c r="FC551" s="54"/>
      <c r="FD551" s="54"/>
      <c r="FE551" s="54"/>
      <c r="FF551" s="54"/>
      <c r="FG551" s="54"/>
      <c r="FH551" s="54"/>
      <c r="FI551" s="54"/>
    </row>
    <row r="552" spans="158:165" ht="15" customHeight="1" x14ac:dyDescent="0.15">
      <c r="FB552" s="53"/>
      <c r="FC552" s="54"/>
      <c r="FD552" s="54"/>
      <c r="FE552" s="54"/>
      <c r="FF552" s="54"/>
      <c r="FG552" s="54"/>
      <c r="FH552" s="54"/>
      <c r="FI552" s="54"/>
    </row>
    <row r="553" spans="158:165" ht="15" customHeight="1" x14ac:dyDescent="0.15">
      <c r="FB553" s="53"/>
      <c r="FC553" s="54"/>
      <c r="FD553" s="54"/>
      <c r="FE553" s="54"/>
      <c r="FF553" s="54"/>
      <c r="FG553" s="54"/>
      <c r="FH553" s="54"/>
      <c r="FI553" s="54"/>
    </row>
    <row r="554" spans="158:165" ht="15" customHeight="1" x14ac:dyDescent="0.15">
      <c r="FB554" s="53"/>
      <c r="FC554" s="54"/>
      <c r="FD554" s="54"/>
      <c r="FE554" s="54"/>
      <c r="FF554" s="54"/>
      <c r="FG554" s="54"/>
      <c r="FH554" s="54"/>
      <c r="FI554" s="54"/>
    </row>
    <row r="555" spans="158:165" ht="15" customHeight="1" x14ac:dyDescent="0.15">
      <c r="FB555" s="53"/>
      <c r="FC555" s="54"/>
      <c r="FD555" s="54"/>
      <c r="FE555" s="54"/>
      <c r="FF555" s="54"/>
      <c r="FG555" s="54"/>
      <c r="FH555" s="54"/>
      <c r="FI555" s="54"/>
    </row>
    <row r="556" spans="158:165" ht="15" customHeight="1" x14ac:dyDescent="0.15">
      <c r="FB556" s="53"/>
      <c r="FC556" s="54"/>
      <c r="FD556" s="54"/>
      <c r="FE556" s="54"/>
      <c r="FF556" s="54"/>
      <c r="FG556" s="54"/>
      <c r="FH556" s="54"/>
      <c r="FI556" s="54"/>
    </row>
    <row r="557" spans="158:165" ht="15" customHeight="1" x14ac:dyDescent="0.15">
      <c r="FB557" s="53"/>
      <c r="FC557" s="54"/>
      <c r="FD557" s="54"/>
      <c r="FE557" s="54"/>
      <c r="FF557" s="54"/>
      <c r="FG557" s="54"/>
      <c r="FH557" s="54"/>
      <c r="FI557" s="54"/>
    </row>
    <row r="558" spans="158:165" ht="15" customHeight="1" x14ac:dyDescent="0.15">
      <c r="FB558" s="53"/>
      <c r="FC558" s="54"/>
      <c r="FD558" s="54"/>
      <c r="FE558" s="54"/>
      <c r="FF558" s="54"/>
      <c r="FG558" s="54"/>
      <c r="FH558" s="54"/>
      <c r="FI558" s="54"/>
    </row>
    <row r="559" spans="158:165" ht="15" customHeight="1" x14ac:dyDescent="0.15">
      <c r="FB559" s="53"/>
      <c r="FC559" s="54"/>
      <c r="FD559" s="54"/>
      <c r="FE559" s="54"/>
      <c r="FF559" s="54"/>
      <c r="FG559" s="54"/>
      <c r="FH559" s="54"/>
      <c r="FI559" s="54"/>
    </row>
    <row r="560" spans="158:165" ht="15" customHeight="1" x14ac:dyDescent="0.15">
      <c r="FB560" s="53"/>
      <c r="FC560" s="54"/>
      <c r="FD560" s="54"/>
      <c r="FE560" s="54"/>
      <c r="FF560" s="54"/>
      <c r="FG560" s="54"/>
      <c r="FH560" s="54"/>
      <c r="FI560" s="54"/>
    </row>
    <row r="561" spans="158:165" ht="15" customHeight="1" x14ac:dyDescent="0.15">
      <c r="FB561" s="53"/>
      <c r="FC561" s="54"/>
      <c r="FD561" s="54"/>
      <c r="FE561" s="54"/>
      <c r="FF561" s="54"/>
      <c r="FG561" s="54"/>
      <c r="FH561" s="54"/>
      <c r="FI561" s="54"/>
    </row>
    <row r="562" spans="158:165" ht="15" customHeight="1" x14ac:dyDescent="0.15">
      <c r="FB562" s="53"/>
      <c r="FC562" s="54"/>
      <c r="FD562" s="54"/>
      <c r="FE562" s="54"/>
      <c r="FF562" s="54"/>
      <c r="FG562" s="54"/>
      <c r="FH562" s="54"/>
      <c r="FI562" s="54"/>
    </row>
    <row r="563" spans="158:165" ht="15" customHeight="1" x14ac:dyDescent="0.15">
      <c r="FB563" s="53"/>
      <c r="FC563" s="54"/>
      <c r="FD563" s="54"/>
      <c r="FE563" s="54"/>
      <c r="FF563" s="54"/>
      <c r="FG563" s="54"/>
      <c r="FH563" s="54"/>
      <c r="FI563" s="54"/>
    </row>
    <row r="564" spans="158:165" ht="15" customHeight="1" x14ac:dyDescent="0.15">
      <c r="FB564" s="53"/>
      <c r="FC564" s="54"/>
      <c r="FD564" s="54"/>
      <c r="FE564" s="54"/>
      <c r="FF564" s="54"/>
      <c r="FG564" s="54"/>
      <c r="FH564" s="54"/>
      <c r="FI564" s="54"/>
    </row>
    <row r="565" spans="158:165" ht="15" customHeight="1" x14ac:dyDescent="0.15">
      <c r="FB565" s="53"/>
      <c r="FC565" s="54"/>
      <c r="FD565" s="54"/>
      <c r="FE565" s="54"/>
      <c r="FF565" s="54"/>
      <c r="FG565" s="54"/>
      <c r="FH565" s="54"/>
      <c r="FI565" s="54"/>
    </row>
    <row r="566" spans="158:165" ht="15" customHeight="1" x14ac:dyDescent="0.15">
      <c r="FB566" s="53"/>
      <c r="FC566" s="54"/>
      <c r="FD566" s="54"/>
      <c r="FE566" s="54"/>
      <c r="FF566" s="54"/>
      <c r="FG566" s="54"/>
      <c r="FH566" s="54"/>
      <c r="FI566" s="54"/>
    </row>
    <row r="567" spans="158:165" ht="15" customHeight="1" x14ac:dyDescent="0.15">
      <c r="FB567" s="53"/>
      <c r="FC567" s="54"/>
      <c r="FD567" s="54"/>
      <c r="FE567" s="54"/>
      <c r="FF567" s="54"/>
      <c r="FG567" s="54"/>
      <c r="FH567" s="54"/>
      <c r="FI567" s="54"/>
    </row>
    <row r="568" spans="158:165" ht="15" customHeight="1" x14ac:dyDescent="0.15">
      <c r="FB568" s="53"/>
      <c r="FC568" s="54"/>
      <c r="FD568" s="54"/>
      <c r="FE568" s="54"/>
      <c r="FF568" s="54"/>
      <c r="FG568" s="54"/>
      <c r="FH568" s="54"/>
      <c r="FI568" s="54"/>
    </row>
    <row r="569" spans="158:165" ht="15" customHeight="1" x14ac:dyDescent="0.15">
      <c r="FB569" s="53"/>
      <c r="FC569" s="54"/>
      <c r="FD569" s="54"/>
      <c r="FE569" s="54"/>
      <c r="FF569" s="54"/>
      <c r="FG569" s="54"/>
      <c r="FH569" s="54"/>
      <c r="FI569" s="54"/>
    </row>
    <row r="570" spans="158:165" ht="15" customHeight="1" x14ac:dyDescent="0.15">
      <c r="FB570" s="53"/>
      <c r="FC570" s="54"/>
      <c r="FD570" s="54"/>
      <c r="FE570" s="54"/>
      <c r="FF570" s="54"/>
      <c r="FG570" s="54"/>
      <c r="FH570" s="54"/>
      <c r="FI570" s="54"/>
    </row>
    <row r="571" spans="158:165" ht="15" customHeight="1" x14ac:dyDescent="0.15">
      <c r="FB571" s="53"/>
      <c r="FC571" s="54"/>
      <c r="FD571" s="54"/>
      <c r="FE571" s="54"/>
      <c r="FF571" s="54"/>
      <c r="FG571" s="54"/>
      <c r="FH571" s="54"/>
      <c r="FI571" s="54"/>
    </row>
    <row r="572" spans="158:165" ht="15" customHeight="1" x14ac:dyDescent="0.15">
      <c r="FB572" s="53"/>
      <c r="FC572" s="54"/>
      <c r="FD572" s="54"/>
      <c r="FE572" s="54"/>
      <c r="FF572" s="54"/>
      <c r="FG572" s="54"/>
      <c r="FH572" s="54"/>
      <c r="FI572" s="54"/>
    </row>
    <row r="573" spans="158:165" ht="15" customHeight="1" x14ac:dyDescent="0.15">
      <c r="FB573" s="53"/>
      <c r="FC573" s="54"/>
      <c r="FD573" s="54"/>
      <c r="FE573" s="54"/>
      <c r="FF573" s="54"/>
      <c r="FG573" s="54"/>
      <c r="FH573" s="54"/>
      <c r="FI573" s="54"/>
    </row>
    <row r="574" spans="158:165" ht="15" customHeight="1" x14ac:dyDescent="0.15">
      <c r="FB574" s="53"/>
      <c r="FC574" s="54"/>
      <c r="FD574" s="54"/>
      <c r="FE574" s="54"/>
      <c r="FF574" s="54"/>
      <c r="FG574" s="54"/>
      <c r="FH574" s="54"/>
      <c r="FI574" s="54"/>
    </row>
    <row r="575" spans="158:165" ht="15" customHeight="1" x14ac:dyDescent="0.15">
      <c r="FB575" s="53"/>
      <c r="FC575" s="54"/>
      <c r="FD575" s="54"/>
      <c r="FE575" s="54"/>
      <c r="FF575" s="54"/>
      <c r="FG575" s="54"/>
      <c r="FH575" s="54"/>
      <c r="FI575" s="54"/>
    </row>
    <row r="576" spans="158:165" ht="15" customHeight="1" x14ac:dyDescent="0.15">
      <c r="FB576" s="53"/>
      <c r="FC576" s="54"/>
      <c r="FD576" s="54"/>
      <c r="FE576" s="54"/>
      <c r="FF576" s="54"/>
      <c r="FG576" s="54"/>
      <c r="FH576" s="54"/>
      <c r="FI576" s="54"/>
    </row>
    <row r="577" spans="158:165" ht="15" customHeight="1" x14ac:dyDescent="0.15">
      <c r="FB577" s="53"/>
      <c r="FC577" s="54"/>
      <c r="FD577" s="54"/>
      <c r="FE577" s="54"/>
      <c r="FF577" s="54"/>
      <c r="FG577" s="54"/>
      <c r="FH577" s="54"/>
      <c r="FI577" s="54"/>
    </row>
    <row r="578" spans="158:165" ht="15" customHeight="1" x14ac:dyDescent="0.15">
      <c r="FB578" s="53"/>
      <c r="FC578" s="54"/>
      <c r="FD578" s="54"/>
      <c r="FE578" s="54"/>
      <c r="FF578" s="54"/>
      <c r="FG578" s="54"/>
      <c r="FH578" s="54"/>
      <c r="FI578" s="54"/>
    </row>
    <row r="579" spans="158:165" ht="15" customHeight="1" x14ac:dyDescent="0.15">
      <c r="FB579" s="53"/>
      <c r="FC579" s="54"/>
      <c r="FD579" s="54"/>
      <c r="FE579" s="54"/>
      <c r="FF579" s="54"/>
      <c r="FG579" s="54"/>
      <c r="FH579" s="54"/>
      <c r="FI579" s="54"/>
    </row>
    <row r="580" spans="158:165" ht="15" customHeight="1" x14ac:dyDescent="0.15">
      <c r="FB580" s="53"/>
      <c r="FC580" s="54"/>
      <c r="FD580" s="54"/>
      <c r="FE580" s="54"/>
      <c r="FF580" s="54"/>
      <c r="FG580" s="54"/>
      <c r="FH580" s="54"/>
      <c r="FI580" s="54"/>
    </row>
    <row r="581" spans="158:165" ht="15" customHeight="1" x14ac:dyDescent="0.15">
      <c r="FB581" s="53"/>
      <c r="FC581" s="54"/>
      <c r="FD581" s="54"/>
      <c r="FE581" s="54"/>
      <c r="FF581" s="54"/>
      <c r="FG581" s="54"/>
      <c r="FH581" s="54"/>
      <c r="FI581" s="54"/>
    </row>
    <row r="582" spans="158:165" ht="15" customHeight="1" x14ac:dyDescent="0.15">
      <c r="FB582" s="53"/>
      <c r="FC582" s="54"/>
      <c r="FD582" s="54"/>
      <c r="FE582" s="54"/>
      <c r="FF582" s="54"/>
      <c r="FG582" s="54"/>
      <c r="FH582" s="54"/>
      <c r="FI582" s="54"/>
    </row>
    <row r="583" spans="158:165" ht="15" customHeight="1" x14ac:dyDescent="0.15">
      <c r="FB583" s="53"/>
      <c r="FC583" s="54"/>
      <c r="FD583" s="54"/>
      <c r="FE583" s="54"/>
      <c r="FF583" s="54"/>
      <c r="FG583" s="54"/>
      <c r="FH583" s="54"/>
      <c r="FI583" s="54"/>
    </row>
    <row r="584" spans="158:165" ht="15" customHeight="1" x14ac:dyDescent="0.15">
      <c r="FB584" s="53"/>
      <c r="FC584" s="54"/>
      <c r="FD584" s="54"/>
      <c r="FE584" s="54"/>
      <c r="FF584" s="54"/>
      <c r="FG584" s="54"/>
      <c r="FH584" s="54"/>
      <c r="FI584" s="54"/>
    </row>
    <row r="585" spans="158:165" ht="15" customHeight="1" x14ac:dyDescent="0.15">
      <c r="FB585" s="53"/>
      <c r="FC585" s="54"/>
      <c r="FD585" s="54"/>
      <c r="FE585" s="54"/>
      <c r="FF585" s="54"/>
      <c r="FG585" s="54"/>
      <c r="FH585" s="54"/>
      <c r="FI585" s="54"/>
    </row>
    <row r="586" spans="158:165" ht="15" customHeight="1" x14ac:dyDescent="0.15">
      <c r="FB586" s="53"/>
      <c r="FC586" s="54"/>
      <c r="FD586" s="54"/>
      <c r="FE586" s="54"/>
      <c r="FF586" s="54"/>
      <c r="FG586" s="54"/>
      <c r="FH586" s="54"/>
      <c r="FI586" s="54"/>
    </row>
    <row r="587" spans="158:165" ht="15" customHeight="1" x14ac:dyDescent="0.15">
      <c r="FB587" s="53"/>
      <c r="FC587" s="54"/>
      <c r="FD587" s="54"/>
      <c r="FE587" s="54"/>
      <c r="FF587" s="54"/>
      <c r="FG587" s="54"/>
      <c r="FH587" s="54"/>
      <c r="FI587" s="54"/>
    </row>
    <row r="588" spans="158:165" ht="15" customHeight="1" x14ac:dyDescent="0.15">
      <c r="FB588" s="53"/>
      <c r="FC588" s="54"/>
      <c r="FD588" s="54"/>
      <c r="FE588" s="54"/>
      <c r="FF588" s="54"/>
      <c r="FG588" s="54"/>
      <c r="FH588" s="54"/>
      <c r="FI588" s="54"/>
    </row>
    <row r="589" spans="158:165" ht="15" customHeight="1" x14ac:dyDescent="0.15">
      <c r="FB589" s="53"/>
      <c r="FC589" s="54"/>
      <c r="FD589" s="54"/>
      <c r="FE589" s="54"/>
      <c r="FF589" s="54"/>
      <c r="FG589" s="54"/>
      <c r="FH589" s="54"/>
      <c r="FI589" s="54"/>
    </row>
    <row r="590" spans="158:165" ht="15" customHeight="1" x14ac:dyDescent="0.15">
      <c r="FB590" s="53"/>
      <c r="FC590" s="54"/>
      <c r="FD590" s="54"/>
      <c r="FE590" s="54"/>
      <c r="FF590" s="54"/>
      <c r="FG590" s="54"/>
      <c r="FH590" s="54"/>
      <c r="FI590" s="54"/>
    </row>
    <row r="591" spans="158:165" ht="15" customHeight="1" x14ac:dyDescent="0.15">
      <c r="FB591" s="53"/>
      <c r="FC591" s="54"/>
      <c r="FD591" s="54"/>
      <c r="FE591" s="54"/>
      <c r="FF591" s="54"/>
      <c r="FG591" s="54"/>
      <c r="FH591" s="54"/>
      <c r="FI591" s="54"/>
    </row>
    <row r="592" spans="158:165" ht="15" customHeight="1" x14ac:dyDescent="0.15">
      <c r="FB592" s="53"/>
      <c r="FC592" s="54"/>
      <c r="FD592" s="54"/>
      <c r="FE592" s="54"/>
      <c r="FF592" s="54"/>
      <c r="FG592" s="54"/>
      <c r="FH592" s="54"/>
      <c r="FI592" s="54"/>
    </row>
    <row r="593" spans="158:165" ht="15" customHeight="1" x14ac:dyDescent="0.15">
      <c r="FB593" s="53"/>
      <c r="FC593" s="54"/>
      <c r="FD593" s="54"/>
      <c r="FE593" s="54"/>
      <c r="FF593" s="54"/>
      <c r="FG593" s="54"/>
      <c r="FH593" s="54"/>
      <c r="FI593" s="54"/>
    </row>
    <row r="594" spans="158:165" ht="15" customHeight="1" x14ac:dyDescent="0.15">
      <c r="FB594" s="53"/>
      <c r="FC594" s="54"/>
      <c r="FD594" s="54"/>
      <c r="FE594" s="54"/>
      <c r="FF594" s="54"/>
      <c r="FG594" s="54"/>
      <c r="FH594" s="54"/>
      <c r="FI594" s="54"/>
    </row>
    <row r="595" spans="158:165" ht="15" customHeight="1" x14ac:dyDescent="0.15">
      <c r="FB595" s="53"/>
      <c r="FC595" s="54"/>
      <c r="FD595" s="54"/>
      <c r="FE595" s="54"/>
      <c r="FF595" s="54"/>
      <c r="FG595" s="54"/>
      <c r="FH595" s="54"/>
      <c r="FI595" s="54"/>
    </row>
    <row r="596" spans="158:165" ht="15" customHeight="1" x14ac:dyDescent="0.15">
      <c r="FB596" s="53"/>
      <c r="FC596" s="54"/>
      <c r="FD596" s="54"/>
      <c r="FE596" s="54"/>
      <c r="FF596" s="54"/>
      <c r="FG596" s="54"/>
      <c r="FH596" s="54"/>
      <c r="FI596" s="54"/>
    </row>
    <row r="597" spans="158:165" ht="15" customHeight="1" x14ac:dyDescent="0.15">
      <c r="FB597" s="53"/>
      <c r="FC597" s="54"/>
      <c r="FD597" s="54"/>
      <c r="FE597" s="54"/>
      <c r="FF597" s="54"/>
      <c r="FG597" s="54"/>
      <c r="FH597" s="54"/>
      <c r="FI597" s="54"/>
    </row>
    <row r="598" spans="158:165" ht="15" customHeight="1" x14ac:dyDescent="0.15">
      <c r="FB598" s="53"/>
      <c r="FC598" s="54"/>
      <c r="FD598" s="54"/>
      <c r="FE598" s="54"/>
      <c r="FF598" s="54"/>
      <c r="FG598" s="54"/>
      <c r="FH598" s="54"/>
      <c r="FI598" s="54"/>
    </row>
    <row r="599" spans="158:165" ht="15" customHeight="1" x14ac:dyDescent="0.15">
      <c r="FB599" s="53"/>
      <c r="FC599" s="54"/>
      <c r="FD599" s="54"/>
      <c r="FE599" s="54"/>
      <c r="FF599" s="54"/>
      <c r="FG599" s="54"/>
      <c r="FH599" s="54"/>
      <c r="FI599" s="54"/>
    </row>
    <row r="600" spans="158:165" ht="15" customHeight="1" x14ac:dyDescent="0.15">
      <c r="FB600" s="53"/>
      <c r="FC600" s="54"/>
      <c r="FD600" s="54"/>
      <c r="FE600" s="54"/>
      <c r="FF600" s="54"/>
      <c r="FG600" s="54"/>
      <c r="FH600" s="54"/>
      <c r="FI600" s="54"/>
    </row>
    <row r="601" spans="158:165" ht="15" customHeight="1" x14ac:dyDescent="0.15">
      <c r="FB601" s="53"/>
      <c r="FC601" s="54"/>
      <c r="FD601" s="54"/>
      <c r="FE601" s="54"/>
      <c r="FF601" s="54"/>
      <c r="FG601" s="54"/>
      <c r="FH601" s="54"/>
      <c r="FI601" s="54"/>
    </row>
    <row r="602" spans="158:165" ht="15" customHeight="1" x14ac:dyDescent="0.15">
      <c r="FB602" s="53"/>
      <c r="FC602" s="54"/>
      <c r="FD602" s="54"/>
      <c r="FE602" s="54"/>
      <c r="FF602" s="54"/>
      <c r="FG602" s="54"/>
      <c r="FH602" s="54"/>
      <c r="FI602" s="54"/>
    </row>
    <row r="603" spans="158:165" ht="15" customHeight="1" x14ac:dyDescent="0.15">
      <c r="FB603" s="53"/>
      <c r="FC603" s="54"/>
      <c r="FD603" s="54"/>
      <c r="FE603" s="54"/>
      <c r="FF603" s="54"/>
      <c r="FG603" s="54"/>
      <c r="FH603" s="54"/>
      <c r="FI603" s="54"/>
    </row>
    <row r="604" spans="158:165" ht="15" customHeight="1" x14ac:dyDescent="0.15">
      <c r="FB604" s="53"/>
      <c r="FC604" s="54"/>
      <c r="FD604" s="54"/>
      <c r="FE604" s="54"/>
      <c r="FF604" s="54"/>
      <c r="FG604" s="54"/>
      <c r="FH604" s="54"/>
      <c r="FI604" s="54"/>
    </row>
    <row r="605" spans="158:165" ht="15" customHeight="1" x14ac:dyDescent="0.15">
      <c r="FB605" s="53"/>
      <c r="FC605" s="54"/>
      <c r="FD605" s="54"/>
      <c r="FE605" s="54"/>
      <c r="FF605" s="54"/>
      <c r="FG605" s="54"/>
      <c r="FH605" s="54"/>
      <c r="FI605" s="54"/>
    </row>
    <row r="606" spans="158:165" ht="15" customHeight="1" x14ac:dyDescent="0.15">
      <c r="FB606" s="53"/>
      <c r="FC606" s="54"/>
      <c r="FD606" s="54"/>
      <c r="FE606" s="54"/>
      <c r="FF606" s="54"/>
      <c r="FG606" s="54"/>
      <c r="FH606" s="54"/>
      <c r="FI606" s="54"/>
    </row>
    <row r="607" spans="158:165" ht="15" customHeight="1" x14ac:dyDescent="0.15">
      <c r="FB607" s="53"/>
      <c r="FC607" s="54"/>
      <c r="FD607" s="54"/>
      <c r="FE607" s="54"/>
      <c r="FF607" s="54"/>
      <c r="FG607" s="54"/>
      <c r="FH607" s="54"/>
      <c r="FI607" s="54"/>
    </row>
    <row r="608" spans="158:165" ht="15" customHeight="1" x14ac:dyDescent="0.15">
      <c r="FB608" s="53"/>
      <c r="FC608" s="54"/>
      <c r="FD608" s="54"/>
      <c r="FE608" s="54"/>
      <c r="FF608" s="54"/>
      <c r="FG608" s="54"/>
      <c r="FH608" s="54"/>
      <c r="FI608" s="54"/>
    </row>
    <row r="609" spans="158:165" ht="15" customHeight="1" x14ac:dyDescent="0.15">
      <c r="FB609" s="53"/>
      <c r="FC609" s="54"/>
      <c r="FD609" s="54"/>
      <c r="FE609" s="54"/>
      <c r="FF609" s="54"/>
      <c r="FG609" s="54"/>
      <c r="FH609" s="54"/>
      <c r="FI609" s="54"/>
    </row>
    <row r="610" spans="158:165" ht="15" customHeight="1" x14ac:dyDescent="0.15">
      <c r="FB610" s="53"/>
      <c r="FC610" s="54"/>
      <c r="FD610" s="54"/>
      <c r="FE610" s="54"/>
      <c r="FF610" s="54"/>
      <c r="FG610" s="54"/>
      <c r="FH610" s="54"/>
      <c r="FI610" s="54"/>
    </row>
    <row r="611" spans="158:165" ht="15" customHeight="1" x14ac:dyDescent="0.15">
      <c r="FB611" s="53"/>
      <c r="FC611" s="54"/>
      <c r="FD611" s="54"/>
      <c r="FE611" s="54"/>
      <c r="FF611" s="54"/>
      <c r="FG611" s="54"/>
      <c r="FH611" s="54"/>
      <c r="FI611" s="54"/>
    </row>
    <row r="612" spans="158:165" ht="15" customHeight="1" x14ac:dyDescent="0.15">
      <c r="FB612" s="53"/>
      <c r="FC612" s="54"/>
      <c r="FD612" s="54"/>
      <c r="FE612" s="54"/>
      <c r="FF612" s="54"/>
      <c r="FG612" s="54"/>
      <c r="FH612" s="54"/>
      <c r="FI612" s="54"/>
    </row>
    <row r="613" spans="158:165" ht="15" customHeight="1" x14ac:dyDescent="0.15">
      <c r="FB613" s="53"/>
      <c r="FC613" s="54"/>
      <c r="FD613" s="54"/>
      <c r="FE613" s="54"/>
      <c r="FF613" s="54"/>
      <c r="FG613" s="54"/>
      <c r="FH613" s="54"/>
      <c r="FI613" s="54"/>
    </row>
    <row r="614" spans="158:165" ht="15" customHeight="1" x14ac:dyDescent="0.15">
      <c r="FB614" s="53"/>
      <c r="FC614" s="54"/>
      <c r="FD614" s="54"/>
      <c r="FE614" s="54"/>
      <c r="FF614" s="54"/>
      <c r="FG614" s="54"/>
      <c r="FH614" s="54"/>
      <c r="FI614" s="54"/>
    </row>
    <row r="615" spans="158:165" ht="15" customHeight="1" x14ac:dyDescent="0.15">
      <c r="FB615" s="53"/>
      <c r="FC615" s="54"/>
      <c r="FD615" s="54"/>
      <c r="FE615" s="54"/>
      <c r="FF615" s="54"/>
      <c r="FG615" s="54"/>
      <c r="FH615" s="54"/>
      <c r="FI615" s="54"/>
    </row>
    <row r="616" spans="158:165" ht="15" customHeight="1" x14ac:dyDescent="0.15">
      <c r="FB616" s="53"/>
      <c r="FC616" s="54"/>
      <c r="FD616" s="54"/>
      <c r="FE616" s="54"/>
      <c r="FF616" s="54"/>
      <c r="FG616" s="54"/>
      <c r="FH616" s="54"/>
      <c r="FI616" s="54"/>
    </row>
    <row r="617" spans="158:165" ht="15" customHeight="1" x14ac:dyDescent="0.15">
      <c r="FB617" s="53"/>
      <c r="FC617" s="54"/>
      <c r="FD617" s="54"/>
      <c r="FE617" s="54"/>
      <c r="FF617" s="54"/>
      <c r="FG617" s="54"/>
      <c r="FH617" s="54"/>
      <c r="FI617" s="54"/>
    </row>
    <row r="618" spans="158:165" ht="15" customHeight="1" x14ac:dyDescent="0.15">
      <c r="FB618" s="53"/>
      <c r="FC618" s="54"/>
      <c r="FD618" s="54"/>
      <c r="FE618" s="54"/>
      <c r="FF618" s="54"/>
      <c r="FG618" s="54"/>
      <c r="FH618" s="54"/>
      <c r="FI618" s="54"/>
    </row>
    <row r="619" spans="158:165" ht="15" customHeight="1" x14ac:dyDescent="0.15">
      <c r="FB619" s="53"/>
      <c r="FC619" s="54"/>
      <c r="FD619" s="54"/>
      <c r="FE619" s="54"/>
      <c r="FF619" s="54"/>
      <c r="FG619" s="54"/>
      <c r="FH619" s="54"/>
      <c r="FI619" s="54"/>
    </row>
    <row r="620" spans="158:165" ht="15" customHeight="1" x14ac:dyDescent="0.15">
      <c r="FB620" s="53"/>
      <c r="FC620" s="54"/>
      <c r="FD620" s="54"/>
      <c r="FE620" s="54"/>
      <c r="FF620" s="54"/>
      <c r="FG620" s="54"/>
      <c r="FH620" s="54"/>
      <c r="FI620" s="54"/>
    </row>
    <row r="621" spans="158:165" ht="15" customHeight="1" x14ac:dyDescent="0.15">
      <c r="FB621" s="53"/>
      <c r="FC621" s="54"/>
      <c r="FD621" s="54"/>
      <c r="FE621" s="54"/>
      <c r="FF621" s="54"/>
      <c r="FG621" s="54"/>
      <c r="FH621" s="54"/>
      <c r="FI621" s="54"/>
    </row>
    <row r="622" spans="158:165" ht="15" customHeight="1" x14ac:dyDescent="0.15">
      <c r="FB622" s="53"/>
      <c r="FC622" s="54"/>
      <c r="FD622" s="54"/>
      <c r="FE622" s="54"/>
      <c r="FF622" s="54"/>
      <c r="FG622" s="54"/>
      <c r="FH622" s="54"/>
      <c r="FI622" s="54"/>
    </row>
    <row r="623" spans="158:165" ht="15" customHeight="1" x14ac:dyDescent="0.15">
      <c r="FB623" s="53"/>
      <c r="FC623" s="54"/>
      <c r="FD623" s="54"/>
      <c r="FE623" s="54"/>
      <c r="FF623" s="54"/>
      <c r="FG623" s="54"/>
      <c r="FH623" s="54"/>
      <c r="FI623" s="54"/>
    </row>
    <row r="624" spans="158:165" ht="15" customHeight="1" x14ac:dyDescent="0.15">
      <c r="FB624" s="53"/>
      <c r="FC624" s="54"/>
      <c r="FD624" s="54"/>
      <c r="FE624" s="54"/>
      <c r="FF624" s="54"/>
      <c r="FG624" s="54"/>
      <c r="FH624" s="54"/>
      <c r="FI624" s="54"/>
    </row>
    <row r="625" spans="158:165" ht="15" customHeight="1" x14ac:dyDescent="0.15">
      <c r="FB625" s="53"/>
      <c r="FC625" s="54"/>
      <c r="FD625" s="54"/>
      <c r="FE625" s="54"/>
      <c r="FF625" s="54"/>
      <c r="FG625" s="54"/>
      <c r="FH625" s="54"/>
      <c r="FI625" s="54"/>
    </row>
    <row r="626" spans="158:165" ht="15" customHeight="1" x14ac:dyDescent="0.15">
      <c r="FB626" s="53"/>
      <c r="FC626" s="54"/>
      <c r="FD626" s="54"/>
      <c r="FE626" s="54"/>
      <c r="FF626" s="54"/>
      <c r="FG626" s="54"/>
      <c r="FH626" s="54"/>
      <c r="FI626" s="54"/>
    </row>
    <row r="627" spans="158:165" ht="15" customHeight="1" x14ac:dyDescent="0.15">
      <c r="FB627" s="53"/>
      <c r="FC627" s="54"/>
      <c r="FD627" s="54"/>
      <c r="FE627" s="54"/>
      <c r="FF627" s="54"/>
      <c r="FG627" s="54"/>
      <c r="FH627" s="54"/>
      <c r="FI627" s="54"/>
    </row>
    <row r="628" spans="158:165" ht="15" customHeight="1" x14ac:dyDescent="0.15">
      <c r="FB628" s="53"/>
      <c r="FC628" s="54"/>
      <c r="FD628" s="54"/>
      <c r="FE628" s="54"/>
      <c r="FF628" s="54"/>
      <c r="FG628" s="54"/>
      <c r="FH628" s="54"/>
      <c r="FI628" s="54"/>
    </row>
    <row r="629" spans="158:165" ht="15" customHeight="1" x14ac:dyDescent="0.15">
      <c r="FB629" s="53"/>
      <c r="FC629" s="54"/>
      <c r="FD629" s="54"/>
      <c r="FE629" s="54"/>
      <c r="FF629" s="54"/>
      <c r="FG629" s="54"/>
      <c r="FH629" s="54"/>
      <c r="FI629" s="54"/>
    </row>
    <row r="630" spans="158:165" ht="15" customHeight="1" x14ac:dyDescent="0.15">
      <c r="FB630" s="53"/>
      <c r="FC630" s="54"/>
      <c r="FD630" s="54"/>
      <c r="FE630" s="54"/>
      <c r="FF630" s="54"/>
      <c r="FG630" s="54"/>
      <c r="FH630" s="54"/>
      <c r="FI630" s="54"/>
    </row>
    <row r="631" spans="158:165" ht="15" customHeight="1" x14ac:dyDescent="0.15">
      <c r="FB631" s="53"/>
      <c r="FC631" s="54"/>
      <c r="FD631" s="54"/>
      <c r="FE631" s="54"/>
      <c r="FF631" s="54"/>
      <c r="FG631" s="54"/>
      <c r="FH631" s="54"/>
      <c r="FI631" s="54"/>
    </row>
    <row r="632" spans="158:165" ht="15" customHeight="1" x14ac:dyDescent="0.15">
      <c r="FB632" s="53"/>
      <c r="FC632" s="54"/>
      <c r="FD632" s="54"/>
      <c r="FE632" s="54"/>
      <c r="FF632" s="54"/>
      <c r="FG632" s="54"/>
      <c r="FH632" s="54"/>
      <c r="FI632" s="54"/>
    </row>
    <row r="633" spans="158:165" ht="15" customHeight="1" x14ac:dyDescent="0.15">
      <c r="FB633" s="53"/>
      <c r="FC633" s="54"/>
      <c r="FD633" s="54"/>
      <c r="FE633" s="54"/>
      <c r="FF633" s="54"/>
      <c r="FG633" s="54"/>
      <c r="FH633" s="54"/>
      <c r="FI633" s="54"/>
    </row>
    <row r="634" spans="158:165" ht="15" customHeight="1" x14ac:dyDescent="0.15">
      <c r="FB634" s="53"/>
      <c r="FC634" s="54"/>
      <c r="FD634" s="54"/>
      <c r="FE634" s="54"/>
      <c r="FF634" s="54"/>
      <c r="FG634" s="54"/>
      <c r="FH634" s="54"/>
      <c r="FI634" s="54"/>
    </row>
    <row r="635" spans="158:165" ht="15" customHeight="1" x14ac:dyDescent="0.15">
      <c r="FB635" s="53"/>
      <c r="FC635" s="54"/>
      <c r="FD635" s="54"/>
      <c r="FE635" s="54"/>
      <c r="FF635" s="54"/>
      <c r="FG635" s="54"/>
      <c r="FH635" s="54"/>
      <c r="FI635" s="54"/>
    </row>
    <row r="636" spans="158:165" ht="15" customHeight="1" x14ac:dyDescent="0.15">
      <c r="FB636" s="53"/>
      <c r="FC636" s="54"/>
      <c r="FD636" s="54"/>
      <c r="FE636" s="54"/>
      <c r="FF636" s="54"/>
      <c r="FG636" s="54"/>
      <c r="FH636" s="54"/>
      <c r="FI636" s="54"/>
    </row>
    <row r="637" spans="158:165" ht="15" customHeight="1" x14ac:dyDescent="0.15">
      <c r="FB637" s="53"/>
      <c r="FC637" s="54"/>
      <c r="FD637" s="54"/>
      <c r="FE637" s="54"/>
      <c r="FF637" s="54"/>
      <c r="FG637" s="54"/>
      <c r="FH637" s="54"/>
      <c r="FI637" s="54"/>
    </row>
    <row r="638" spans="158:165" ht="15" customHeight="1" x14ac:dyDescent="0.15">
      <c r="FB638" s="53"/>
      <c r="FC638" s="54"/>
      <c r="FD638" s="54"/>
      <c r="FE638" s="54"/>
      <c r="FF638" s="54"/>
      <c r="FG638" s="54"/>
      <c r="FH638" s="54"/>
      <c r="FI638" s="54"/>
    </row>
    <row r="639" spans="158:165" ht="15" customHeight="1" x14ac:dyDescent="0.15">
      <c r="FB639" s="53"/>
      <c r="FC639" s="54"/>
      <c r="FD639" s="54"/>
      <c r="FE639" s="54"/>
      <c r="FF639" s="54"/>
      <c r="FG639" s="54"/>
      <c r="FH639" s="54"/>
      <c r="FI639" s="54"/>
    </row>
    <row r="640" spans="158:165" ht="15" customHeight="1" x14ac:dyDescent="0.15">
      <c r="FB640" s="53"/>
      <c r="FC640" s="54"/>
      <c r="FD640" s="54"/>
      <c r="FE640" s="54"/>
      <c r="FF640" s="54"/>
      <c r="FG640" s="54"/>
      <c r="FH640" s="54"/>
      <c r="FI640" s="54"/>
    </row>
    <row r="641" spans="158:165" ht="15" customHeight="1" x14ac:dyDescent="0.15">
      <c r="FB641" s="53"/>
      <c r="FC641" s="54"/>
      <c r="FD641" s="54"/>
      <c r="FE641" s="54"/>
      <c r="FF641" s="54"/>
      <c r="FG641" s="54"/>
      <c r="FH641" s="54"/>
      <c r="FI641" s="54"/>
    </row>
    <row r="642" spans="158:165" ht="15" customHeight="1" x14ac:dyDescent="0.15">
      <c r="FB642" s="53"/>
      <c r="FC642" s="54"/>
      <c r="FD642" s="54"/>
      <c r="FE642" s="54"/>
      <c r="FF642" s="54"/>
      <c r="FG642" s="54"/>
      <c r="FH642" s="54"/>
      <c r="FI642" s="54"/>
    </row>
    <row r="643" spans="158:165" ht="15" customHeight="1" x14ac:dyDescent="0.15">
      <c r="FB643" s="53"/>
      <c r="FC643" s="54"/>
      <c r="FD643" s="54"/>
      <c r="FE643" s="54"/>
      <c r="FF643" s="54"/>
      <c r="FG643" s="54"/>
      <c r="FH643" s="54"/>
      <c r="FI643" s="54"/>
    </row>
    <row r="644" spans="158:165" ht="15" customHeight="1" x14ac:dyDescent="0.15">
      <c r="FB644" s="53"/>
      <c r="FC644" s="54"/>
      <c r="FD644" s="54"/>
      <c r="FE644" s="54"/>
      <c r="FF644" s="54"/>
      <c r="FG644" s="54"/>
      <c r="FH644" s="54"/>
      <c r="FI644" s="54"/>
    </row>
    <row r="645" spans="158:165" ht="15" customHeight="1" x14ac:dyDescent="0.15">
      <c r="FB645" s="53"/>
      <c r="FC645" s="54"/>
      <c r="FD645" s="54"/>
      <c r="FE645" s="54"/>
      <c r="FF645" s="54"/>
      <c r="FG645" s="54"/>
      <c r="FH645" s="54"/>
      <c r="FI645" s="54"/>
    </row>
    <row r="646" spans="158:165" ht="15" customHeight="1" x14ac:dyDescent="0.15">
      <c r="FB646" s="53"/>
      <c r="FC646" s="54"/>
      <c r="FD646" s="54"/>
      <c r="FE646" s="54"/>
      <c r="FF646" s="54"/>
      <c r="FG646" s="54"/>
      <c r="FH646" s="54"/>
      <c r="FI646" s="54"/>
    </row>
    <row r="647" spans="158:165" ht="15" customHeight="1" x14ac:dyDescent="0.15">
      <c r="FB647" s="53"/>
      <c r="FC647" s="54"/>
      <c r="FD647" s="54"/>
      <c r="FE647" s="54"/>
      <c r="FF647" s="54"/>
      <c r="FG647" s="54"/>
      <c r="FH647" s="54"/>
      <c r="FI647" s="54"/>
    </row>
    <row r="648" spans="158:165" ht="15" customHeight="1" x14ac:dyDescent="0.15">
      <c r="FB648" s="53"/>
      <c r="FC648" s="54"/>
      <c r="FD648" s="54"/>
      <c r="FE648" s="54"/>
      <c r="FF648" s="54"/>
      <c r="FG648" s="54"/>
      <c r="FH648" s="54"/>
      <c r="FI648" s="54"/>
    </row>
    <row r="649" spans="158:165" ht="15" customHeight="1" x14ac:dyDescent="0.15">
      <c r="FB649" s="53"/>
      <c r="FC649" s="54"/>
      <c r="FD649" s="54"/>
      <c r="FE649" s="54"/>
      <c r="FF649" s="54"/>
      <c r="FG649" s="54"/>
      <c r="FH649" s="54"/>
      <c r="FI649" s="54"/>
    </row>
    <row r="650" spans="158:165" ht="15" customHeight="1" x14ac:dyDescent="0.15">
      <c r="FB650" s="53"/>
      <c r="FC650" s="54"/>
      <c r="FD650" s="54"/>
      <c r="FE650" s="54"/>
      <c r="FF650" s="54"/>
      <c r="FG650" s="54"/>
      <c r="FH650" s="54"/>
      <c r="FI650" s="54"/>
    </row>
    <row r="651" spans="158:165" ht="15" customHeight="1" x14ac:dyDescent="0.15">
      <c r="FB651" s="53"/>
      <c r="FC651" s="54"/>
      <c r="FD651" s="54"/>
      <c r="FE651" s="54"/>
      <c r="FF651" s="54"/>
      <c r="FG651" s="54"/>
      <c r="FH651" s="54"/>
      <c r="FI651" s="54"/>
    </row>
    <row r="652" spans="158:165" ht="15" customHeight="1" x14ac:dyDescent="0.15">
      <c r="FB652" s="53"/>
      <c r="FC652" s="54"/>
      <c r="FD652" s="54"/>
      <c r="FE652" s="54"/>
      <c r="FF652" s="54"/>
      <c r="FG652" s="54"/>
      <c r="FH652" s="54"/>
      <c r="FI652" s="54"/>
    </row>
    <row r="653" spans="158:165" ht="15" customHeight="1" x14ac:dyDescent="0.15">
      <c r="FB653" s="53"/>
      <c r="FC653" s="54"/>
      <c r="FD653" s="54"/>
      <c r="FE653" s="54"/>
      <c r="FF653" s="54"/>
      <c r="FG653" s="54"/>
      <c r="FH653" s="54"/>
      <c r="FI653" s="54"/>
    </row>
    <row r="654" spans="158:165" ht="15" customHeight="1" x14ac:dyDescent="0.15">
      <c r="FB654" s="53"/>
      <c r="FC654" s="53"/>
      <c r="FD654" s="53"/>
      <c r="FE654" s="53"/>
      <c r="FF654" s="53"/>
      <c r="FG654" s="53"/>
      <c r="FH654" s="53"/>
      <c r="FI654" s="53"/>
    </row>
  </sheetData>
  <mergeCells count="301">
    <mergeCell ref="T24:Z25"/>
    <mergeCell ref="J17:L17"/>
    <mergeCell ref="J20:U21"/>
    <mergeCell ref="P2:R2"/>
    <mergeCell ref="M2:O2"/>
    <mergeCell ref="D5:R5"/>
    <mergeCell ref="E3:H3"/>
    <mergeCell ref="H13:T13"/>
    <mergeCell ref="H11:S11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CM132:DK132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51:AS51"/>
    <mergeCell ref="AJ65:AP65"/>
    <mergeCell ref="AW65:BH65"/>
    <mergeCell ref="AW66:BH66"/>
    <mergeCell ref="AA63:AI63"/>
    <mergeCell ref="AM50:AS50"/>
    <mergeCell ref="AA24:AE25"/>
    <mergeCell ref="CI132:CL132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51:G51"/>
    <mergeCell ref="H51:AL51"/>
    <mergeCell ref="B52:D52"/>
    <mergeCell ref="E52:AS52"/>
    <mergeCell ref="B54:AS54"/>
    <mergeCell ref="B53:AS53"/>
    <mergeCell ref="B50:G50"/>
    <mergeCell ref="H50:S50"/>
    <mergeCell ref="T50:Z50"/>
    <mergeCell ref="AA50:AL50"/>
    <mergeCell ref="N57:O57"/>
    <mergeCell ref="P57:V57"/>
    <mergeCell ref="AB57:AC57"/>
    <mergeCell ref="N59:O59"/>
    <mergeCell ref="P59:V59"/>
    <mergeCell ref="AA59:AE59"/>
    <mergeCell ref="N60:O60"/>
    <mergeCell ref="P60:V60"/>
    <mergeCell ref="N56:V56"/>
    <mergeCell ref="AB56:AD56"/>
    <mergeCell ref="N58:O58"/>
    <mergeCell ref="P58:V58"/>
    <mergeCell ref="AB60:AD60"/>
    <mergeCell ref="AB66:AI66"/>
    <mergeCell ref="AJ66:AP66"/>
    <mergeCell ref="AW67:BH67"/>
    <mergeCell ref="N65:O65"/>
    <mergeCell ref="P65:V65"/>
    <mergeCell ref="AB61:AD61"/>
    <mergeCell ref="N62:O62"/>
    <mergeCell ref="P62:V62"/>
    <mergeCell ref="AW64:BH64"/>
    <mergeCell ref="AB65:AI65"/>
    <mergeCell ref="N63:O63"/>
    <mergeCell ref="P63:V63"/>
    <mergeCell ref="N64:O64"/>
    <mergeCell ref="P64:V64"/>
    <mergeCell ref="AB64:AI64"/>
    <mergeCell ref="AJ64:AP64"/>
    <mergeCell ref="N66:O66"/>
    <mergeCell ref="P66:V66"/>
    <mergeCell ref="AJ63:AP63"/>
    <mergeCell ref="N61:O61"/>
    <mergeCell ref="P61:V61"/>
    <mergeCell ref="AW68:BH68"/>
    <mergeCell ref="N68:O68"/>
    <mergeCell ref="P68:V68"/>
    <mergeCell ref="AB68:AI68"/>
    <mergeCell ref="AJ68:AP68"/>
    <mergeCell ref="AW69:BH69"/>
    <mergeCell ref="N67:O67"/>
    <mergeCell ref="CW116:CX116"/>
    <mergeCell ref="CI117:CJ117"/>
    <mergeCell ref="AR72:AS72"/>
    <mergeCell ref="CI115:CQ115"/>
    <mergeCell ref="CW115:CY115"/>
    <mergeCell ref="AB67:AI67"/>
    <mergeCell ref="AJ67:AP67"/>
    <mergeCell ref="R72:AP72"/>
    <mergeCell ref="N72:Q72"/>
    <mergeCell ref="CI123:CJ123"/>
    <mergeCell ref="CK123:CQ123"/>
    <mergeCell ref="P67:V67"/>
    <mergeCell ref="CI116:CJ116"/>
    <mergeCell ref="CK116:CQ116"/>
    <mergeCell ref="CK117:CQ117"/>
    <mergeCell ref="DM115:DR115"/>
    <mergeCell ref="DM116:DR116"/>
    <mergeCell ref="DR123:EC123"/>
    <mergeCell ref="CI122:CJ122"/>
    <mergeCell ref="CK122:CQ122"/>
    <mergeCell ref="DM121:DR121"/>
    <mergeCell ref="CI121:CJ121"/>
    <mergeCell ref="CK121:CQ121"/>
    <mergeCell ref="CI119:CJ119"/>
    <mergeCell ref="CK119:CQ119"/>
    <mergeCell ref="CI118:CJ118"/>
    <mergeCell ref="CK118:CQ118"/>
    <mergeCell ref="CV118:CZ118"/>
    <mergeCell ref="CK120:CQ120"/>
    <mergeCell ref="CW120:CY120"/>
    <mergeCell ref="CI120:CJ120"/>
    <mergeCell ref="DM118:DR118"/>
    <mergeCell ref="DR122:EC122"/>
    <mergeCell ref="CW119:CY119"/>
    <mergeCell ref="CW123:DD123"/>
    <mergeCell ref="DE123:DK123"/>
    <mergeCell ref="CV122:DD122"/>
    <mergeCell ref="DR125:EC125"/>
    <mergeCell ref="DR126:EC126"/>
    <mergeCell ref="DM119:DR119"/>
    <mergeCell ref="DM120:DR120"/>
    <mergeCell ref="DE122:DK122"/>
    <mergeCell ref="DM131:DN131"/>
    <mergeCell ref="DO131:DU131"/>
    <mergeCell ref="DR124:EC124"/>
    <mergeCell ref="DR127:EC127"/>
    <mergeCell ref="CI131:CL131"/>
    <mergeCell ref="CM131:DK131"/>
    <mergeCell ref="CW125:DD125"/>
    <mergeCell ref="DE125:DK125"/>
    <mergeCell ref="DE126:DK126"/>
    <mergeCell ref="CI127:CJ127"/>
    <mergeCell ref="CK125:CQ125"/>
    <mergeCell ref="CW126:DD126"/>
    <mergeCell ref="CW127:DD127"/>
    <mergeCell ref="CI124:CJ124"/>
    <mergeCell ref="DE127:DK127"/>
    <mergeCell ref="CI125:CJ125"/>
    <mergeCell ref="CK124:CQ124"/>
    <mergeCell ref="CW124:DD124"/>
    <mergeCell ref="CK127:CQ127"/>
    <mergeCell ref="CI126:CJ126"/>
    <mergeCell ref="CK126:CQ126"/>
    <mergeCell ref="DE124:DK124"/>
    <mergeCell ref="B38:S38"/>
    <mergeCell ref="T38:W38"/>
    <mergeCell ref="X38:Z38"/>
    <mergeCell ref="AA38:AE38"/>
    <mergeCell ref="AF38:AL38"/>
    <mergeCell ref="AM38:AS38"/>
    <mergeCell ref="B39:S39"/>
    <mergeCell ref="T39:W39"/>
    <mergeCell ref="X39:Z39"/>
    <mergeCell ref="AA39:AE39"/>
    <mergeCell ref="AF39:AL39"/>
    <mergeCell ref="AM39:AS39"/>
    <mergeCell ref="B40:S40"/>
    <mergeCell ref="T40:W40"/>
    <mergeCell ref="X40:Z40"/>
    <mergeCell ref="AA40:AE40"/>
    <mergeCell ref="AF40:AL40"/>
    <mergeCell ref="AM40:AS40"/>
    <mergeCell ref="B41:S41"/>
    <mergeCell ref="T41:W41"/>
    <mergeCell ref="X41:Z41"/>
    <mergeCell ref="AA41:AE41"/>
    <mergeCell ref="AF41:AL41"/>
    <mergeCell ref="AM41:AS41"/>
    <mergeCell ref="B42:S42"/>
    <mergeCell ref="T42:W42"/>
    <mergeCell ref="X42:Z42"/>
    <mergeCell ref="AA42:AE42"/>
    <mergeCell ref="AF42:AL42"/>
    <mergeCell ref="AM42:AS42"/>
    <mergeCell ref="B43:S43"/>
    <mergeCell ref="T43:W43"/>
    <mergeCell ref="X43:Z43"/>
    <mergeCell ref="AA43:AE43"/>
    <mergeCell ref="AF43:AL43"/>
    <mergeCell ref="AM43:AS43"/>
    <mergeCell ref="B44:S44"/>
    <mergeCell ref="T44:W44"/>
    <mergeCell ref="X44:Z44"/>
    <mergeCell ref="AA44:AE44"/>
    <mergeCell ref="AF44:AL44"/>
    <mergeCell ref="AM44:AS44"/>
    <mergeCell ref="B45:S45"/>
    <mergeCell ref="T45:W45"/>
    <mergeCell ref="X45:Z45"/>
    <mergeCell ref="AA45:AE45"/>
    <mergeCell ref="AF45:AL45"/>
    <mergeCell ref="AM45:AS45"/>
    <mergeCell ref="B46:S46"/>
    <mergeCell ref="T46:W46"/>
    <mergeCell ref="X46:Z46"/>
    <mergeCell ref="AA46:AE46"/>
    <mergeCell ref="AF46:AL46"/>
    <mergeCell ref="AM46:AS46"/>
    <mergeCell ref="B47:S47"/>
    <mergeCell ref="T47:W47"/>
    <mergeCell ref="X47:Z47"/>
    <mergeCell ref="AA47:AE47"/>
    <mergeCell ref="AF47:AL47"/>
    <mergeCell ref="AM47:AS47"/>
    <mergeCell ref="B48:S48"/>
    <mergeCell ref="T48:W48"/>
    <mergeCell ref="X48:Z48"/>
    <mergeCell ref="AA48:AE48"/>
    <mergeCell ref="AF48:AL48"/>
    <mergeCell ref="AM48:AS48"/>
    <mergeCell ref="B49:S49"/>
    <mergeCell ref="T49:W49"/>
    <mergeCell ref="X49:Z49"/>
    <mergeCell ref="AA49:AE49"/>
    <mergeCell ref="AF49:AL49"/>
    <mergeCell ref="AM49:AS49"/>
  </mergeCells>
  <phoneticPr fontId="3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B53:AS54 E52:AS52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49" xr:uid="{00000000-0002-0000-0000-00000D000000}"/>
    <dataValidation imeMode="off" allowBlank="1" showInputMessage="1" showErrorMessage="1" prompt="数量を入力" sqref="T26:W49" xr:uid="{00000000-0002-0000-0000-00000E000000}"/>
    <dataValidation imeMode="off" allowBlank="1" showInputMessage="1" showErrorMessage="1" prompt="単価を入力" sqref="AA26:AE49" xr:uid="{00000000-0002-0000-0000-00000F000000}"/>
    <dataValidation imeMode="hiragana" allowBlank="1" showInputMessage="1" showErrorMessage="1" prompt="備考があれば入力" sqref="AN35:AS37 AM26:AM49 AN47:AS49" xr:uid="{00000000-0002-0000-0000-000010000000}"/>
    <dataValidation type="list" allowBlank="1" showInputMessage="1" showErrorMessage="1" sqref="AA2:AJ3" xr:uid="{00000000-0002-0000-0000-000011000000}">
      <formula1>$DD$116:$DD$120</formula1>
    </dataValidation>
    <dataValidation type="list" imeMode="hiragana" allowBlank="1" showInputMessage="1" showErrorMessage="1" prompt="ボタンを押し単位を入力" sqref="X26:Z49" xr:uid="{00000000-0002-0000-0000-000012000000}">
      <formula1>$CS$116:$CS$128</formula1>
    </dataValidation>
    <dataValidation type="list" allowBlank="1" showInputMessage="1" showErrorMessage="1" sqref="T7:V8" xr:uid="{00000000-0002-0000-0000-000013000000}">
      <formula1>$CE$121:$CE$123</formula1>
    </dataValidation>
    <dataValidation type="list" allowBlank="1" showInputMessage="1" showErrorMessage="1" sqref="DM116:DR116" xr:uid="{00000000-0002-0000-0000-000014000000}">
      <formula1>$EM$114:$EM$115</formula1>
    </dataValidation>
    <dataValidation allowBlank="1" showInputMessage="1" showErrorMessage="1" promptTitle="シート数を入力" prompt="明細書が出ていない状態でシート枚数を表示" sqref="CE118" xr:uid="{00000000-0002-0000-0000-000015000000}"/>
    <dataValidation allowBlank="1" showInputMessage="1" showErrorMessage="1" promptTitle="明細書01の状態" prompt="明細書01が表示されているときは 0_x000a_明細書01が非表示のときは 1" sqref="CE119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rintOptions horizontalCentered="1" verticalCentered="1"/>
  <pageMargins left="0.43307086614173229" right="0.47244094488188981" top="0.39370078740157483" bottom="0.47244094488188981" header="0.39370078740157483" footer="0.31496062992125984"/>
  <pageSetup paperSize="9" scale="91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32" r:id="rId4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110</xdr:row>
                    <xdr:rowOff>66675</xdr:rowOff>
                  </from>
                  <to>
                    <xdr:col>82</xdr:col>
                    <xdr:colOff>57150</xdr:colOff>
                    <xdr:row>111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5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412</xdr:row>
                    <xdr:rowOff>104775</xdr:rowOff>
                  </from>
                  <to>
                    <xdr:col>156</xdr:col>
                    <xdr:colOff>38100</xdr:colOff>
                    <xdr:row>413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6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415</xdr:row>
                    <xdr:rowOff>104775</xdr:rowOff>
                  </from>
                  <to>
                    <xdr:col>156</xdr:col>
                    <xdr:colOff>38100</xdr:colOff>
                    <xdr:row>416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7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414</xdr:row>
                    <xdr:rowOff>19050</xdr:rowOff>
                  </from>
                  <to>
                    <xdr:col>156</xdr:col>
                    <xdr:colOff>38100</xdr:colOff>
                    <xdr:row>415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8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411</xdr:row>
                    <xdr:rowOff>0</xdr:rowOff>
                  </from>
                  <to>
                    <xdr:col>156</xdr:col>
                    <xdr:colOff>38100</xdr:colOff>
                    <xdr:row>412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9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110</xdr:row>
                    <xdr:rowOff>66675</xdr:rowOff>
                  </from>
                  <to>
                    <xdr:col>88</xdr:col>
                    <xdr:colOff>133350</xdr:colOff>
                    <xdr:row>111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10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130</xdr:row>
                    <xdr:rowOff>9525</xdr:rowOff>
                  </from>
                  <to>
                    <xdr:col>115</xdr:col>
                    <xdr:colOff>447675</xdr:colOff>
                    <xdr:row>130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11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131</xdr:row>
                    <xdr:rowOff>19050</xdr:rowOff>
                  </from>
                  <to>
                    <xdr:col>115</xdr:col>
                    <xdr:colOff>447675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12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110</xdr:row>
                    <xdr:rowOff>57150</xdr:rowOff>
                  </from>
                  <to>
                    <xdr:col>91</xdr:col>
                    <xdr:colOff>142875</xdr:colOff>
                    <xdr:row>111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13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110</xdr:row>
                    <xdr:rowOff>57150</xdr:rowOff>
                  </from>
                  <to>
                    <xdr:col>97</xdr:col>
                    <xdr:colOff>85725</xdr:colOff>
                    <xdr:row>111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8EF9-0DFA-43B0-B68C-C83AC769F4C6}">
  <sheetPr>
    <pageSetUpPr fitToPage="1"/>
  </sheetPr>
  <dimension ref="A1:FI654"/>
  <sheetViews>
    <sheetView showGridLines="0" showRowColHeaders="0" topLeftCell="A11" workbookViewId="0">
      <selection activeCell="R10" sqref="R10"/>
    </sheetView>
  </sheetViews>
  <sheetFormatPr defaultColWidth="2.125" defaultRowHeight="15" customHeight="1" x14ac:dyDescent="0.15"/>
  <cols>
    <col min="2" max="19" width="2.625" customWidth="1"/>
    <col min="20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375" customWidth="1"/>
    <col min="36" max="36" width="1.375" customWidth="1"/>
    <col min="37" max="37" width="1.625" customWidth="1"/>
    <col min="38" max="38" width="2.37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37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1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1"/>
      <c r="E2" s="3"/>
      <c r="F2" s="3"/>
      <c r="G2" s="55"/>
      <c r="H2" s="3"/>
      <c r="I2" s="56"/>
      <c r="J2" s="56"/>
      <c r="L2" s="51"/>
      <c r="M2" s="197" t="s">
        <v>0</v>
      </c>
      <c r="N2" s="197"/>
      <c r="O2" s="197"/>
      <c r="P2" s="197"/>
      <c r="Q2" s="197"/>
      <c r="R2" s="197"/>
      <c r="W2" s="4"/>
      <c r="X2" s="4"/>
      <c r="Y2" s="4"/>
      <c r="Z2" s="4"/>
      <c r="AA2" s="164" t="s">
        <v>1</v>
      </c>
      <c r="AB2" s="164"/>
      <c r="AC2" s="164"/>
      <c r="AD2" s="164"/>
      <c r="AE2" s="164"/>
      <c r="AF2" s="164"/>
      <c r="AG2" s="164"/>
      <c r="AH2" s="164"/>
      <c r="AI2" s="164"/>
      <c r="AJ2" s="164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E3" s="190" t="s">
        <v>2</v>
      </c>
      <c r="F3" s="190"/>
      <c r="G3" s="190"/>
      <c r="H3" s="190"/>
      <c r="I3" s="56"/>
      <c r="J3" s="56"/>
      <c r="N3" s="50"/>
      <c r="O3" s="50"/>
      <c r="P3" s="50"/>
      <c r="Q3" s="50"/>
      <c r="R3" s="50"/>
      <c r="W3" s="4"/>
      <c r="X3" s="4"/>
      <c r="Y3" s="4"/>
      <c r="Z3" s="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L3" s="5" t="s">
        <v>3</v>
      </c>
      <c r="AM3" s="5"/>
      <c r="AN3" s="185" t="s">
        <v>4</v>
      </c>
      <c r="AO3" s="185"/>
      <c r="AP3" s="185"/>
      <c r="AQ3" s="185"/>
      <c r="AR3" s="185"/>
      <c r="AS3" s="74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1"/>
      <c r="D4" s="188" t="s">
        <v>5</v>
      </c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D5" s="198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G5" s="77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D6" s="80"/>
      <c r="E6" s="80"/>
      <c r="F6" s="189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80"/>
      <c r="T6" s="76"/>
      <c r="U6" s="76"/>
      <c r="V6" s="6"/>
      <c r="W6" s="6"/>
      <c r="X6" s="6"/>
      <c r="Y6" s="6"/>
      <c r="Z6" s="6"/>
      <c r="AA6" s="6"/>
      <c r="AB6" s="6"/>
      <c r="AC6" s="6"/>
      <c r="AG6" s="8" t="s">
        <v>6</v>
      </c>
      <c r="AH6" s="8"/>
      <c r="AI6" s="193">
        <v>7</v>
      </c>
      <c r="AJ6" s="193"/>
      <c r="AK6" s="193"/>
      <c r="AL6" s="77" t="s">
        <v>7</v>
      </c>
      <c r="AM6" s="193">
        <v>6</v>
      </c>
      <c r="AN6" s="193"/>
      <c r="AO6" s="77" t="s">
        <v>8</v>
      </c>
      <c r="AP6" s="193">
        <v>17</v>
      </c>
      <c r="AQ6" s="193"/>
      <c r="AR6" s="23" t="s">
        <v>9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1"/>
      <c r="D7" s="192" t="s">
        <v>10</v>
      </c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 t="s">
        <v>86</v>
      </c>
      <c r="U7" s="191"/>
      <c r="V7" s="191"/>
      <c r="W7" s="6"/>
      <c r="X7" s="6"/>
      <c r="Y7" s="6"/>
      <c r="Z7" s="6"/>
      <c r="AA7" s="6"/>
      <c r="AB7" s="6"/>
      <c r="AC7" s="6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1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"/>
      <c r="V9" s="7"/>
      <c r="W9" s="7"/>
      <c r="X9" s="7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1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"/>
      <c r="V10" s="7"/>
      <c r="W10" s="7"/>
      <c r="X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1"/>
      <c r="D11" s="61" t="s">
        <v>12</v>
      </c>
      <c r="E11" s="62"/>
      <c r="F11" s="62"/>
      <c r="G11" s="62"/>
      <c r="H11" s="201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61"/>
      <c r="U11" s="62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1"/>
      <c r="D12" s="24"/>
      <c r="E12" s="22"/>
      <c r="F12" s="22"/>
      <c r="G12" s="22"/>
      <c r="H12" s="24"/>
      <c r="I12" s="22"/>
      <c r="J12" s="25"/>
      <c r="K12" s="25"/>
      <c r="L12" s="25"/>
      <c r="M12" s="24"/>
      <c r="N12" s="25"/>
      <c r="O12" s="25"/>
      <c r="P12" s="24"/>
      <c r="Q12" s="25"/>
      <c r="R12" s="25"/>
      <c r="S12" s="26"/>
      <c r="T12" s="26"/>
      <c r="U12" s="22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1"/>
      <c r="D13" s="61" t="s">
        <v>13</v>
      </c>
      <c r="E13" s="62"/>
      <c r="F13" s="62"/>
      <c r="G13" s="62"/>
      <c r="H13" s="174" t="s">
        <v>14</v>
      </c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62"/>
      <c r="Z13" s="64"/>
      <c r="AA13" s="64"/>
      <c r="AB13" s="175" t="s">
        <v>15</v>
      </c>
      <c r="AC13" s="175"/>
      <c r="AD13" s="175"/>
      <c r="AE13" s="176" t="s">
        <v>16</v>
      </c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1"/>
      <c r="D14" s="24"/>
      <c r="E14" s="22"/>
      <c r="F14" s="22"/>
      <c r="G14" s="22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2"/>
      <c r="Z14" s="64"/>
      <c r="AA14" s="64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4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1"/>
      <c r="D15" s="61" t="s">
        <v>17</v>
      </c>
      <c r="E15" s="62"/>
      <c r="F15" s="62"/>
      <c r="G15" s="62"/>
      <c r="I15" s="71" t="s">
        <v>18</v>
      </c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63"/>
      <c r="Z15" s="64"/>
      <c r="AA15" s="64"/>
      <c r="AB15" s="177" t="s">
        <v>19</v>
      </c>
      <c r="AC15" s="177"/>
      <c r="AD15" s="177"/>
      <c r="AE15" s="176" t="s">
        <v>20</v>
      </c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6"/>
      <c r="AT15" s="176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1"/>
      <c r="D16" s="24"/>
      <c r="E16" s="22"/>
      <c r="F16" s="22"/>
      <c r="G16" s="22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2"/>
      <c r="Z16" s="64"/>
      <c r="AA16" s="64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4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1"/>
      <c r="B17" s="22"/>
      <c r="D17" s="65"/>
      <c r="E17" s="5"/>
      <c r="F17" s="5"/>
      <c r="G17" s="5"/>
      <c r="H17" s="5"/>
      <c r="I17" s="5"/>
      <c r="J17" s="185"/>
      <c r="K17" s="185"/>
      <c r="L17" s="185"/>
      <c r="M17" s="5"/>
      <c r="N17" s="185"/>
      <c r="O17" s="185"/>
      <c r="P17" s="5"/>
      <c r="Q17" s="185"/>
      <c r="R17" s="185"/>
      <c r="S17" s="5"/>
      <c r="T17" s="5"/>
      <c r="U17" s="5"/>
      <c r="W17" s="64"/>
      <c r="X17" s="22"/>
      <c r="AB17" s="65" t="s">
        <v>21</v>
      </c>
      <c r="AC17" s="65"/>
      <c r="AD17" s="65"/>
      <c r="AE17" s="65"/>
      <c r="AF17" s="174" t="s">
        <v>22</v>
      </c>
      <c r="AG17" s="174"/>
      <c r="AH17" s="174"/>
      <c r="AI17" s="174"/>
      <c r="AJ17" s="174"/>
      <c r="AK17" s="174"/>
      <c r="AL17" s="174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1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1"/>
      <c r="B19" s="64"/>
      <c r="C19" s="64"/>
      <c r="D19" s="64"/>
      <c r="E19" s="64"/>
      <c r="F19" s="64"/>
      <c r="G19" s="64"/>
      <c r="H19" s="64"/>
      <c r="I19" s="64"/>
      <c r="J19" s="70">
        <f>H51</f>
        <v>1358500</v>
      </c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AB19" s="165"/>
      <c r="AC19" s="166"/>
      <c r="AD19" s="166"/>
      <c r="AE19" s="166"/>
      <c r="AF19" s="167"/>
      <c r="AG19" s="165"/>
      <c r="AH19" s="166"/>
      <c r="AI19" s="166"/>
      <c r="AJ19" s="166"/>
      <c r="AK19" s="167"/>
      <c r="AL19" s="165"/>
      <c r="AM19" s="166"/>
      <c r="AN19" s="166"/>
      <c r="AO19" s="166"/>
      <c r="AP19" s="167"/>
      <c r="AQ19" s="7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1"/>
      <c r="B20" s="64"/>
      <c r="C20" s="64"/>
      <c r="D20" s="186" t="s">
        <v>23</v>
      </c>
      <c r="E20" s="186"/>
      <c r="F20" s="186"/>
      <c r="G20" s="186"/>
      <c r="H20" s="186"/>
      <c r="I20" s="186"/>
      <c r="J20" s="195">
        <f>H51</f>
        <v>1358500</v>
      </c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AB20" s="168"/>
      <c r="AC20" s="169"/>
      <c r="AD20" s="169"/>
      <c r="AE20" s="169"/>
      <c r="AF20" s="170"/>
      <c r="AG20" s="168"/>
      <c r="AH20" s="169"/>
      <c r="AI20" s="169"/>
      <c r="AJ20" s="169"/>
      <c r="AK20" s="170"/>
      <c r="AL20" s="168"/>
      <c r="AM20" s="169"/>
      <c r="AN20" s="169"/>
      <c r="AO20" s="169"/>
      <c r="AP20" s="170"/>
      <c r="AQ20" s="7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1"/>
      <c r="B21" s="64"/>
      <c r="C21" s="64"/>
      <c r="D21" s="187"/>
      <c r="E21" s="187"/>
      <c r="F21" s="187"/>
      <c r="G21" s="187"/>
      <c r="H21" s="187"/>
      <c r="I21" s="187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AB21" s="168"/>
      <c r="AC21" s="169"/>
      <c r="AD21" s="169"/>
      <c r="AE21" s="169"/>
      <c r="AF21" s="170"/>
      <c r="AG21" s="168"/>
      <c r="AH21" s="169"/>
      <c r="AI21" s="169"/>
      <c r="AJ21" s="169"/>
      <c r="AK21" s="170"/>
      <c r="AL21" s="168"/>
      <c r="AM21" s="169"/>
      <c r="AN21" s="169"/>
      <c r="AO21" s="169"/>
      <c r="AP21" s="170"/>
      <c r="AQ21" s="7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1"/>
      <c r="B22" s="194" t="s">
        <v>24</v>
      </c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64"/>
      <c r="AB22" s="171"/>
      <c r="AC22" s="172"/>
      <c r="AD22" s="172"/>
      <c r="AE22" s="172"/>
      <c r="AF22" s="173"/>
      <c r="AG22" s="171"/>
      <c r="AH22" s="172"/>
      <c r="AI22" s="172"/>
      <c r="AJ22" s="172"/>
      <c r="AK22" s="173"/>
      <c r="AL22" s="171"/>
      <c r="AM22" s="172"/>
      <c r="AN22" s="172"/>
      <c r="AO22" s="172"/>
      <c r="AP22" s="173"/>
      <c r="AQ22" s="7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1"/>
      <c r="B24" s="158" t="s">
        <v>25</v>
      </c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60"/>
      <c r="T24" s="150" t="s">
        <v>26</v>
      </c>
      <c r="U24" s="151"/>
      <c r="V24" s="151"/>
      <c r="W24" s="151"/>
      <c r="X24" s="151"/>
      <c r="Y24" s="151"/>
      <c r="Z24" s="156"/>
      <c r="AA24" s="150" t="s">
        <v>27</v>
      </c>
      <c r="AB24" s="151"/>
      <c r="AC24" s="151"/>
      <c r="AD24" s="151"/>
      <c r="AE24" s="151"/>
      <c r="AF24" s="150" t="s">
        <v>28</v>
      </c>
      <c r="AG24" s="151"/>
      <c r="AH24" s="151"/>
      <c r="AI24" s="151"/>
      <c r="AJ24" s="151"/>
      <c r="AK24" s="151"/>
      <c r="AL24" s="156"/>
      <c r="AM24" s="150" t="s">
        <v>29</v>
      </c>
      <c r="AN24" s="151"/>
      <c r="AO24" s="151"/>
      <c r="AP24" s="151"/>
      <c r="AQ24" s="151"/>
      <c r="AR24" s="151"/>
      <c r="AS24" s="154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1"/>
      <c r="B25" s="161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3"/>
      <c r="T25" s="152"/>
      <c r="U25" s="153"/>
      <c r="V25" s="153"/>
      <c r="W25" s="153"/>
      <c r="X25" s="153"/>
      <c r="Y25" s="153"/>
      <c r="Z25" s="157"/>
      <c r="AA25" s="152"/>
      <c r="AB25" s="153"/>
      <c r="AC25" s="153"/>
      <c r="AD25" s="153"/>
      <c r="AE25" s="153"/>
      <c r="AF25" s="152"/>
      <c r="AG25" s="153"/>
      <c r="AH25" s="153"/>
      <c r="AI25" s="153"/>
      <c r="AJ25" s="153"/>
      <c r="AK25" s="153"/>
      <c r="AL25" s="157"/>
      <c r="AM25" s="152"/>
      <c r="AN25" s="153"/>
      <c r="AO25" s="153"/>
      <c r="AP25" s="153"/>
      <c r="AQ25" s="153"/>
      <c r="AR25" s="153"/>
      <c r="AS25" s="15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20.25" customHeight="1" x14ac:dyDescent="0.15">
      <c r="A26" s="1"/>
      <c r="B26" s="202" t="s">
        <v>119</v>
      </c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4"/>
      <c r="T26" s="84"/>
      <c r="U26" s="85"/>
      <c r="V26" s="85"/>
      <c r="W26" s="85"/>
      <c r="X26" s="86" t="s">
        <v>31</v>
      </c>
      <c r="Y26" s="86"/>
      <c r="Z26" s="87"/>
      <c r="AA26" s="84">
        <v>270000</v>
      </c>
      <c r="AB26" s="85"/>
      <c r="AC26" s="85"/>
      <c r="AD26" s="85"/>
      <c r="AE26" s="88"/>
      <c r="AF26" s="84">
        <f t="shared" ref="AF26:AF27" si="0">IF(T26="",1*AA26,T26*AA26)</f>
        <v>270000</v>
      </c>
      <c r="AG26" s="85"/>
      <c r="AH26" s="85"/>
      <c r="AI26" s="85"/>
      <c r="AJ26" s="85"/>
      <c r="AK26" s="85"/>
      <c r="AL26" s="88"/>
      <c r="AM26" s="89" t="s">
        <v>120</v>
      </c>
      <c r="AN26" s="82"/>
      <c r="AO26" s="82"/>
      <c r="AP26" s="82"/>
      <c r="AQ26" s="82"/>
      <c r="AR26" s="82"/>
      <c r="AS26" s="90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20.25" customHeight="1" x14ac:dyDescent="0.15">
      <c r="A27" s="1"/>
      <c r="B27" s="202" t="s">
        <v>121</v>
      </c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4"/>
      <c r="T27" s="84"/>
      <c r="U27" s="85"/>
      <c r="V27" s="85"/>
      <c r="W27" s="85"/>
      <c r="X27" s="86" t="s">
        <v>31</v>
      </c>
      <c r="Y27" s="86"/>
      <c r="Z27" s="87"/>
      <c r="AA27" s="84">
        <v>150000</v>
      </c>
      <c r="AB27" s="85"/>
      <c r="AC27" s="85"/>
      <c r="AD27" s="85"/>
      <c r="AE27" s="88"/>
      <c r="AF27" s="84">
        <f t="shared" si="0"/>
        <v>150000</v>
      </c>
      <c r="AG27" s="85"/>
      <c r="AH27" s="85"/>
      <c r="AI27" s="85"/>
      <c r="AJ27" s="85"/>
      <c r="AK27" s="85"/>
      <c r="AL27" s="88"/>
      <c r="AM27" s="89" t="s">
        <v>122</v>
      </c>
      <c r="AN27" s="82"/>
      <c r="AO27" s="82"/>
      <c r="AP27" s="82"/>
      <c r="AQ27" s="82"/>
      <c r="AR27" s="82"/>
      <c r="AS27" s="90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20.25" customHeight="1" x14ac:dyDescent="0.15">
      <c r="A28" s="1"/>
      <c r="B28" s="202" t="s">
        <v>123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4"/>
      <c r="T28" s="84"/>
      <c r="U28" s="85"/>
      <c r="V28" s="85"/>
      <c r="W28" s="85"/>
      <c r="X28" s="86" t="s">
        <v>31</v>
      </c>
      <c r="Y28" s="86"/>
      <c r="Z28" s="87"/>
      <c r="AA28" s="84">
        <v>150000</v>
      </c>
      <c r="AB28" s="85"/>
      <c r="AC28" s="85"/>
      <c r="AD28" s="85"/>
      <c r="AE28" s="88"/>
      <c r="AF28" s="84">
        <f>IF(T28="",1*AA28,T28*AA28)</f>
        <v>150000</v>
      </c>
      <c r="AG28" s="85"/>
      <c r="AH28" s="85"/>
      <c r="AI28" s="85"/>
      <c r="AJ28" s="85"/>
      <c r="AK28" s="85"/>
      <c r="AL28" s="88"/>
      <c r="AM28" s="89" t="s">
        <v>124</v>
      </c>
      <c r="AN28" s="82"/>
      <c r="AO28" s="82"/>
      <c r="AP28" s="82"/>
      <c r="AQ28" s="82"/>
      <c r="AR28" s="82"/>
      <c r="AS28" s="90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20.25" customHeight="1" x14ac:dyDescent="0.15">
      <c r="A29" s="1"/>
      <c r="B29" s="202" t="s">
        <v>125</v>
      </c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4"/>
      <c r="T29" s="84"/>
      <c r="U29" s="85"/>
      <c r="V29" s="85"/>
      <c r="W29" s="85"/>
      <c r="X29" s="86" t="s">
        <v>31</v>
      </c>
      <c r="Y29" s="86"/>
      <c r="Z29" s="87"/>
      <c r="AA29" s="84">
        <v>100000</v>
      </c>
      <c r="AB29" s="85"/>
      <c r="AC29" s="85"/>
      <c r="AD29" s="85"/>
      <c r="AE29" s="88"/>
      <c r="AF29" s="84">
        <f t="shared" ref="AF29:AF32" si="1">IF(T29="",1*AA29,T29*AA29)</f>
        <v>100000</v>
      </c>
      <c r="AG29" s="85"/>
      <c r="AH29" s="85"/>
      <c r="AI29" s="85"/>
      <c r="AJ29" s="85"/>
      <c r="AK29" s="85"/>
      <c r="AL29" s="88"/>
      <c r="AM29" s="89" t="s">
        <v>126</v>
      </c>
      <c r="AN29" s="82"/>
      <c r="AO29" s="82"/>
      <c r="AP29" s="82"/>
      <c r="AQ29" s="82"/>
      <c r="AR29" s="82"/>
      <c r="AS29" s="90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20.25" customHeight="1" x14ac:dyDescent="0.15">
      <c r="A30" s="1"/>
      <c r="B30" s="202" t="s">
        <v>125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4"/>
      <c r="T30" s="84"/>
      <c r="U30" s="85"/>
      <c r="V30" s="85"/>
      <c r="W30" s="85"/>
      <c r="X30" s="86" t="s">
        <v>31</v>
      </c>
      <c r="Y30" s="86"/>
      <c r="Z30" s="87"/>
      <c r="AA30" s="84">
        <v>120000</v>
      </c>
      <c r="AB30" s="85"/>
      <c r="AC30" s="85"/>
      <c r="AD30" s="85"/>
      <c r="AE30" s="88"/>
      <c r="AF30" s="84">
        <f t="shared" si="1"/>
        <v>120000</v>
      </c>
      <c r="AG30" s="85"/>
      <c r="AH30" s="85"/>
      <c r="AI30" s="85"/>
      <c r="AJ30" s="85"/>
      <c r="AK30" s="85"/>
      <c r="AL30" s="88"/>
      <c r="AM30" s="89" t="s">
        <v>127</v>
      </c>
      <c r="AN30" s="82"/>
      <c r="AO30" s="82"/>
      <c r="AP30" s="82"/>
      <c r="AQ30" s="82"/>
      <c r="AR30" s="82"/>
      <c r="AS30" s="90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69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20.25" customHeight="1" x14ac:dyDescent="0.15">
      <c r="A31" s="1"/>
      <c r="B31" s="202" t="s">
        <v>128</v>
      </c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4"/>
      <c r="T31" s="84"/>
      <c r="U31" s="85"/>
      <c r="V31" s="85"/>
      <c r="W31" s="85"/>
      <c r="X31" s="86" t="s">
        <v>31</v>
      </c>
      <c r="Y31" s="86"/>
      <c r="Z31" s="87"/>
      <c r="AA31" s="84">
        <v>125000</v>
      </c>
      <c r="AB31" s="85"/>
      <c r="AC31" s="85"/>
      <c r="AD31" s="85"/>
      <c r="AE31" s="88"/>
      <c r="AF31" s="84">
        <f t="shared" si="1"/>
        <v>125000</v>
      </c>
      <c r="AG31" s="85"/>
      <c r="AH31" s="85"/>
      <c r="AI31" s="85"/>
      <c r="AJ31" s="85"/>
      <c r="AK31" s="85"/>
      <c r="AL31" s="88"/>
      <c r="AM31" s="89" t="s">
        <v>126</v>
      </c>
      <c r="AN31" s="82"/>
      <c r="AO31" s="82"/>
      <c r="AP31" s="82"/>
      <c r="AQ31" s="82"/>
      <c r="AR31" s="82"/>
      <c r="AS31" s="90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20.25" customHeight="1" x14ac:dyDescent="0.15">
      <c r="A32" s="1"/>
      <c r="B32" s="202" t="s">
        <v>128</v>
      </c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4"/>
      <c r="T32" s="84"/>
      <c r="U32" s="85"/>
      <c r="V32" s="85"/>
      <c r="W32" s="85"/>
      <c r="X32" s="86" t="s">
        <v>31</v>
      </c>
      <c r="Y32" s="86"/>
      <c r="Z32" s="87"/>
      <c r="AA32" s="84">
        <v>145000</v>
      </c>
      <c r="AB32" s="85"/>
      <c r="AC32" s="85"/>
      <c r="AD32" s="85"/>
      <c r="AE32" s="88"/>
      <c r="AF32" s="84">
        <f t="shared" si="1"/>
        <v>145000</v>
      </c>
      <c r="AG32" s="85"/>
      <c r="AH32" s="85"/>
      <c r="AI32" s="85"/>
      <c r="AJ32" s="85"/>
      <c r="AK32" s="85"/>
      <c r="AL32" s="88"/>
      <c r="AM32" s="89" t="s">
        <v>127</v>
      </c>
      <c r="AN32" s="82"/>
      <c r="AO32" s="82"/>
      <c r="AP32" s="82"/>
      <c r="AQ32" s="82"/>
      <c r="AR32" s="82"/>
      <c r="AS32" s="90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20.25" customHeight="1" x14ac:dyDescent="0.15">
      <c r="A33" s="1"/>
      <c r="B33" s="202" t="s">
        <v>129</v>
      </c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4"/>
      <c r="T33" s="84"/>
      <c r="U33" s="85"/>
      <c r="V33" s="85"/>
      <c r="W33" s="85"/>
      <c r="X33" s="86" t="s">
        <v>31</v>
      </c>
      <c r="Y33" s="86"/>
      <c r="Z33" s="87"/>
      <c r="AA33" s="84">
        <v>150000</v>
      </c>
      <c r="AB33" s="85"/>
      <c r="AC33" s="85"/>
      <c r="AD33" s="85"/>
      <c r="AE33" s="88"/>
      <c r="AF33" s="84">
        <f>IF(T33="",1*AA33,T33*AA33)</f>
        <v>150000</v>
      </c>
      <c r="AG33" s="85"/>
      <c r="AH33" s="85"/>
      <c r="AI33" s="85"/>
      <c r="AJ33" s="85"/>
      <c r="AK33" s="85"/>
      <c r="AL33" s="88"/>
      <c r="AM33" s="89" t="s">
        <v>130</v>
      </c>
      <c r="AN33" s="82"/>
      <c r="AO33" s="82"/>
      <c r="AP33" s="82"/>
      <c r="AQ33" s="82"/>
      <c r="AR33" s="82"/>
      <c r="AS33" s="90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20.25" customHeight="1" x14ac:dyDescent="0.15">
      <c r="A34" s="1"/>
      <c r="B34" s="202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4"/>
      <c r="T34" s="84"/>
      <c r="U34" s="85"/>
      <c r="V34" s="85"/>
      <c r="W34" s="85"/>
      <c r="X34" s="86" t="s">
        <v>31</v>
      </c>
      <c r="Y34" s="86"/>
      <c r="Z34" s="87"/>
      <c r="AA34" s="84"/>
      <c r="AB34" s="85"/>
      <c r="AC34" s="85"/>
      <c r="AD34" s="85"/>
      <c r="AE34" s="88"/>
      <c r="AF34" s="84">
        <f>IF(T34="",1*AA34,T34*AA34)</f>
        <v>0</v>
      </c>
      <c r="AG34" s="85"/>
      <c r="AH34" s="85"/>
      <c r="AI34" s="85"/>
      <c r="AJ34" s="85"/>
      <c r="AK34" s="85"/>
      <c r="AL34" s="88"/>
      <c r="AM34" s="89"/>
      <c r="AN34" s="82"/>
      <c r="AO34" s="82"/>
      <c r="AP34" s="82"/>
      <c r="AQ34" s="82"/>
      <c r="AR34" s="82"/>
      <c r="AS34" s="90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20.25" customHeight="1" x14ac:dyDescent="0.15">
      <c r="A35" s="1"/>
      <c r="B35" s="202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4"/>
      <c r="T35" s="84"/>
      <c r="U35" s="85"/>
      <c r="V35" s="85"/>
      <c r="W35" s="85"/>
      <c r="X35" s="86" t="s">
        <v>31</v>
      </c>
      <c r="Y35" s="86"/>
      <c r="Z35" s="87"/>
      <c r="AA35" s="84"/>
      <c r="AB35" s="85"/>
      <c r="AC35" s="85"/>
      <c r="AD35" s="85"/>
      <c r="AE35" s="88"/>
      <c r="AF35" s="84">
        <f>IF(T35="",1*AA35,T35*AA35)</f>
        <v>0</v>
      </c>
      <c r="AG35" s="85"/>
      <c r="AH35" s="85"/>
      <c r="AI35" s="85"/>
      <c r="AJ35" s="85"/>
      <c r="AK35" s="85"/>
      <c r="AL35" s="88"/>
      <c r="AM35" s="89"/>
      <c r="AN35" s="82"/>
      <c r="AO35" s="82"/>
      <c r="AP35" s="82"/>
      <c r="AQ35" s="82"/>
      <c r="AR35" s="82"/>
      <c r="AS35" s="90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20.25" customHeight="1" x14ac:dyDescent="0.15">
      <c r="A36" s="1"/>
      <c r="B36" s="202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4"/>
      <c r="T36" s="84"/>
      <c r="U36" s="85"/>
      <c r="V36" s="85"/>
      <c r="W36" s="85"/>
      <c r="X36" s="86" t="s">
        <v>31</v>
      </c>
      <c r="Y36" s="86"/>
      <c r="Z36" s="87"/>
      <c r="AA36" s="84"/>
      <c r="AB36" s="85"/>
      <c r="AC36" s="85"/>
      <c r="AD36" s="85"/>
      <c r="AE36" s="88"/>
      <c r="AF36" s="84">
        <f>IF(T36="",1*AA36,T36*AA36)</f>
        <v>0</v>
      </c>
      <c r="AG36" s="85"/>
      <c r="AH36" s="85"/>
      <c r="AI36" s="85"/>
      <c r="AJ36" s="85"/>
      <c r="AK36" s="85"/>
      <c r="AL36" s="88"/>
      <c r="AM36" s="89"/>
      <c r="AN36" s="82"/>
      <c r="AO36" s="82"/>
      <c r="AP36" s="82"/>
      <c r="AQ36" s="82"/>
      <c r="AR36" s="82"/>
      <c r="AS36" s="90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20.25" customHeight="1" x14ac:dyDescent="0.15">
      <c r="A37" s="1"/>
      <c r="B37" s="202" t="s">
        <v>131</v>
      </c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4"/>
      <c r="T37" s="91"/>
      <c r="U37" s="92"/>
      <c r="V37" s="92"/>
      <c r="W37" s="92"/>
      <c r="X37" s="93" t="s">
        <v>31</v>
      </c>
      <c r="Y37" s="93"/>
      <c r="Z37" s="94"/>
      <c r="AA37" s="91">
        <v>25000</v>
      </c>
      <c r="AB37" s="92"/>
      <c r="AC37" s="92"/>
      <c r="AD37" s="92"/>
      <c r="AE37" s="95"/>
      <c r="AF37" s="91">
        <f>IF(T37="",1*AA37,T37*AA37)</f>
        <v>25000</v>
      </c>
      <c r="AG37" s="92"/>
      <c r="AH37" s="92"/>
      <c r="AI37" s="92"/>
      <c r="AJ37" s="92"/>
      <c r="AK37" s="92"/>
      <c r="AL37" s="95"/>
      <c r="AM37" s="89"/>
      <c r="AN37" s="82"/>
      <c r="AO37" s="82"/>
      <c r="AP37" s="82"/>
      <c r="AQ37" s="82"/>
      <c r="AR37" s="82"/>
      <c r="AS37" s="90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20.25" customHeight="1" x14ac:dyDescent="0.15">
      <c r="A38" s="1"/>
      <c r="B38" s="81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3"/>
      <c r="T38" s="84"/>
      <c r="U38" s="85"/>
      <c r="V38" s="85"/>
      <c r="W38" s="85"/>
      <c r="X38" s="86"/>
      <c r="Y38" s="86"/>
      <c r="Z38" s="87"/>
      <c r="AA38" s="84"/>
      <c r="AB38" s="85"/>
      <c r="AC38" s="85"/>
      <c r="AD38" s="85"/>
      <c r="AE38" s="88"/>
      <c r="AF38" s="84"/>
      <c r="AG38" s="85"/>
      <c r="AH38" s="85"/>
      <c r="AI38" s="85"/>
      <c r="AJ38" s="85"/>
      <c r="AK38" s="85"/>
      <c r="AL38" s="88"/>
      <c r="AM38" s="89"/>
      <c r="AN38" s="82"/>
      <c r="AO38" s="82"/>
      <c r="AP38" s="82"/>
      <c r="AQ38" s="82"/>
      <c r="AR38" s="82"/>
      <c r="AS38" s="90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20.25" customHeight="1" x14ac:dyDescent="0.15">
      <c r="A39" s="1"/>
      <c r="B39" s="81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3"/>
      <c r="T39" s="84"/>
      <c r="U39" s="85"/>
      <c r="V39" s="85"/>
      <c r="W39" s="85"/>
      <c r="X39" s="86"/>
      <c r="Y39" s="86"/>
      <c r="Z39" s="87"/>
      <c r="AA39" s="84"/>
      <c r="AB39" s="85"/>
      <c r="AC39" s="85"/>
      <c r="AD39" s="85"/>
      <c r="AE39" s="88"/>
      <c r="AF39" s="84"/>
      <c r="AG39" s="85"/>
      <c r="AH39" s="85"/>
      <c r="AI39" s="85"/>
      <c r="AJ39" s="85"/>
      <c r="AK39" s="85"/>
      <c r="AL39" s="88"/>
      <c r="AM39" s="89"/>
      <c r="AN39" s="82"/>
      <c r="AO39" s="82"/>
      <c r="AP39" s="82"/>
      <c r="AQ39" s="82"/>
      <c r="AR39" s="82"/>
      <c r="AS39" s="90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20.25" customHeight="1" x14ac:dyDescent="0.15">
      <c r="A40" s="1"/>
      <c r="B40" s="81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3"/>
      <c r="T40" s="84"/>
      <c r="U40" s="85"/>
      <c r="V40" s="85"/>
      <c r="W40" s="85"/>
      <c r="X40" s="86"/>
      <c r="Y40" s="86"/>
      <c r="Z40" s="87"/>
      <c r="AA40" s="84"/>
      <c r="AB40" s="85"/>
      <c r="AC40" s="85"/>
      <c r="AD40" s="85"/>
      <c r="AE40" s="88"/>
      <c r="AF40" s="84"/>
      <c r="AG40" s="85"/>
      <c r="AH40" s="85"/>
      <c r="AI40" s="85"/>
      <c r="AJ40" s="85"/>
      <c r="AK40" s="85"/>
      <c r="AL40" s="88"/>
      <c r="AM40" s="89"/>
      <c r="AN40" s="82"/>
      <c r="AO40" s="82"/>
      <c r="AP40" s="82"/>
      <c r="AQ40" s="82"/>
      <c r="AR40" s="82"/>
      <c r="AS40" s="90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20.25" customHeight="1" x14ac:dyDescent="0.15">
      <c r="A41" s="1"/>
      <c r="B41" s="81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3"/>
      <c r="T41" s="84"/>
      <c r="U41" s="85"/>
      <c r="V41" s="85"/>
      <c r="W41" s="85"/>
      <c r="X41" s="86"/>
      <c r="Y41" s="86"/>
      <c r="Z41" s="87"/>
      <c r="AA41" s="84"/>
      <c r="AB41" s="85"/>
      <c r="AC41" s="85"/>
      <c r="AD41" s="85"/>
      <c r="AE41" s="88"/>
      <c r="AF41" s="84"/>
      <c r="AG41" s="85"/>
      <c r="AH41" s="85"/>
      <c r="AI41" s="85"/>
      <c r="AJ41" s="85"/>
      <c r="AK41" s="85"/>
      <c r="AL41" s="88"/>
      <c r="AM41" s="89"/>
      <c r="AN41" s="82"/>
      <c r="AO41" s="82"/>
      <c r="AP41" s="82"/>
      <c r="AQ41" s="82"/>
      <c r="AR41" s="82"/>
      <c r="AS41" s="90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20.25" customHeight="1" x14ac:dyDescent="0.15">
      <c r="A42" s="1"/>
      <c r="B42" s="81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3"/>
      <c r="T42" s="84"/>
      <c r="U42" s="85"/>
      <c r="V42" s="85"/>
      <c r="W42" s="85"/>
      <c r="X42" s="86"/>
      <c r="Y42" s="86"/>
      <c r="Z42" s="87"/>
      <c r="AA42" s="84"/>
      <c r="AB42" s="85"/>
      <c r="AC42" s="85"/>
      <c r="AD42" s="85"/>
      <c r="AE42" s="88"/>
      <c r="AF42" s="84"/>
      <c r="AG42" s="85"/>
      <c r="AH42" s="85"/>
      <c r="AI42" s="85"/>
      <c r="AJ42" s="85"/>
      <c r="AK42" s="85"/>
      <c r="AL42" s="88"/>
      <c r="AM42" s="89"/>
      <c r="AN42" s="82"/>
      <c r="AO42" s="82"/>
      <c r="AP42" s="82"/>
      <c r="AQ42" s="82"/>
      <c r="AR42" s="82"/>
      <c r="AS42" s="90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69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20.25" customHeight="1" x14ac:dyDescent="0.15">
      <c r="A43" s="1"/>
      <c r="B43" s="81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3"/>
      <c r="T43" s="84"/>
      <c r="U43" s="85"/>
      <c r="V43" s="85"/>
      <c r="W43" s="85"/>
      <c r="X43" s="86"/>
      <c r="Y43" s="86"/>
      <c r="Z43" s="87"/>
      <c r="AA43" s="84"/>
      <c r="AB43" s="85"/>
      <c r="AC43" s="85"/>
      <c r="AD43" s="85"/>
      <c r="AE43" s="88"/>
      <c r="AF43" s="84"/>
      <c r="AG43" s="85"/>
      <c r="AH43" s="85"/>
      <c r="AI43" s="85"/>
      <c r="AJ43" s="85"/>
      <c r="AK43" s="85"/>
      <c r="AL43" s="88"/>
      <c r="AM43" s="89"/>
      <c r="AN43" s="82"/>
      <c r="AO43" s="82"/>
      <c r="AP43" s="82"/>
      <c r="AQ43" s="82"/>
      <c r="AR43" s="82"/>
      <c r="AS43" s="90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20.25" customHeight="1" x14ac:dyDescent="0.15">
      <c r="A44" s="1"/>
      <c r="B44" s="81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3"/>
      <c r="T44" s="84"/>
      <c r="U44" s="85"/>
      <c r="V44" s="85"/>
      <c r="W44" s="85"/>
      <c r="X44" s="86"/>
      <c r="Y44" s="86"/>
      <c r="Z44" s="87"/>
      <c r="AA44" s="84"/>
      <c r="AB44" s="85"/>
      <c r="AC44" s="85"/>
      <c r="AD44" s="85"/>
      <c r="AE44" s="88"/>
      <c r="AF44" s="84"/>
      <c r="AG44" s="85"/>
      <c r="AH44" s="85"/>
      <c r="AI44" s="85"/>
      <c r="AJ44" s="85"/>
      <c r="AK44" s="85"/>
      <c r="AL44" s="88"/>
      <c r="AM44" s="89"/>
      <c r="AN44" s="82"/>
      <c r="AO44" s="82"/>
      <c r="AP44" s="82"/>
      <c r="AQ44" s="82"/>
      <c r="AR44" s="82"/>
      <c r="AS44" s="90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20.25" customHeight="1" x14ac:dyDescent="0.15">
      <c r="A45" s="1"/>
      <c r="B45" s="81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3"/>
      <c r="T45" s="84"/>
      <c r="U45" s="85"/>
      <c r="V45" s="85"/>
      <c r="W45" s="85"/>
      <c r="X45" s="86"/>
      <c r="Y45" s="86"/>
      <c r="Z45" s="87"/>
      <c r="AA45" s="84"/>
      <c r="AB45" s="85"/>
      <c r="AC45" s="85"/>
      <c r="AD45" s="85"/>
      <c r="AE45" s="88"/>
      <c r="AF45" s="84"/>
      <c r="AG45" s="85"/>
      <c r="AH45" s="85"/>
      <c r="AI45" s="85"/>
      <c r="AJ45" s="85"/>
      <c r="AK45" s="85"/>
      <c r="AL45" s="88"/>
      <c r="AM45" s="89"/>
      <c r="AN45" s="82"/>
      <c r="AO45" s="82"/>
      <c r="AP45" s="82"/>
      <c r="AQ45" s="82"/>
      <c r="AR45" s="82"/>
      <c r="AS45" s="90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20.25" customHeight="1" x14ac:dyDescent="0.15">
      <c r="A46" s="1"/>
      <c r="B46" s="81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3"/>
      <c r="T46" s="84"/>
      <c r="U46" s="85"/>
      <c r="V46" s="85"/>
      <c r="W46" s="85"/>
      <c r="X46" s="86"/>
      <c r="Y46" s="86"/>
      <c r="Z46" s="87"/>
      <c r="AA46" s="84"/>
      <c r="AB46" s="85"/>
      <c r="AC46" s="85"/>
      <c r="AD46" s="85"/>
      <c r="AE46" s="88"/>
      <c r="AF46" s="84"/>
      <c r="AG46" s="85"/>
      <c r="AH46" s="85"/>
      <c r="AI46" s="85"/>
      <c r="AJ46" s="85"/>
      <c r="AK46" s="85"/>
      <c r="AL46" s="88"/>
      <c r="AM46" s="89"/>
      <c r="AN46" s="82"/>
      <c r="AO46" s="82"/>
      <c r="AP46" s="82"/>
      <c r="AQ46" s="82"/>
      <c r="AR46" s="82"/>
      <c r="AS46" s="90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20.25" customHeight="1" x14ac:dyDescent="0.15">
      <c r="A47" s="1"/>
      <c r="B47" s="81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3"/>
      <c r="T47" s="84"/>
      <c r="U47" s="85"/>
      <c r="V47" s="85"/>
      <c r="W47" s="85"/>
      <c r="X47" s="86"/>
      <c r="Y47" s="86"/>
      <c r="Z47" s="87"/>
      <c r="AA47" s="84"/>
      <c r="AB47" s="85"/>
      <c r="AC47" s="85"/>
      <c r="AD47" s="85"/>
      <c r="AE47" s="88"/>
      <c r="AF47" s="84"/>
      <c r="AG47" s="85"/>
      <c r="AH47" s="85"/>
      <c r="AI47" s="85"/>
      <c r="AJ47" s="85"/>
      <c r="AK47" s="85"/>
      <c r="AL47" s="88"/>
      <c r="AM47" s="89"/>
      <c r="AN47" s="82"/>
      <c r="AO47" s="82"/>
      <c r="AP47" s="82"/>
      <c r="AQ47" s="82"/>
      <c r="AR47" s="82"/>
      <c r="AS47" s="90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20.25" customHeight="1" x14ac:dyDescent="0.15">
      <c r="A48" s="1"/>
      <c r="B48" s="81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3"/>
      <c r="T48" s="84"/>
      <c r="U48" s="85"/>
      <c r="V48" s="85"/>
      <c r="W48" s="85"/>
      <c r="X48" s="86"/>
      <c r="Y48" s="86"/>
      <c r="Z48" s="87"/>
      <c r="AA48" s="84"/>
      <c r="AB48" s="85"/>
      <c r="AC48" s="85"/>
      <c r="AD48" s="85"/>
      <c r="AE48" s="88"/>
      <c r="AF48" s="84"/>
      <c r="AG48" s="85"/>
      <c r="AH48" s="85"/>
      <c r="AI48" s="85"/>
      <c r="AJ48" s="85"/>
      <c r="AK48" s="85"/>
      <c r="AL48" s="88"/>
      <c r="AM48" s="89"/>
      <c r="AN48" s="82"/>
      <c r="AO48" s="82"/>
      <c r="AP48" s="82"/>
      <c r="AQ48" s="82"/>
      <c r="AR48" s="82"/>
      <c r="AS48" s="90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20.25" customHeight="1" x14ac:dyDescent="0.15">
      <c r="A49" s="1"/>
      <c r="B49" s="81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3"/>
      <c r="T49" s="91"/>
      <c r="U49" s="92"/>
      <c r="V49" s="92"/>
      <c r="W49" s="92"/>
      <c r="X49" s="93"/>
      <c r="Y49" s="93"/>
      <c r="Z49" s="94"/>
      <c r="AA49" s="91"/>
      <c r="AB49" s="92"/>
      <c r="AC49" s="92"/>
      <c r="AD49" s="92"/>
      <c r="AE49" s="95"/>
      <c r="AF49" s="91"/>
      <c r="AG49" s="92"/>
      <c r="AH49" s="92"/>
      <c r="AI49" s="92"/>
      <c r="AJ49" s="92"/>
      <c r="AK49" s="92"/>
      <c r="AL49" s="95"/>
      <c r="AM49" s="89"/>
      <c r="AN49" s="82"/>
      <c r="AO49" s="82"/>
      <c r="AP49" s="82"/>
      <c r="AQ49" s="82"/>
      <c r="AR49" s="82"/>
      <c r="AS49" s="90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32.1" customHeight="1" x14ac:dyDescent="0.15">
      <c r="A50" s="1"/>
      <c r="B50" s="143"/>
      <c r="C50" s="121"/>
      <c r="D50" s="121"/>
      <c r="E50" s="121"/>
      <c r="F50" s="121"/>
      <c r="G50" s="97"/>
      <c r="H50" s="144">
        <f>AA50*0.1</f>
        <v>123500</v>
      </c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6"/>
      <c r="T50" s="96" t="s">
        <v>50</v>
      </c>
      <c r="U50" s="121"/>
      <c r="V50" s="121"/>
      <c r="W50" s="121"/>
      <c r="X50" s="121"/>
      <c r="Y50" s="121"/>
      <c r="Z50" s="97"/>
      <c r="AA50" s="147">
        <f>SUM(AF26:AL37)</f>
        <v>1235000</v>
      </c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9"/>
      <c r="AM50" s="182"/>
      <c r="AN50" s="183"/>
      <c r="AO50" s="183"/>
      <c r="AP50" s="183"/>
      <c r="AQ50" s="183"/>
      <c r="AR50" s="183"/>
      <c r="AS50" s="184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32.1" customHeight="1" thickBot="1" x14ac:dyDescent="0.2">
      <c r="A51" s="1"/>
      <c r="B51" s="127" t="s">
        <v>51</v>
      </c>
      <c r="C51" s="128"/>
      <c r="D51" s="128"/>
      <c r="E51" s="128"/>
      <c r="F51" s="128"/>
      <c r="G51" s="129"/>
      <c r="H51" s="130">
        <f>CK127+H50</f>
        <v>1358500</v>
      </c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2"/>
      <c r="AM51" s="178"/>
      <c r="AN51" s="179"/>
      <c r="AO51" s="179"/>
      <c r="AP51" s="179"/>
      <c r="AQ51" s="179"/>
      <c r="AR51" s="179"/>
      <c r="AS51" s="180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1"/>
      <c r="B52" s="133" t="s">
        <v>52</v>
      </c>
      <c r="C52" s="134"/>
      <c r="D52" s="134"/>
      <c r="E52" s="135" t="s">
        <v>53</v>
      </c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6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7.100000000000001" customHeight="1" x14ac:dyDescent="0.15">
      <c r="A53" s="1"/>
      <c r="B53" s="140" t="s">
        <v>54</v>
      </c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2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7.100000000000001" customHeight="1" thickBot="1" x14ac:dyDescent="0.2">
      <c r="A54" s="1"/>
      <c r="B54" s="137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9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7.100000000000001" customHeight="1" thickTop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69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18"/>
      <c r="O56" s="118"/>
      <c r="P56" s="118"/>
      <c r="Q56" s="118"/>
      <c r="R56" s="118"/>
      <c r="S56" s="118"/>
      <c r="T56" s="118"/>
      <c r="U56" s="118"/>
      <c r="V56" s="118"/>
      <c r="W56" s="1"/>
      <c r="X56" s="43"/>
      <c r="Y56" s="11"/>
      <c r="Z56" s="10"/>
      <c r="AA56" s="10"/>
      <c r="AB56" s="126"/>
      <c r="AC56" s="126"/>
      <c r="AD56" s="126"/>
      <c r="AE56" s="10"/>
      <c r="AF56" s="11"/>
      <c r="AG56" s="11"/>
      <c r="AH56" s="11"/>
      <c r="AI56" s="10"/>
      <c r="AJ56" s="10"/>
      <c r="AK56" s="10"/>
      <c r="AL56" s="10"/>
      <c r="AM56" s="10"/>
      <c r="AN56" s="10"/>
      <c r="AO56" s="10"/>
      <c r="AP56" s="10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44"/>
      <c r="K57" s="1"/>
      <c r="L57" s="1"/>
      <c r="M57" s="1"/>
      <c r="N57" s="120"/>
      <c r="O57" s="120"/>
      <c r="P57" s="116"/>
      <c r="Q57" s="116"/>
      <c r="R57" s="116"/>
      <c r="S57" s="116"/>
      <c r="T57" s="116"/>
      <c r="U57" s="116"/>
      <c r="V57" s="116"/>
      <c r="W57" s="1"/>
      <c r="X57" s="45"/>
      <c r="Y57" s="46"/>
      <c r="Z57" s="10"/>
      <c r="AA57" s="10"/>
      <c r="AB57" s="125"/>
      <c r="AC57" s="125"/>
      <c r="AD57" s="47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20"/>
      <c r="O58" s="120"/>
      <c r="P58" s="116"/>
      <c r="Q58" s="116"/>
      <c r="R58" s="116"/>
      <c r="S58" s="116"/>
      <c r="T58" s="116"/>
      <c r="U58" s="116"/>
      <c r="V58" s="116"/>
      <c r="W58" s="1"/>
      <c r="X58" s="45"/>
      <c r="Y58" s="46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20"/>
      <c r="O59" s="120"/>
      <c r="P59" s="116"/>
      <c r="Q59" s="116"/>
      <c r="R59" s="116"/>
      <c r="S59" s="116"/>
      <c r="T59" s="116"/>
      <c r="U59" s="116"/>
      <c r="V59" s="116"/>
      <c r="W59" s="1"/>
      <c r="X59" s="45"/>
      <c r="Y59" s="46"/>
      <c r="Z59" s="10"/>
      <c r="AA59" s="126"/>
      <c r="AB59" s="126"/>
      <c r="AC59" s="126"/>
      <c r="AD59" s="126"/>
      <c r="AE59" s="126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20"/>
      <c r="O60" s="120"/>
      <c r="P60" s="116"/>
      <c r="Q60" s="116"/>
      <c r="R60" s="116"/>
      <c r="S60" s="116"/>
      <c r="T60" s="116"/>
      <c r="U60" s="116"/>
      <c r="V60" s="116"/>
      <c r="W60" s="1"/>
      <c r="X60" s="45"/>
      <c r="Y60" s="46"/>
      <c r="Z60" s="10"/>
      <c r="AA60" s="48"/>
      <c r="AB60" s="125"/>
      <c r="AC60" s="125"/>
      <c r="AD60" s="125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20"/>
      <c r="O61" s="120"/>
      <c r="P61" s="116"/>
      <c r="Q61" s="116"/>
      <c r="R61" s="116"/>
      <c r="S61" s="116"/>
      <c r="T61" s="116"/>
      <c r="U61" s="116"/>
      <c r="V61" s="116"/>
      <c r="W61" s="1"/>
      <c r="X61" s="45"/>
      <c r="Y61" s="46"/>
      <c r="Z61" s="10"/>
      <c r="AA61" s="48"/>
      <c r="AB61" s="125"/>
      <c r="AC61" s="125"/>
      <c r="AD61" s="125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20"/>
      <c r="O62" s="120"/>
      <c r="P62" s="116"/>
      <c r="Q62" s="116"/>
      <c r="R62" s="116"/>
      <c r="S62" s="116"/>
      <c r="T62" s="116"/>
      <c r="U62" s="116"/>
      <c r="V62" s="116"/>
      <c r="W62" s="1"/>
      <c r="X62" s="45"/>
      <c r="Y62" s="45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20"/>
      <c r="O63" s="120"/>
      <c r="P63" s="116"/>
      <c r="Q63" s="116"/>
      <c r="R63" s="116"/>
      <c r="S63" s="116"/>
      <c r="T63" s="116"/>
      <c r="U63" s="116"/>
      <c r="V63" s="116"/>
      <c r="W63" s="1"/>
      <c r="X63" s="45"/>
      <c r="Y63" s="45"/>
      <c r="Z63" s="10"/>
      <c r="AA63" s="181"/>
      <c r="AB63" s="181"/>
      <c r="AC63" s="181"/>
      <c r="AD63" s="181"/>
      <c r="AE63" s="181"/>
      <c r="AF63" s="181"/>
      <c r="AG63" s="181"/>
      <c r="AH63" s="181"/>
      <c r="AI63" s="181"/>
      <c r="AJ63" s="126"/>
      <c r="AK63" s="126"/>
      <c r="AL63" s="126"/>
      <c r="AM63" s="126"/>
      <c r="AN63" s="126"/>
      <c r="AO63" s="126"/>
      <c r="AP63" s="126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20"/>
      <c r="O64" s="120"/>
      <c r="P64" s="116"/>
      <c r="Q64" s="116"/>
      <c r="R64" s="116"/>
      <c r="S64" s="116"/>
      <c r="T64" s="116"/>
      <c r="U64" s="116"/>
      <c r="V64" s="116"/>
      <c r="W64" s="1"/>
      <c r="X64" s="45"/>
      <c r="Y64" s="46"/>
      <c r="Z64" s="10"/>
      <c r="AA64" s="48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"/>
      <c r="AR64" s="1"/>
      <c r="AS64" s="1"/>
      <c r="AT64" s="1"/>
      <c r="AU64" s="1"/>
      <c r="AV64" s="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20"/>
      <c r="O65" s="120"/>
      <c r="P65" s="116"/>
      <c r="Q65" s="116"/>
      <c r="R65" s="116"/>
      <c r="S65" s="116"/>
      <c r="T65" s="116"/>
      <c r="U65" s="116"/>
      <c r="V65" s="116"/>
      <c r="W65" s="1"/>
      <c r="X65" s="45"/>
      <c r="Y65" s="46"/>
      <c r="Z65" s="10"/>
      <c r="AA65" s="48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"/>
      <c r="AR65" s="1"/>
      <c r="AS65" s="1"/>
      <c r="AT65" s="1"/>
      <c r="AU65" s="1"/>
      <c r="AV65" s="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20"/>
      <c r="O66" s="120"/>
      <c r="P66" s="116"/>
      <c r="Q66" s="116"/>
      <c r="R66" s="116"/>
      <c r="S66" s="116"/>
      <c r="T66" s="116"/>
      <c r="U66" s="116"/>
      <c r="V66" s="116"/>
      <c r="W66" s="1"/>
      <c r="X66" s="45"/>
      <c r="Y66" s="46"/>
      <c r="Z66" s="10"/>
      <c r="AA66" s="48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"/>
      <c r="AR66" s="1"/>
      <c r="AS66" s="1"/>
      <c r="AT66" s="1"/>
      <c r="AU66" s="1"/>
      <c r="AV66" s="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20"/>
      <c r="O67" s="120"/>
      <c r="P67" s="116"/>
      <c r="Q67" s="116"/>
      <c r="R67" s="116"/>
      <c r="S67" s="116"/>
      <c r="T67" s="116"/>
      <c r="U67" s="116"/>
      <c r="V67" s="116"/>
      <c r="W67" s="1"/>
      <c r="X67" s="45"/>
      <c r="Y67" s="46"/>
      <c r="Z67" s="10"/>
      <c r="AA67" s="48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"/>
      <c r="AR67" s="1"/>
      <c r="AS67" s="1"/>
      <c r="AT67" s="1"/>
      <c r="AU67" s="1"/>
      <c r="AV67" s="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18"/>
      <c r="O68" s="118"/>
      <c r="P68" s="116">
        <f>SUM(CK127:CQ127)</f>
        <v>1235000</v>
      </c>
      <c r="Q68" s="116"/>
      <c r="R68" s="116"/>
      <c r="S68" s="116"/>
      <c r="T68" s="116"/>
      <c r="U68" s="116"/>
      <c r="V68" s="116"/>
      <c r="W68" s="1"/>
      <c r="X68" s="45"/>
      <c r="Y68" s="46"/>
      <c r="Z68" s="10"/>
      <c r="AA68" s="48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"/>
      <c r="AR68" s="1"/>
      <c r="AS68" s="1"/>
      <c r="AT68" s="1"/>
      <c r="AU68" s="1"/>
      <c r="AV68" s="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45"/>
      <c r="Y69" s="46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"/>
      <c r="AR69" s="1"/>
      <c r="AS69" s="1"/>
      <c r="AT69" s="1"/>
      <c r="AU69" s="1"/>
      <c r="AV69" s="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71" spans="1:78" ht="1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</row>
    <row r="72" spans="1:78" ht="1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24"/>
      <c r="O72" s="124"/>
      <c r="P72" s="124"/>
      <c r="Q72" s="124"/>
      <c r="R72" s="122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3"/>
      <c r="AH72" s="123"/>
      <c r="AI72" s="123"/>
      <c r="AJ72" s="123"/>
      <c r="AK72" s="123"/>
      <c r="AL72" s="123"/>
      <c r="AM72" s="123"/>
      <c r="AN72" s="123"/>
      <c r="AO72" s="123"/>
      <c r="AP72" s="123"/>
      <c r="AQ72" s="1"/>
      <c r="AR72" s="118"/>
      <c r="AS72" s="118"/>
      <c r="AT72" s="66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</row>
    <row r="73" spans="1:78" ht="1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66"/>
      <c r="AV73" s="66"/>
      <c r="AW73" s="66"/>
      <c r="AX73" s="66"/>
      <c r="AY73" s="66"/>
      <c r="AZ73" s="66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</row>
    <row r="74" spans="1:78" ht="1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</row>
    <row r="75" spans="1:78" ht="1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</row>
    <row r="76" spans="1:78" ht="1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</row>
    <row r="77" spans="1:78" ht="1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</row>
    <row r="78" spans="1:78" ht="1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</row>
    <row r="79" spans="1:78" ht="1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</row>
    <row r="80" spans="1:78" ht="1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</row>
    <row r="81" spans="1:78" ht="1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</row>
    <row r="82" spans="1:78" ht="15" customHeight="1" x14ac:dyDescent="0.15"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</row>
    <row r="112" spans="158:165" ht="15" customHeight="1" x14ac:dyDescent="0.15">
      <c r="FB112" s="79" t="s">
        <v>55</v>
      </c>
      <c r="FC112" s="79" t="s">
        <v>56</v>
      </c>
      <c r="FD112" s="79" t="s">
        <v>57</v>
      </c>
      <c r="FE112" s="79" t="s">
        <v>58</v>
      </c>
      <c r="FF112" s="79" t="s">
        <v>59</v>
      </c>
      <c r="FG112" s="79" t="s">
        <v>59</v>
      </c>
      <c r="FH112" s="79" t="s">
        <v>60</v>
      </c>
      <c r="FI112" s="79" t="s">
        <v>61</v>
      </c>
    </row>
    <row r="113" spans="79:165" ht="15" customHeight="1" x14ac:dyDescent="0.15">
      <c r="CA113" s="33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  <c r="DX113" s="34"/>
      <c r="DY113" s="34"/>
      <c r="DZ113" s="34"/>
      <c r="EA113" s="34"/>
      <c r="EB113" s="34"/>
      <c r="EC113" s="34"/>
      <c r="ED113" s="34"/>
      <c r="EE113" s="34"/>
      <c r="EF113" s="34"/>
      <c r="EG113" s="34"/>
      <c r="EH113" s="34"/>
      <c r="EI113" s="34"/>
      <c r="EJ113" s="34"/>
      <c r="EK113" s="34"/>
      <c r="EL113" s="34"/>
      <c r="EM113" s="34"/>
      <c r="EN113" s="34"/>
      <c r="EO113" s="34"/>
      <c r="EP113" s="35"/>
      <c r="FB113" s="53">
        <v>0</v>
      </c>
      <c r="FC113" s="54">
        <v>1</v>
      </c>
      <c r="FD113" s="54" t="str">
        <f>B26</f>
        <v>FL-LCW 1500w搬入講習費二泊三日　社用車</v>
      </c>
      <c r="FE113" s="54">
        <f t="shared" ref="FE113:FE124" si="2">T26</f>
        <v>0</v>
      </c>
      <c r="FF113" s="54" t="str">
        <f t="shared" ref="FF113:FF124" si="3">X26</f>
        <v>一式</v>
      </c>
      <c r="FG113" s="54">
        <f t="shared" ref="FG113:FG124" si="4">AA26</f>
        <v>270000</v>
      </c>
      <c r="FH113" s="54">
        <f t="shared" ref="FH113:FH124" si="5">AF26</f>
        <v>270000</v>
      </c>
      <c r="FI113" s="54" t="str">
        <f t="shared" ref="FI113:FI124" si="6">AM26</f>
        <v>福島県内</v>
      </c>
    </row>
    <row r="114" spans="79:165" ht="15" customHeight="1" x14ac:dyDescent="0.15">
      <c r="CA114" s="36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44" t="s">
        <v>62</v>
      </c>
      <c r="EN114" s="1"/>
      <c r="EO114" s="1"/>
      <c r="EP114" s="37"/>
      <c r="FB114" s="53">
        <v>0</v>
      </c>
      <c r="FC114" s="54">
        <v>2</v>
      </c>
      <c r="FD114" s="54" t="str">
        <f>B27</f>
        <v>FL-LCW 1500w搬入講習費一泊二日　社用車</v>
      </c>
      <c r="FE114" s="54">
        <f t="shared" si="2"/>
        <v>0</v>
      </c>
      <c r="FF114" s="54" t="str">
        <f t="shared" si="3"/>
        <v>一式</v>
      </c>
      <c r="FG114" s="54">
        <f t="shared" si="4"/>
        <v>150000</v>
      </c>
      <c r="FH114" s="54">
        <f t="shared" si="5"/>
        <v>150000</v>
      </c>
      <c r="FI114" s="54" t="str">
        <f t="shared" si="6"/>
        <v>長野県伊那市</v>
      </c>
    </row>
    <row r="115" spans="79:165" ht="15" customHeight="1" x14ac:dyDescent="0.15">
      <c r="CA115" s="36"/>
      <c r="CB115" s="1"/>
      <c r="CC115" s="1"/>
      <c r="CD115" s="1"/>
      <c r="CE115" s="42" t="s">
        <v>63</v>
      </c>
      <c r="CF115" s="1"/>
      <c r="CG115" s="1"/>
      <c r="CH115" s="1"/>
      <c r="CI115" s="96" t="s">
        <v>64</v>
      </c>
      <c r="CJ115" s="121"/>
      <c r="CK115" s="121"/>
      <c r="CL115" s="121"/>
      <c r="CM115" s="121"/>
      <c r="CN115" s="121"/>
      <c r="CO115" s="121"/>
      <c r="CP115" s="121"/>
      <c r="CQ115" s="97"/>
      <c r="CR115" s="1"/>
      <c r="CS115" s="20" t="s">
        <v>59</v>
      </c>
      <c r="CT115" s="9"/>
      <c r="CU115" s="10"/>
      <c r="CV115" s="10"/>
      <c r="CW115" s="115" t="s">
        <v>65</v>
      </c>
      <c r="CX115" s="115"/>
      <c r="CY115" s="115"/>
      <c r="CZ115" s="10"/>
      <c r="DA115" s="11"/>
      <c r="DB115" s="11"/>
      <c r="DC115" s="11"/>
      <c r="DD115" s="28" t="s">
        <v>66</v>
      </c>
      <c r="DE115" s="29"/>
      <c r="DF115" s="29"/>
      <c r="DG115" s="29"/>
      <c r="DH115" s="29"/>
      <c r="DI115" s="29"/>
      <c r="DJ115" s="30"/>
      <c r="DK115" s="10"/>
      <c r="DL115" s="1"/>
      <c r="DM115" s="117" t="s">
        <v>67</v>
      </c>
      <c r="DN115" s="117"/>
      <c r="DO115" s="117"/>
      <c r="DP115" s="117"/>
      <c r="DQ115" s="117"/>
      <c r="DR115" s="117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44" t="s">
        <v>68</v>
      </c>
      <c r="EN115" s="1"/>
      <c r="EO115" s="1"/>
      <c r="EP115" s="37"/>
      <c r="FB115" s="53">
        <v>0</v>
      </c>
      <c r="FC115" s="54">
        <v>3</v>
      </c>
      <c r="FD115" s="54" t="str">
        <f>B28</f>
        <v>FL-LCW 1500w搬入講習費一泊二日　公共</v>
      </c>
      <c r="FE115" s="54">
        <f t="shared" si="2"/>
        <v>0</v>
      </c>
      <c r="FF115" s="54" t="str">
        <f t="shared" si="3"/>
        <v>一式</v>
      </c>
      <c r="FG115" s="54">
        <f t="shared" si="4"/>
        <v>150000</v>
      </c>
      <c r="FH115" s="54">
        <f t="shared" si="5"/>
        <v>150000</v>
      </c>
      <c r="FI115" s="54" t="str">
        <f t="shared" si="6"/>
        <v>仙台市</v>
      </c>
    </row>
    <row r="116" spans="79:165" ht="15" customHeight="1" x14ac:dyDescent="0.15">
      <c r="CA116" s="36"/>
      <c r="CB116" s="1"/>
      <c r="CC116" s="1"/>
      <c r="CD116" s="1"/>
      <c r="CE116" s="41">
        <v>3</v>
      </c>
      <c r="CF116" s="1"/>
      <c r="CG116" s="1"/>
      <c r="CH116" s="1"/>
      <c r="CI116" s="108">
        <v>0</v>
      </c>
      <c r="CJ116" s="108"/>
      <c r="CK116" s="107">
        <f>AA50</f>
        <v>1235000</v>
      </c>
      <c r="CL116" s="107"/>
      <c r="CM116" s="107"/>
      <c r="CN116" s="107"/>
      <c r="CO116" s="107"/>
      <c r="CP116" s="107"/>
      <c r="CQ116" s="107"/>
      <c r="CR116" s="1"/>
      <c r="CS116" s="12" t="s">
        <v>69</v>
      </c>
      <c r="CT116" s="13"/>
      <c r="CU116" s="10"/>
      <c r="CV116" s="10"/>
      <c r="CW116" s="109">
        <v>5</v>
      </c>
      <c r="CX116" s="110"/>
      <c r="CY116" s="14" t="s">
        <v>70</v>
      </c>
      <c r="CZ116" s="10"/>
      <c r="DA116" s="10"/>
      <c r="DB116" s="10"/>
      <c r="DC116" s="10"/>
      <c r="DD116" s="31" t="s">
        <v>1</v>
      </c>
      <c r="DE116" s="32"/>
      <c r="DF116" s="32"/>
      <c r="DG116" s="32"/>
      <c r="DH116" s="32"/>
      <c r="DI116" s="32"/>
      <c r="DJ116" s="17"/>
      <c r="DK116" s="10"/>
      <c r="DL116" s="1"/>
      <c r="DM116" s="112" t="s">
        <v>71</v>
      </c>
      <c r="DN116" s="113"/>
      <c r="DO116" s="113"/>
      <c r="DP116" s="113"/>
      <c r="DQ116" s="113"/>
      <c r="DR116" s="114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37"/>
      <c r="FB116" s="53">
        <v>0</v>
      </c>
      <c r="FC116" s="54">
        <v>4</v>
      </c>
      <c r="FD116" s="54" t="str">
        <f>B29</f>
        <v>FL-LCW1500wデモ機持参講習社用車使用日帰平日</v>
      </c>
      <c r="FE116" s="54">
        <f t="shared" si="2"/>
        <v>0</v>
      </c>
      <c r="FF116" s="54" t="str">
        <f t="shared" si="3"/>
        <v>一式</v>
      </c>
      <c r="FG116" s="54">
        <f t="shared" si="4"/>
        <v>100000</v>
      </c>
      <c r="FH116" s="54">
        <f t="shared" si="5"/>
        <v>100000</v>
      </c>
      <c r="FI116" s="54" t="str">
        <f t="shared" si="6"/>
        <v>名古屋支店</v>
      </c>
    </row>
    <row r="117" spans="79:165" ht="15" customHeight="1" x14ac:dyDescent="0.15">
      <c r="CA117" s="36"/>
      <c r="CB117" s="1"/>
      <c r="CC117" s="1"/>
      <c r="CD117" s="1"/>
      <c r="CE117" s="41">
        <f>MAX(FB413:FB654)</f>
        <v>0</v>
      </c>
      <c r="CF117" s="1"/>
      <c r="CG117" s="1"/>
      <c r="CH117" s="1"/>
      <c r="CI117" s="108">
        <v>1</v>
      </c>
      <c r="CJ117" s="108"/>
      <c r="CK117" s="107">
        <f>IF(ISERROR(本体装備品一覧!AB30),0,本体装備品一覧!AB30)</f>
        <v>0</v>
      </c>
      <c r="CL117" s="107"/>
      <c r="CM117" s="107"/>
      <c r="CN117" s="107"/>
      <c r="CO117" s="107"/>
      <c r="CP117" s="107"/>
      <c r="CQ117" s="107"/>
      <c r="CR117" s="1"/>
      <c r="CS117" s="12" t="s">
        <v>72</v>
      </c>
      <c r="CT117" s="13"/>
      <c r="CU117" s="10"/>
      <c r="CV117" s="10"/>
      <c r="CW117" s="10"/>
      <c r="CX117" s="10"/>
      <c r="CY117" s="10"/>
      <c r="CZ117" s="10"/>
      <c r="DA117" s="10"/>
      <c r="DB117" s="10"/>
      <c r="DC117" s="10"/>
      <c r="DD117" s="31" t="s">
        <v>73</v>
      </c>
      <c r="DE117" s="32"/>
      <c r="DF117" s="32"/>
      <c r="DG117" s="32"/>
      <c r="DH117" s="32"/>
      <c r="DI117" s="32"/>
      <c r="DJ117" s="17"/>
      <c r="DK117" s="10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37"/>
      <c r="FB117" s="53">
        <v>0</v>
      </c>
      <c r="FC117" s="54">
        <v>5</v>
      </c>
      <c r="FD117" s="54" t="e">
        <f>#REF!</f>
        <v>#REF!</v>
      </c>
      <c r="FE117" s="54">
        <f t="shared" si="2"/>
        <v>0</v>
      </c>
      <c r="FF117" s="54" t="str">
        <f t="shared" si="3"/>
        <v>一式</v>
      </c>
      <c r="FG117" s="54">
        <f t="shared" si="4"/>
        <v>120000</v>
      </c>
      <c r="FH117" s="54">
        <f t="shared" si="5"/>
        <v>120000</v>
      </c>
      <c r="FI117" s="54" t="str">
        <f t="shared" si="6"/>
        <v>高山市組合向け</v>
      </c>
    </row>
    <row r="118" spans="79:165" ht="15" customHeight="1" x14ac:dyDescent="0.15">
      <c r="CA118" s="36"/>
      <c r="CB118" s="1"/>
      <c r="CC118" s="1"/>
      <c r="CD118" s="1"/>
      <c r="CE118" s="41">
        <v>1</v>
      </c>
      <c r="CF118" s="1"/>
      <c r="CG118" s="1"/>
      <c r="CH118" s="1"/>
      <c r="CI118" s="108">
        <v>2</v>
      </c>
      <c r="CJ118" s="108"/>
      <c r="CK118" s="107">
        <f>IF(ISERROR(#REF!),0,#REF!)</f>
        <v>0</v>
      </c>
      <c r="CL118" s="107"/>
      <c r="CM118" s="107"/>
      <c r="CN118" s="107"/>
      <c r="CO118" s="107"/>
      <c r="CP118" s="107"/>
      <c r="CQ118" s="107"/>
      <c r="CR118" s="1"/>
      <c r="CS118" s="15" t="s">
        <v>31</v>
      </c>
      <c r="CT118" s="16"/>
      <c r="CU118" s="10"/>
      <c r="CV118" s="115" t="s">
        <v>74</v>
      </c>
      <c r="CW118" s="115"/>
      <c r="CX118" s="115"/>
      <c r="CY118" s="115"/>
      <c r="CZ118" s="115"/>
      <c r="DA118" s="10"/>
      <c r="DB118" s="10"/>
      <c r="DC118" s="10"/>
      <c r="DD118" s="31" t="s">
        <v>75</v>
      </c>
      <c r="DE118" s="32"/>
      <c r="DF118" s="32"/>
      <c r="DG118" s="32"/>
      <c r="DH118" s="32"/>
      <c r="DI118" s="32"/>
      <c r="DJ118" s="17"/>
      <c r="DK118" s="10"/>
      <c r="DL118" s="1"/>
      <c r="DM118" s="117" t="s">
        <v>76</v>
      </c>
      <c r="DN118" s="117"/>
      <c r="DO118" s="117"/>
      <c r="DP118" s="117"/>
      <c r="DQ118" s="117"/>
      <c r="DR118" s="117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37"/>
      <c r="FB118" s="53">
        <v>0</v>
      </c>
      <c r="FC118" s="54">
        <v>6</v>
      </c>
      <c r="FD118" s="54" t="e">
        <f>#REF!</f>
        <v>#REF!</v>
      </c>
      <c r="FE118" s="54">
        <f t="shared" si="2"/>
        <v>0</v>
      </c>
      <c r="FF118" s="54" t="str">
        <f t="shared" si="3"/>
        <v>一式</v>
      </c>
      <c r="FG118" s="54">
        <f t="shared" si="4"/>
        <v>125000</v>
      </c>
      <c r="FH118" s="54">
        <f t="shared" si="5"/>
        <v>125000</v>
      </c>
      <c r="FI118" s="54" t="str">
        <f t="shared" si="6"/>
        <v>名古屋支店</v>
      </c>
    </row>
    <row r="119" spans="79:165" ht="15" customHeight="1" x14ac:dyDescent="0.15">
      <c r="CA119" s="36"/>
      <c r="CB119" s="1"/>
      <c r="CC119" s="1"/>
      <c r="CD119" s="1"/>
      <c r="CE119" s="41">
        <v>0</v>
      </c>
      <c r="CF119" s="1"/>
      <c r="CG119" s="1"/>
      <c r="CH119" s="1"/>
      <c r="CI119" s="108">
        <v>3</v>
      </c>
      <c r="CJ119" s="108"/>
      <c r="CK119" s="107">
        <f>IF(ISERROR(#REF!),0,#REF!)</f>
        <v>0</v>
      </c>
      <c r="CL119" s="107"/>
      <c r="CM119" s="107"/>
      <c r="CN119" s="107"/>
      <c r="CO119" s="107"/>
      <c r="CP119" s="107"/>
      <c r="CQ119" s="107"/>
      <c r="CR119" s="1"/>
      <c r="CS119" s="12" t="s">
        <v>77</v>
      </c>
      <c r="CT119" s="13"/>
      <c r="CU119" s="10"/>
      <c r="CV119" s="21" t="s">
        <v>78</v>
      </c>
      <c r="CW119" s="109">
        <v>100</v>
      </c>
      <c r="CX119" s="109"/>
      <c r="CY119" s="110"/>
      <c r="CZ119" s="17" t="s">
        <v>70</v>
      </c>
      <c r="DA119" s="10"/>
      <c r="DB119" s="10"/>
      <c r="DC119" s="10"/>
      <c r="DD119" s="31" t="s">
        <v>79</v>
      </c>
      <c r="DE119" s="32"/>
      <c r="DF119" s="32"/>
      <c r="DG119" s="32"/>
      <c r="DH119" s="32"/>
      <c r="DI119" s="32"/>
      <c r="DJ119" s="17"/>
      <c r="DK119" s="10"/>
      <c r="DL119" s="1"/>
      <c r="DM119" s="98" t="s">
        <v>80</v>
      </c>
      <c r="DN119" s="99"/>
      <c r="DO119" s="99"/>
      <c r="DP119" s="99"/>
      <c r="DQ119" s="99"/>
      <c r="DR119" s="100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37"/>
      <c r="FB119" s="53">
        <v>0</v>
      </c>
      <c r="FC119" s="54">
        <v>7</v>
      </c>
      <c r="FD119" s="54" t="e">
        <f>#REF!</f>
        <v>#REF!</v>
      </c>
      <c r="FE119" s="54">
        <f t="shared" si="2"/>
        <v>0</v>
      </c>
      <c r="FF119" s="54" t="str">
        <f t="shared" si="3"/>
        <v>一式</v>
      </c>
      <c r="FG119" s="54">
        <f t="shared" si="4"/>
        <v>145000</v>
      </c>
      <c r="FH119" s="54">
        <f t="shared" si="5"/>
        <v>145000</v>
      </c>
      <c r="FI119" s="54" t="str">
        <f t="shared" si="6"/>
        <v>高山市組合向け</v>
      </c>
    </row>
    <row r="120" spans="79:165" ht="15" customHeight="1" x14ac:dyDescent="0.15">
      <c r="CA120" s="36"/>
      <c r="CB120" s="1"/>
      <c r="CC120" s="1"/>
      <c r="CD120" s="1"/>
      <c r="CE120" s="42" t="s">
        <v>81</v>
      </c>
      <c r="CF120" s="1"/>
      <c r="CG120" s="1"/>
      <c r="CH120" s="1"/>
      <c r="CI120" s="108">
        <v>4</v>
      </c>
      <c r="CJ120" s="108"/>
      <c r="CK120" s="107"/>
      <c r="CL120" s="107"/>
      <c r="CM120" s="107"/>
      <c r="CN120" s="107"/>
      <c r="CO120" s="107"/>
      <c r="CP120" s="107"/>
      <c r="CQ120" s="107"/>
      <c r="CR120" s="1"/>
      <c r="CS120" s="12" t="s">
        <v>82</v>
      </c>
      <c r="CT120" s="13"/>
      <c r="CU120" s="10"/>
      <c r="CV120" s="21" t="s">
        <v>83</v>
      </c>
      <c r="CW120" s="109">
        <v>80</v>
      </c>
      <c r="CX120" s="109"/>
      <c r="CY120" s="110"/>
      <c r="CZ120" s="17" t="s">
        <v>70</v>
      </c>
      <c r="DA120" s="10"/>
      <c r="DB120" s="10"/>
      <c r="DC120" s="10"/>
      <c r="DD120" s="31" t="s">
        <v>84</v>
      </c>
      <c r="DE120" s="32"/>
      <c r="DF120" s="32"/>
      <c r="DG120" s="32"/>
      <c r="DH120" s="32"/>
      <c r="DI120" s="32"/>
      <c r="DJ120" s="17"/>
      <c r="DK120" s="10"/>
      <c r="DL120" s="1"/>
      <c r="DM120" s="112" t="s">
        <v>85</v>
      </c>
      <c r="DN120" s="113"/>
      <c r="DO120" s="113"/>
      <c r="DP120" s="113"/>
      <c r="DQ120" s="113"/>
      <c r="DR120" s="114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37"/>
      <c r="FB120" s="53">
        <v>0</v>
      </c>
      <c r="FC120" s="54">
        <v>8</v>
      </c>
      <c r="FD120" s="54" t="str">
        <f>B31</f>
        <v>FL-LCW1500wデモ機持参講習社用車使用日帰土日</v>
      </c>
      <c r="FE120" s="54">
        <f t="shared" si="2"/>
        <v>0</v>
      </c>
      <c r="FF120" s="54" t="str">
        <f t="shared" si="3"/>
        <v>一式</v>
      </c>
      <c r="FG120" s="54">
        <f t="shared" si="4"/>
        <v>150000</v>
      </c>
      <c r="FH120" s="54">
        <f t="shared" si="5"/>
        <v>150000</v>
      </c>
      <c r="FI120" s="54" t="str">
        <f t="shared" si="6"/>
        <v>石川県金沢市</v>
      </c>
    </row>
    <row r="121" spans="79:165" ht="15" customHeight="1" x14ac:dyDescent="0.15">
      <c r="CA121" s="36"/>
      <c r="CB121" s="1"/>
      <c r="CC121" s="1"/>
      <c r="CD121" s="1"/>
      <c r="CE121" s="41" t="s">
        <v>86</v>
      </c>
      <c r="CF121" s="1"/>
      <c r="CG121" s="1"/>
      <c r="CH121" s="1"/>
      <c r="CI121" s="108">
        <v>5</v>
      </c>
      <c r="CJ121" s="108"/>
      <c r="CK121" s="107"/>
      <c r="CL121" s="107"/>
      <c r="CM121" s="107"/>
      <c r="CN121" s="107"/>
      <c r="CO121" s="107"/>
      <c r="CP121" s="107"/>
      <c r="CQ121" s="107"/>
      <c r="CR121" s="1"/>
      <c r="CS121" s="15" t="s">
        <v>87</v>
      </c>
      <c r="CT121" s="15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"/>
      <c r="DM121" s="112" t="s">
        <v>88</v>
      </c>
      <c r="DN121" s="113"/>
      <c r="DO121" s="113"/>
      <c r="DP121" s="113"/>
      <c r="DQ121" s="113"/>
      <c r="DR121" s="114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37"/>
      <c r="FB121" s="53">
        <v>0</v>
      </c>
      <c r="FC121" s="54">
        <v>9</v>
      </c>
      <c r="FD121" s="54">
        <f>B34</f>
        <v>0</v>
      </c>
      <c r="FE121" s="54">
        <f t="shared" si="2"/>
        <v>0</v>
      </c>
      <c r="FF121" s="54" t="str">
        <f t="shared" si="3"/>
        <v>一式</v>
      </c>
      <c r="FG121" s="54">
        <f t="shared" si="4"/>
        <v>0</v>
      </c>
      <c r="FH121" s="54">
        <f t="shared" si="5"/>
        <v>0</v>
      </c>
      <c r="FI121" s="54">
        <f t="shared" si="6"/>
        <v>0</v>
      </c>
    </row>
    <row r="122" spans="79:165" ht="15" customHeight="1" x14ac:dyDescent="0.15">
      <c r="CA122" s="36"/>
      <c r="CB122" s="1"/>
      <c r="CC122" s="1"/>
      <c r="CD122" s="1"/>
      <c r="CE122" s="41" t="s">
        <v>11</v>
      </c>
      <c r="CF122" s="1"/>
      <c r="CG122" s="1"/>
      <c r="CH122" s="1"/>
      <c r="CI122" s="108">
        <v>6</v>
      </c>
      <c r="CJ122" s="108"/>
      <c r="CK122" s="107"/>
      <c r="CL122" s="107"/>
      <c r="CM122" s="107"/>
      <c r="CN122" s="107"/>
      <c r="CO122" s="107"/>
      <c r="CP122" s="107"/>
      <c r="CQ122" s="107"/>
      <c r="CR122" s="1"/>
      <c r="CS122" s="15" t="s">
        <v>89</v>
      </c>
      <c r="CT122" s="15"/>
      <c r="CU122" s="10"/>
      <c r="CV122" s="111" t="s">
        <v>90</v>
      </c>
      <c r="CW122" s="111"/>
      <c r="CX122" s="111"/>
      <c r="CY122" s="111"/>
      <c r="CZ122" s="111"/>
      <c r="DA122" s="111"/>
      <c r="DB122" s="111"/>
      <c r="DC122" s="111"/>
      <c r="DD122" s="111"/>
      <c r="DE122" s="115" t="s">
        <v>91</v>
      </c>
      <c r="DF122" s="115"/>
      <c r="DG122" s="115"/>
      <c r="DH122" s="115"/>
      <c r="DI122" s="115"/>
      <c r="DJ122" s="115"/>
      <c r="DK122" s="115"/>
      <c r="DL122" s="1"/>
      <c r="DM122" s="1"/>
      <c r="DN122" s="1"/>
      <c r="DO122" s="1"/>
      <c r="DP122" s="1"/>
      <c r="DQ122" s="1"/>
      <c r="DR122" s="101"/>
      <c r="DS122" s="101"/>
      <c r="DT122" s="101"/>
      <c r="DU122" s="101"/>
      <c r="DV122" s="101"/>
      <c r="DW122" s="101"/>
      <c r="DX122" s="101"/>
      <c r="DY122" s="101"/>
      <c r="DZ122" s="101"/>
      <c r="EA122" s="101"/>
      <c r="EB122" s="101"/>
      <c r="EC122" s="10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37"/>
      <c r="FB122" s="53">
        <v>0</v>
      </c>
      <c r="FC122" s="54">
        <v>10</v>
      </c>
      <c r="FD122" s="54">
        <f>B35</f>
        <v>0</v>
      </c>
      <c r="FE122" s="54">
        <f t="shared" si="2"/>
        <v>0</v>
      </c>
      <c r="FF122" s="54" t="str">
        <f t="shared" si="3"/>
        <v>一式</v>
      </c>
      <c r="FG122" s="54">
        <f t="shared" si="4"/>
        <v>0</v>
      </c>
      <c r="FH122" s="54">
        <f t="shared" si="5"/>
        <v>0</v>
      </c>
      <c r="FI122" s="54">
        <f t="shared" si="6"/>
        <v>0</v>
      </c>
    </row>
    <row r="123" spans="79:165" ht="15" customHeight="1" x14ac:dyDescent="0.15">
      <c r="CA123" s="36"/>
      <c r="CB123" s="1"/>
      <c r="CC123" s="1"/>
      <c r="CD123" s="1"/>
      <c r="CE123" s="41" t="s">
        <v>92</v>
      </c>
      <c r="CF123" s="1"/>
      <c r="CG123" s="1"/>
      <c r="CH123" s="1"/>
      <c r="CI123" s="108">
        <v>7</v>
      </c>
      <c r="CJ123" s="108"/>
      <c r="CK123" s="107"/>
      <c r="CL123" s="107"/>
      <c r="CM123" s="107"/>
      <c r="CN123" s="107"/>
      <c r="CO123" s="107"/>
      <c r="CP123" s="107"/>
      <c r="CQ123" s="107"/>
      <c r="CR123" s="1"/>
      <c r="CS123" s="12" t="s">
        <v>93</v>
      </c>
      <c r="CT123" s="13"/>
      <c r="CU123" s="10"/>
      <c r="CV123" s="21" t="s">
        <v>78</v>
      </c>
      <c r="CW123" s="105" t="s">
        <v>94</v>
      </c>
      <c r="CX123" s="105"/>
      <c r="CY123" s="105"/>
      <c r="CZ123" s="105"/>
      <c r="DA123" s="105"/>
      <c r="DB123" s="105"/>
      <c r="DC123" s="105"/>
      <c r="DD123" s="105"/>
      <c r="DE123" s="105" t="s">
        <v>95</v>
      </c>
      <c r="DF123" s="105"/>
      <c r="DG123" s="105"/>
      <c r="DH123" s="105"/>
      <c r="DI123" s="105"/>
      <c r="DJ123" s="105"/>
      <c r="DK123" s="105"/>
      <c r="DL123" s="1"/>
      <c r="DM123" s="1"/>
      <c r="DN123" s="1"/>
      <c r="DO123" s="1"/>
      <c r="DP123" s="1"/>
      <c r="DQ123" s="1"/>
      <c r="DR123" s="101"/>
      <c r="DS123" s="101"/>
      <c r="DT123" s="101"/>
      <c r="DU123" s="101"/>
      <c r="DV123" s="101"/>
      <c r="DW123" s="101"/>
      <c r="DX123" s="101"/>
      <c r="DY123" s="101"/>
      <c r="DZ123" s="101"/>
      <c r="EA123" s="101"/>
      <c r="EB123" s="101"/>
      <c r="EC123" s="10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37"/>
      <c r="FB123" s="53">
        <v>0</v>
      </c>
      <c r="FC123" s="54">
        <v>11</v>
      </c>
      <c r="FD123" s="54">
        <f>B36</f>
        <v>0</v>
      </c>
      <c r="FE123" s="54">
        <f t="shared" si="2"/>
        <v>0</v>
      </c>
      <c r="FF123" s="54" t="str">
        <f t="shared" si="3"/>
        <v>一式</v>
      </c>
      <c r="FG123" s="54">
        <f t="shared" si="4"/>
        <v>0</v>
      </c>
      <c r="FH123" s="54">
        <f t="shared" si="5"/>
        <v>0</v>
      </c>
      <c r="FI123" s="54">
        <f t="shared" si="6"/>
        <v>0</v>
      </c>
    </row>
    <row r="124" spans="79:165" ht="15" customHeight="1" x14ac:dyDescent="0.15">
      <c r="CA124" s="36"/>
      <c r="CB124" s="1"/>
      <c r="CC124" s="1"/>
      <c r="CD124" s="1"/>
      <c r="CE124" s="1"/>
      <c r="CF124" s="1"/>
      <c r="CG124" s="1"/>
      <c r="CH124" s="1"/>
      <c r="CI124" s="108">
        <v>8</v>
      </c>
      <c r="CJ124" s="108"/>
      <c r="CK124" s="107"/>
      <c r="CL124" s="107"/>
      <c r="CM124" s="107"/>
      <c r="CN124" s="107"/>
      <c r="CO124" s="107"/>
      <c r="CP124" s="107"/>
      <c r="CQ124" s="107"/>
      <c r="CR124" s="1"/>
      <c r="CS124" s="12" t="s">
        <v>96</v>
      </c>
      <c r="CT124" s="13"/>
      <c r="CU124" s="10"/>
      <c r="CV124" s="21" t="s">
        <v>83</v>
      </c>
      <c r="CW124" s="105" t="s">
        <v>97</v>
      </c>
      <c r="CX124" s="105"/>
      <c r="CY124" s="105"/>
      <c r="CZ124" s="105"/>
      <c r="DA124" s="105"/>
      <c r="DB124" s="105"/>
      <c r="DC124" s="105"/>
      <c r="DD124" s="105"/>
      <c r="DE124" s="105" t="s">
        <v>98</v>
      </c>
      <c r="DF124" s="105"/>
      <c r="DG124" s="105"/>
      <c r="DH124" s="105"/>
      <c r="DI124" s="105"/>
      <c r="DJ124" s="105"/>
      <c r="DK124" s="105"/>
      <c r="DL124" s="1"/>
      <c r="DM124" s="1"/>
      <c r="DN124" s="1"/>
      <c r="DO124" s="1"/>
      <c r="DP124" s="1"/>
      <c r="DQ124" s="1"/>
      <c r="DR124" s="101"/>
      <c r="DS124" s="101"/>
      <c r="DT124" s="101"/>
      <c r="DU124" s="101"/>
      <c r="DV124" s="101"/>
      <c r="DW124" s="101"/>
      <c r="DX124" s="101"/>
      <c r="DY124" s="101"/>
      <c r="DZ124" s="101"/>
      <c r="EA124" s="101"/>
      <c r="EB124" s="101"/>
      <c r="EC124" s="10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37"/>
      <c r="FB124" s="53">
        <v>0</v>
      </c>
      <c r="FC124" s="54">
        <v>12</v>
      </c>
      <c r="FD124" s="54" t="str">
        <f>B37</f>
        <v>休日割増　土日祝</v>
      </c>
      <c r="FE124" s="54">
        <f t="shared" si="2"/>
        <v>0</v>
      </c>
      <c r="FF124" s="54" t="str">
        <f t="shared" si="3"/>
        <v>一式</v>
      </c>
      <c r="FG124" s="54">
        <f t="shared" si="4"/>
        <v>25000</v>
      </c>
      <c r="FH124" s="54">
        <f t="shared" si="5"/>
        <v>25000</v>
      </c>
      <c r="FI124" s="54">
        <f t="shared" si="6"/>
        <v>0</v>
      </c>
    </row>
    <row r="125" spans="79:165" ht="15" customHeight="1" x14ac:dyDescent="0.15">
      <c r="CA125" s="36"/>
      <c r="CB125" s="1"/>
      <c r="CC125" s="1"/>
      <c r="CD125" s="1"/>
      <c r="CE125" s="1"/>
      <c r="CF125" s="1"/>
      <c r="CG125" s="1"/>
      <c r="CH125" s="1"/>
      <c r="CI125" s="108">
        <v>9</v>
      </c>
      <c r="CJ125" s="108"/>
      <c r="CK125" s="107"/>
      <c r="CL125" s="107"/>
      <c r="CM125" s="107"/>
      <c r="CN125" s="107"/>
      <c r="CO125" s="107"/>
      <c r="CP125" s="107"/>
      <c r="CQ125" s="107"/>
      <c r="CR125" s="1"/>
      <c r="CS125" s="12" t="s">
        <v>99</v>
      </c>
      <c r="CT125" s="13"/>
      <c r="CU125" s="10"/>
      <c r="CV125" s="21" t="s">
        <v>100</v>
      </c>
      <c r="CW125" s="105" t="s">
        <v>101</v>
      </c>
      <c r="CX125" s="105"/>
      <c r="CY125" s="105"/>
      <c r="CZ125" s="105"/>
      <c r="DA125" s="105"/>
      <c r="DB125" s="105"/>
      <c r="DC125" s="105"/>
      <c r="DD125" s="105"/>
      <c r="DE125" s="105" t="s">
        <v>102</v>
      </c>
      <c r="DF125" s="105"/>
      <c r="DG125" s="105"/>
      <c r="DH125" s="105"/>
      <c r="DI125" s="105"/>
      <c r="DJ125" s="105"/>
      <c r="DK125" s="105"/>
      <c r="DL125" s="1"/>
      <c r="DM125" s="1"/>
      <c r="DN125" s="1"/>
      <c r="DO125" s="1"/>
      <c r="DP125" s="1"/>
      <c r="DQ125" s="1"/>
      <c r="DR125" s="101"/>
      <c r="DS125" s="101"/>
      <c r="DT125" s="101"/>
      <c r="DU125" s="101"/>
      <c r="DV125" s="101"/>
      <c r="DW125" s="101"/>
      <c r="DX125" s="101"/>
      <c r="DY125" s="101"/>
      <c r="DZ125" s="101"/>
      <c r="EA125" s="101"/>
      <c r="EB125" s="101"/>
      <c r="EC125" s="10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37"/>
      <c r="FB125" s="53">
        <v>1</v>
      </c>
      <c r="FC125" s="54">
        <v>1</v>
      </c>
      <c r="FD125" s="54">
        <f>本体装備品一覧!$C$7</f>
        <v>0</v>
      </c>
      <c r="FE125" s="54">
        <f>本体装備品一覧!$U$7</f>
        <v>0</v>
      </c>
      <c r="FF125" s="54">
        <f>本体装備品一覧!$Y$7</f>
        <v>0</v>
      </c>
      <c r="FG125" s="54">
        <f>本体装備品一覧!$AB$7</f>
        <v>0</v>
      </c>
      <c r="FH125" s="54">
        <f>本体装備品一覧!$AG$7</f>
        <v>0</v>
      </c>
      <c r="FI125" s="54">
        <f>本体装備品一覧!$AN$7</f>
        <v>0</v>
      </c>
    </row>
    <row r="126" spans="79:165" ht="15" customHeight="1" x14ac:dyDescent="0.15">
      <c r="CA126" s="36"/>
      <c r="CB126" s="1"/>
      <c r="CC126" s="1"/>
      <c r="CD126" s="1"/>
      <c r="CE126" s="1"/>
      <c r="CF126" s="1"/>
      <c r="CG126" s="1"/>
      <c r="CH126" s="1"/>
      <c r="CI126" s="108">
        <v>10</v>
      </c>
      <c r="CJ126" s="108"/>
      <c r="CK126" s="107"/>
      <c r="CL126" s="107"/>
      <c r="CM126" s="107"/>
      <c r="CN126" s="107"/>
      <c r="CO126" s="107"/>
      <c r="CP126" s="107"/>
      <c r="CQ126" s="107"/>
      <c r="CR126" s="1"/>
      <c r="CS126" s="15" t="s">
        <v>103</v>
      </c>
      <c r="CT126" s="16"/>
      <c r="CU126" s="10"/>
      <c r="CV126" s="21" t="s">
        <v>104</v>
      </c>
      <c r="CW126" s="105" t="s">
        <v>105</v>
      </c>
      <c r="CX126" s="105"/>
      <c r="CY126" s="105"/>
      <c r="CZ126" s="105"/>
      <c r="DA126" s="105"/>
      <c r="DB126" s="105"/>
      <c r="DC126" s="105"/>
      <c r="DD126" s="105"/>
      <c r="DE126" s="105" t="s">
        <v>106</v>
      </c>
      <c r="DF126" s="105"/>
      <c r="DG126" s="105"/>
      <c r="DH126" s="105"/>
      <c r="DI126" s="105"/>
      <c r="DJ126" s="105"/>
      <c r="DK126" s="105"/>
      <c r="DL126" s="1"/>
      <c r="DM126" s="1"/>
      <c r="DN126" s="1"/>
      <c r="DO126" s="1"/>
      <c r="DP126" s="1"/>
      <c r="DQ126" s="1"/>
      <c r="DR126" s="101"/>
      <c r="DS126" s="101"/>
      <c r="DT126" s="101"/>
      <c r="DU126" s="101"/>
      <c r="DV126" s="101"/>
      <c r="DW126" s="101"/>
      <c r="DX126" s="101"/>
      <c r="DY126" s="101"/>
      <c r="DZ126" s="101"/>
      <c r="EA126" s="101"/>
      <c r="EB126" s="101"/>
      <c r="EC126" s="10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37"/>
      <c r="FB126" s="53">
        <v>1</v>
      </c>
      <c r="FC126" s="54">
        <v>2</v>
      </c>
      <c r="FD126" s="54">
        <f>本体装備品一覧!$C$8</f>
        <v>0</v>
      </c>
      <c r="FE126" s="54">
        <f>本体装備品一覧!$U$8</f>
        <v>0</v>
      </c>
      <c r="FF126" s="54">
        <f>本体装備品一覧!$Y$8</f>
        <v>0</v>
      </c>
      <c r="FG126" s="54">
        <f>本体装備品一覧!$AB$8</f>
        <v>0</v>
      </c>
      <c r="FH126" s="54">
        <f>本体装備品一覧!$AG$8</f>
        <v>0</v>
      </c>
      <c r="FI126" s="54">
        <f>本体装備品一覧!$AN$8</f>
        <v>0</v>
      </c>
    </row>
    <row r="127" spans="79:165" ht="15" customHeight="1" x14ac:dyDescent="0.15">
      <c r="CA127" s="36"/>
      <c r="CB127" s="1"/>
      <c r="CC127" s="1"/>
      <c r="CD127" s="1"/>
      <c r="CE127" s="1"/>
      <c r="CF127" s="1"/>
      <c r="CG127" s="1"/>
      <c r="CH127" s="1"/>
      <c r="CI127" s="106" t="s">
        <v>107</v>
      </c>
      <c r="CJ127" s="106"/>
      <c r="CK127" s="107">
        <f>SUM(CK116:CQ126)</f>
        <v>1235000</v>
      </c>
      <c r="CL127" s="107"/>
      <c r="CM127" s="107"/>
      <c r="CN127" s="107"/>
      <c r="CO127" s="107"/>
      <c r="CP127" s="107"/>
      <c r="CQ127" s="107"/>
      <c r="CR127" s="1"/>
      <c r="CS127" s="12" t="s">
        <v>108</v>
      </c>
      <c r="CT127" s="13"/>
      <c r="CU127" s="10"/>
      <c r="CV127" s="21" t="s">
        <v>109</v>
      </c>
      <c r="CW127" s="105" t="s">
        <v>110</v>
      </c>
      <c r="CX127" s="105"/>
      <c r="CY127" s="105"/>
      <c r="CZ127" s="105"/>
      <c r="DA127" s="105"/>
      <c r="DB127" s="105"/>
      <c r="DC127" s="105"/>
      <c r="DD127" s="105"/>
      <c r="DE127" s="105" t="s">
        <v>111</v>
      </c>
      <c r="DF127" s="105"/>
      <c r="DG127" s="105"/>
      <c r="DH127" s="105"/>
      <c r="DI127" s="105"/>
      <c r="DJ127" s="105"/>
      <c r="DK127" s="105"/>
      <c r="DL127" s="1"/>
      <c r="DM127" s="1"/>
      <c r="DN127" s="1"/>
      <c r="DO127" s="1"/>
      <c r="DP127" s="1"/>
      <c r="DQ127" s="1"/>
      <c r="DR127" s="101"/>
      <c r="DS127" s="101"/>
      <c r="DT127" s="101"/>
      <c r="DU127" s="101"/>
      <c r="DV127" s="101"/>
      <c r="DW127" s="101"/>
      <c r="DX127" s="101"/>
      <c r="DY127" s="101"/>
      <c r="DZ127" s="101"/>
      <c r="EA127" s="101"/>
      <c r="EB127" s="101"/>
      <c r="EC127" s="10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37"/>
      <c r="FB127" s="53">
        <v>1</v>
      </c>
      <c r="FC127" s="54">
        <v>3</v>
      </c>
      <c r="FD127" s="54">
        <f>本体装備品一覧!$C$9</f>
        <v>0</v>
      </c>
      <c r="FE127" s="54">
        <f>本体装備品一覧!$U$9</f>
        <v>0</v>
      </c>
      <c r="FF127" s="54">
        <f>本体装備品一覧!$Y$9</f>
        <v>0</v>
      </c>
      <c r="FG127" s="54">
        <f>本体装備品一覧!$AB$9</f>
        <v>0</v>
      </c>
      <c r="FH127" s="54">
        <f>本体装備品一覧!$AG$9</f>
        <v>0</v>
      </c>
      <c r="FI127" s="54">
        <f>本体装備品一覧!$AN$9</f>
        <v>0</v>
      </c>
    </row>
    <row r="128" spans="79:165" ht="15" customHeight="1" x14ac:dyDescent="0.15">
      <c r="CA128" s="36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2"/>
      <c r="CT128" s="13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37"/>
      <c r="FB128" s="53">
        <v>1</v>
      </c>
      <c r="FC128" s="54">
        <v>4</v>
      </c>
      <c r="FD128" s="54">
        <f>本体装備品一覧!$C$10</f>
        <v>0</v>
      </c>
      <c r="FE128" s="54">
        <f>本体装備品一覧!$U$10</f>
        <v>0</v>
      </c>
      <c r="FF128" s="54">
        <f>本体装備品一覧!$Y$10</f>
        <v>0</v>
      </c>
      <c r="FG128" s="54">
        <f>本体装備品一覧!$AB$10</f>
        <v>0</v>
      </c>
      <c r="FH128" s="54">
        <f>本体装備品一覧!$AG$10</f>
        <v>0</v>
      </c>
      <c r="FI128" s="54">
        <f>本体装備品一覧!$AN$10</f>
        <v>0</v>
      </c>
    </row>
    <row r="129" spans="79:165" ht="15" customHeight="1" x14ac:dyDescent="0.15">
      <c r="CA129" s="36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37"/>
      <c r="FB129" s="53">
        <v>1</v>
      </c>
      <c r="FC129" s="54">
        <v>5</v>
      </c>
      <c r="FD129" s="54">
        <f>本体装備品一覧!$C$11</f>
        <v>0</v>
      </c>
      <c r="FE129" s="54">
        <f>本体装備品一覧!$U$11</f>
        <v>0</v>
      </c>
      <c r="FF129" s="54">
        <f>本体装備品一覧!$Y$11</f>
        <v>0</v>
      </c>
      <c r="FG129" s="54">
        <f>本体装備品一覧!$AB$11</f>
        <v>0</v>
      </c>
      <c r="FH129" s="54">
        <f>本体装備品一覧!$AG$11</f>
        <v>0</v>
      </c>
      <c r="FI129" s="54">
        <f>本体装備品一覧!$AN$11</f>
        <v>0</v>
      </c>
    </row>
    <row r="130" spans="79:165" ht="15" customHeight="1" x14ac:dyDescent="0.15">
      <c r="CA130" s="36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37"/>
      <c r="FB130" s="53">
        <v>1</v>
      </c>
      <c r="FC130" s="54">
        <v>6</v>
      </c>
      <c r="FD130" s="54">
        <f>本体装備品一覧!$C$12</f>
        <v>0</v>
      </c>
      <c r="FE130" s="54">
        <f>本体装備品一覧!$U$12</f>
        <v>0</v>
      </c>
      <c r="FF130" s="54">
        <f>本体装備品一覧!$Y$12</f>
        <v>0</v>
      </c>
      <c r="FG130" s="54">
        <f>本体装備品一覧!$AB$12</f>
        <v>0</v>
      </c>
      <c r="FH130" s="54">
        <f>本体装備品一覧!$AG$12</f>
        <v>0</v>
      </c>
      <c r="FI130" s="54">
        <f>本体装備品一覧!$AN$12</f>
        <v>0</v>
      </c>
    </row>
    <row r="131" spans="79:165" ht="15" customHeight="1" x14ac:dyDescent="0.15">
      <c r="CA131" s="36"/>
      <c r="CB131" s="1"/>
      <c r="CC131" s="1"/>
      <c r="CD131" s="1"/>
      <c r="CE131" s="1"/>
      <c r="CF131" s="1"/>
      <c r="CG131" s="1"/>
      <c r="CH131" s="1"/>
      <c r="CI131" s="102" t="s">
        <v>112</v>
      </c>
      <c r="CJ131" s="102"/>
      <c r="CK131" s="102"/>
      <c r="CL131" s="102"/>
      <c r="CM131" s="103" t="s">
        <v>113</v>
      </c>
      <c r="CN131" s="104"/>
      <c r="CO131" s="104"/>
      <c r="CP131" s="104"/>
      <c r="CQ131" s="104"/>
      <c r="CR131" s="104"/>
      <c r="CS131" s="104"/>
      <c r="CT131" s="104"/>
      <c r="CU131" s="104"/>
      <c r="CV131" s="104"/>
      <c r="CW131" s="104"/>
      <c r="CX131" s="104"/>
      <c r="CY131" s="104"/>
      <c r="CZ131" s="104"/>
      <c r="DA131" s="104"/>
      <c r="DB131" s="104"/>
      <c r="DC131" s="104"/>
      <c r="DD131" s="104"/>
      <c r="DE131" s="104"/>
      <c r="DF131" s="104"/>
      <c r="DG131" s="104"/>
      <c r="DH131" s="104"/>
      <c r="DI131" s="104"/>
      <c r="DJ131" s="104"/>
      <c r="DK131" s="104"/>
      <c r="DL131" s="1"/>
      <c r="DM131" s="96" t="s">
        <v>114</v>
      </c>
      <c r="DN131" s="97"/>
      <c r="DO131" s="98" t="s">
        <v>115</v>
      </c>
      <c r="DP131" s="99"/>
      <c r="DQ131" s="99"/>
      <c r="DR131" s="99"/>
      <c r="DS131" s="99"/>
      <c r="DT131" s="99"/>
      <c r="DU131" s="100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37"/>
      <c r="FB131" s="53">
        <v>1</v>
      </c>
      <c r="FC131" s="54">
        <v>7</v>
      </c>
      <c r="FD131" s="54">
        <f>本体装備品一覧!$C$13</f>
        <v>0</v>
      </c>
      <c r="FE131" s="54">
        <f>本体装備品一覧!$U$13</f>
        <v>0</v>
      </c>
      <c r="FF131" s="54">
        <f>本体装備品一覧!$Y$13</f>
        <v>0</v>
      </c>
      <c r="FG131" s="54">
        <f>本体装備品一覧!$AB$13</f>
        <v>0</v>
      </c>
      <c r="FH131" s="54">
        <f>本体装備品一覧!$AG$13</f>
        <v>0</v>
      </c>
      <c r="FI131" s="54">
        <f>本体装備品一覧!$AN$13</f>
        <v>0</v>
      </c>
    </row>
    <row r="132" spans="79:165" ht="15" customHeight="1" x14ac:dyDescent="0.15">
      <c r="CA132" s="36"/>
      <c r="CB132" s="1"/>
      <c r="CC132" s="1"/>
      <c r="CD132" s="1"/>
      <c r="CE132" s="1"/>
      <c r="CF132" s="1"/>
      <c r="CG132" s="1"/>
      <c r="CH132" s="1"/>
      <c r="CI132" s="102" t="s">
        <v>116</v>
      </c>
      <c r="CJ132" s="102"/>
      <c r="CK132" s="102"/>
      <c r="CL132" s="102"/>
      <c r="CM132" s="103"/>
      <c r="CN132" s="104"/>
      <c r="CO132" s="104"/>
      <c r="CP132" s="104"/>
      <c r="CQ132" s="104"/>
      <c r="CR132" s="104"/>
      <c r="CS132" s="104"/>
      <c r="CT132" s="104"/>
      <c r="CU132" s="104"/>
      <c r="CV132" s="104"/>
      <c r="CW132" s="104"/>
      <c r="CX132" s="104"/>
      <c r="CY132" s="104"/>
      <c r="CZ132" s="104"/>
      <c r="DA132" s="104"/>
      <c r="DB132" s="104"/>
      <c r="DC132" s="104"/>
      <c r="DD132" s="104"/>
      <c r="DE132" s="104"/>
      <c r="DF132" s="104"/>
      <c r="DG132" s="104"/>
      <c r="DH132" s="104"/>
      <c r="DI132" s="104"/>
      <c r="DJ132" s="104"/>
      <c r="DK132" s="104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37"/>
      <c r="FB132" s="53">
        <v>1</v>
      </c>
      <c r="FC132" s="54">
        <v>8</v>
      </c>
      <c r="FD132" s="54">
        <f>本体装備品一覧!$C$14</f>
        <v>0</v>
      </c>
      <c r="FE132" s="54">
        <f>本体装備品一覧!$U$14</f>
        <v>0</v>
      </c>
      <c r="FF132" s="54">
        <f>本体装備品一覧!$Y$14</f>
        <v>0</v>
      </c>
      <c r="FG132" s="54">
        <f>本体装備品一覧!$AB$14</f>
        <v>0</v>
      </c>
      <c r="FH132" s="54">
        <f>本体装備品一覧!$AG$14</f>
        <v>0</v>
      </c>
      <c r="FI132" s="54">
        <f>本体装備品一覧!$AN$14</f>
        <v>0</v>
      </c>
    </row>
    <row r="133" spans="79:165" ht="15" customHeight="1" x14ac:dyDescent="0.15">
      <c r="CA133" s="36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37"/>
      <c r="FB133" s="53">
        <v>1</v>
      </c>
      <c r="FC133" s="54">
        <v>9</v>
      </c>
      <c r="FD133" s="54">
        <f>本体装備品一覧!$C$15</f>
        <v>0</v>
      </c>
      <c r="FE133" s="54">
        <f>本体装備品一覧!$U$15</f>
        <v>0</v>
      </c>
      <c r="FF133" s="54">
        <f>本体装備品一覧!$Y$15</f>
        <v>0</v>
      </c>
      <c r="FG133" s="54">
        <f>本体装備品一覧!$AB$15</f>
        <v>0</v>
      </c>
      <c r="FH133" s="54">
        <f>本体装備品一覧!$AG$15</f>
        <v>0</v>
      </c>
      <c r="FI133" s="54">
        <f>本体装備品一覧!$AN$15</f>
        <v>0</v>
      </c>
    </row>
    <row r="134" spans="79:165" ht="15" customHeight="1" x14ac:dyDescent="0.15">
      <c r="CA134" s="36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37"/>
      <c r="FB134" s="53">
        <v>1</v>
      </c>
      <c r="FC134" s="54">
        <v>10</v>
      </c>
      <c r="FD134" s="54">
        <f>本体装備品一覧!$C$16</f>
        <v>0</v>
      </c>
      <c r="FE134" s="54">
        <f>本体装備品一覧!$U$16</f>
        <v>0</v>
      </c>
      <c r="FF134" s="54">
        <f>本体装備品一覧!$Y$16</f>
        <v>0</v>
      </c>
      <c r="FG134" s="54">
        <f>本体装備品一覧!$AB$16</f>
        <v>0</v>
      </c>
      <c r="FH134" s="54">
        <f>本体装備品一覧!$AG$16</f>
        <v>0</v>
      </c>
      <c r="FI134" s="54">
        <f>本体装備品一覧!$AN$16</f>
        <v>0</v>
      </c>
    </row>
    <row r="135" spans="79:165" ht="15" customHeight="1" x14ac:dyDescent="0.15">
      <c r="CA135" s="36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37"/>
      <c r="FB135" s="53">
        <v>1</v>
      </c>
      <c r="FC135" s="54">
        <v>11</v>
      </c>
      <c r="FD135" s="54">
        <f>本体装備品一覧!$C$17</f>
        <v>0</v>
      </c>
      <c r="FE135" s="54">
        <f>本体装備品一覧!$U$17</f>
        <v>0</v>
      </c>
      <c r="FF135" s="54">
        <f>本体装備品一覧!$Y$17</f>
        <v>0</v>
      </c>
      <c r="FG135" s="54">
        <f>本体装備品一覧!$AB$17</f>
        <v>0</v>
      </c>
      <c r="FH135" s="54">
        <f>本体装備品一覧!$AG$17</f>
        <v>0</v>
      </c>
      <c r="FI135" s="54">
        <f>本体装備品一覧!$AN$17</f>
        <v>0</v>
      </c>
    </row>
    <row r="136" spans="79:165" ht="15" customHeight="1" x14ac:dyDescent="0.15">
      <c r="CA136" s="36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37"/>
      <c r="FB136" s="53">
        <v>1</v>
      </c>
      <c r="FC136" s="54">
        <v>12</v>
      </c>
      <c r="FD136" s="54">
        <f>本体装備品一覧!$C$18</f>
        <v>0</v>
      </c>
      <c r="FE136" s="54">
        <f>本体装備品一覧!$U$18</f>
        <v>0</v>
      </c>
      <c r="FF136" s="54">
        <f>本体装備品一覧!$Y$18</f>
        <v>0</v>
      </c>
      <c r="FG136" s="54">
        <f>本体装備品一覧!$AB$18</f>
        <v>0</v>
      </c>
      <c r="FH136" s="54">
        <f>本体装備品一覧!$AG$18</f>
        <v>0</v>
      </c>
      <c r="FI136" s="54">
        <f>本体装備品一覧!$AN$18</f>
        <v>0</v>
      </c>
    </row>
    <row r="137" spans="79:165" ht="15" customHeight="1" x14ac:dyDescent="0.15">
      <c r="CA137" s="36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37"/>
      <c r="FB137" s="53">
        <v>1</v>
      </c>
      <c r="FC137" s="54">
        <v>13</v>
      </c>
      <c r="FD137" s="54">
        <f>本体装備品一覧!$C$19</f>
        <v>0</v>
      </c>
      <c r="FE137" s="54">
        <f>本体装備品一覧!$U$19</f>
        <v>0</v>
      </c>
      <c r="FF137" s="54">
        <f>本体装備品一覧!$Y$19</f>
        <v>0</v>
      </c>
      <c r="FG137" s="54">
        <f>本体装備品一覧!$AB$19</f>
        <v>0</v>
      </c>
      <c r="FH137" s="54">
        <f>本体装備品一覧!$AG$19</f>
        <v>0</v>
      </c>
      <c r="FI137" s="54">
        <f>本体装備品一覧!$AN$19</f>
        <v>0</v>
      </c>
    </row>
    <row r="138" spans="79:165" ht="15" customHeight="1" x14ac:dyDescent="0.15">
      <c r="CA138" s="40"/>
      <c r="CB138" s="38"/>
      <c r="CC138" s="38"/>
      <c r="CD138" s="38"/>
      <c r="CE138" s="38"/>
      <c r="CF138" s="38"/>
      <c r="CG138" s="38"/>
      <c r="CH138" s="38"/>
      <c r="CI138" s="38"/>
      <c r="CJ138" s="38"/>
      <c r="CK138" s="38"/>
      <c r="CL138" s="38"/>
      <c r="CM138" s="38"/>
      <c r="CN138" s="38"/>
      <c r="CO138" s="38"/>
      <c r="CP138" s="38"/>
      <c r="CQ138" s="38"/>
      <c r="CR138" s="38"/>
      <c r="CS138" s="38"/>
      <c r="CT138" s="38"/>
      <c r="CU138" s="38"/>
      <c r="CV138" s="38"/>
      <c r="CW138" s="38"/>
      <c r="CX138" s="38"/>
      <c r="CY138" s="38"/>
      <c r="CZ138" s="38"/>
      <c r="DA138" s="38"/>
      <c r="DB138" s="38"/>
      <c r="DC138" s="38"/>
      <c r="DD138" s="38"/>
      <c r="DE138" s="38"/>
      <c r="DF138" s="38"/>
      <c r="DG138" s="38"/>
      <c r="DH138" s="38"/>
      <c r="DI138" s="38"/>
      <c r="DJ138" s="38"/>
      <c r="DK138" s="38"/>
      <c r="DL138" s="38"/>
      <c r="DM138" s="38"/>
      <c r="DN138" s="38"/>
      <c r="DO138" s="38"/>
      <c r="DP138" s="38"/>
      <c r="DQ138" s="38"/>
      <c r="DR138" s="38"/>
      <c r="DS138" s="38"/>
      <c r="DT138" s="38"/>
      <c r="DU138" s="38"/>
      <c r="DV138" s="38"/>
      <c r="DW138" s="38"/>
      <c r="DX138" s="38"/>
      <c r="DY138" s="38"/>
      <c r="DZ138" s="38"/>
      <c r="EA138" s="38"/>
      <c r="EB138" s="38"/>
      <c r="EC138" s="38"/>
      <c r="ED138" s="38"/>
      <c r="EE138" s="38"/>
      <c r="EF138" s="38"/>
      <c r="EG138" s="38"/>
      <c r="EH138" s="38"/>
      <c r="EI138" s="38"/>
      <c r="EJ138" s="38"/>
      <c r="EK138" s="38"/>
      <c r="EL138" s="38"/>
      <c r="EM138" s="38"/>
      <c r="EN138" s="38"/>
      <c r="EO138" s="38"/>
      <c r="EP138" s="39"/>
      <c r="FB138" s="53">
        <v>1</v>
      </c>
      <c r="FC138" s="54">
        <v>14</v>
      </c>
      <c r="FD138" s="54">
        <f>本体装備品一覧!$C$20</f>
        <v>0</v>
      </c>
      <c r="FE138" s="54">
        <f>本体装備品一覧!$U$20</f>
        <v>0</v>
      </c>
      <c r="FF138" s="54">
        <f>本体装備品一覧!$Y$20</f>
        <v>0</v>
      </c>
      <c r="FG138" s="54">
        <f>本体装備品一覧!$AB$20</f>
        <v>0</v>
      </c>
      <c r="FH138" s="54">
        <f>本体装備品一覧!$AG$20</f>
        <v>0</v>
      </c>
      <c r="FI138" s="54">
        <f>本体装備品一覧!$AN$20</f>
        <v>0</v>
      </c>
    </row>
    <row r="139" spans="79:165" ht="15" customHeight="1" x14ac:dyDescent="0.15">
      <c r="FB139" s="53">
        <v>1</v>
      </c>
      <c r="FC139" s="54">
        <v>15</v>
      </c>
      <c r="FD139" s="54">
        <f>本体装備品一覧!$C$21</f>
        <v>0</v>
      </c>
      <c r="FE139" s="54">
        <f>本体装備品一覧!$U$21</f>
        <v>0</v>
      </c>
      <c r="FF139" s="54">
        <f>本体装備品一覧!$Y$21</f>
        <v>0</v>
      </c>
      <c r="FG139" s="54">
        <f>本体装備品一覧!$AB$21</f>
        <v>0</v>
      </c>
      <c r="FH139" s="54">
        <f>本体装備品一覧!$AG$21</f>
        <v>0</v>
      </c>
      <c r="FI139" s="54">
        <f>本体装備品一覧!$AN$21</f>
        <v>0</v>
      </c>
    </row>
    <row r="140" spans="79:165" ht="15" customHeight="1" x14ac:dyDescent="0.15">
      <c r="FB140" s="53">
        <v>1</v>
      </c>
      <c r="FC140" s="54">
        <v>16</v>
      </c>
      <c r="FD140" s="54">
        <f>本体装備品一覧!$C$22</f>
        <v>0</v>
      </c>
      <c r="FE140" s="54">
        <f>本体装備品一覧!$U$22</f>
        <v>0</v>
      </c>
      <c r="FF140" s="54">
        <f>本体装備品一覧!$Y$22</f>
        <v>0</v>
      </c>
      <c r="FG140" s="54">
        <f>本体装備品一覧!$AB$22</f>
        <v>0</v>
      </c>
      <c r="FH140" s="54">
        <f>本体装備品一覧!$AG$22</f>
        <v>0</v>
      </c>
      <c r="FI140" s="54">
        <f>本体装備品一覧!$AN$22</f>
        <v>0</v>
      </c>
    </row>
    <row r="141" spans="79:165" ht="15" customHeight="1" x14ac:dyDescent="0.15">
      <c r="FB141" s="53">
        <v>1</v>
      </c>
      <c r="FC141" s="54">
        <v>17</v>
      </c>
      <c r="FD141" s="54">
        <f>本体装備品一覧!$C$23</f>
        <v>0</v>
      </c>
      <c r="FE141" s="54">
        <f>本体装備品一覧!$U$23</f>
        <v>0</v>
      </c>
      <c r="FF141" s="54">
        <f>本体装備品一覧!$Y$23</f>
        <v>0</v>
      </c>
      <c r="FG141" s="54">
        <f>本体装備品一覧!$AB$23</f>
        <v>0</v>
      </c>
      <c r="FH141" s="54">
        <f>本体装備品一覧!$AG$23</f>
        <v>0</v>
      </c>
      <c r="FI141" s="54">
        <f>本体装備品一覧!$AN$23</f>
        <v>0</v>
      </c>
    </row>
    <row r="142" spans="79:165" ht="15" customHeight="1" x14ac:dyDescent="0.15">
      <c r="CM142" s="60"/>
      <c r="FB142" s="53">
        <v>1</v>
      </c>
      <c r="FC142" s="54">
        <v>18</v>
      </c>
      <c r="FD142" s="54">
        <f>本体装備品一覧!$C$24</f>
        <v>0</v>
      </c>
      <c r="FE142" s="54">
        <f>本体装備品一覧!$U$24</f>
        <v>0</v>
      </c>
      <c r="FF142" s="54">
        <f>本体装備品一覧!$Y$24</f>
        <v>0</v>
      </c>
      <c r="FG142" s="54">
        <f>本体装備品一覧!$AB$24</f>
        <v>0</v>
      </c>
      <c r="FH142" s="54">
        <f>本体装備品一覧!$AG$24</f>
        <v>0</v>
      </c>
      <c r="FI142" s="54">
        <f>本体装備品一覧!$AN$24</f>
        <v>0</v>
      </c>
    </row>
    <row r="143" spans="79:165" ht="15" customHeight="1" x14ac:dyDescent="0.15">
      <c r="FB143" s="53">
        <v>1</v>
      </c>
      <c r="FC143" s="54">
        <v>19</v>
      </c>
      <c r="FD143" s="54">
        <f>本体装備品一覧!$C$25</f>
        <v>0</v>
      </c>
      <c r="FE143" s="54">
        <f>本体装備品一覧!$U$25</f>
        <v>0</v>
      </c>
      <c r="FF143" s="54">
        <f>本体装備品一覧!$Y$25</f>
        <v>0</v>
      </c>
      <c r="FG143" s="54">
        <f>本体装備品一覧!$AB$25</f>
        <v>0</v>
      </c>
      <c r="FH143" s="54">
        <f>本体装備品一覧!$AG$25</f>
        <v>0</v>
      </c>
      <c r="FI143" s="54">
        <f>本体装備品一覧!$AN$25</f>
        <v>0</v>
      </c>
    </row>
    <row r="144" spans="79:165" ht="15" customHeight="1" x14ac:dyDescent="0.15">
      <c r="FB144" s="53">
        <v>1</v>
      </c>
      <c r="FC144" s="54">
        <v>20</v>
      </c>
      <c r="FD144" s="54">
        <f>本体装備品一覧!$C$26</f>
        <v>0</v>
      </c>
      <c r="FE144" s="54">
        <f>本体装備品一覧!$U$26</f>
        <v>0</v>
      </c>
      <c r="FF144" s="54">
        <f>本体装備品一覧!$Y$26</f>
        <v>0</v>
      </c>
      <c r="FG144" s="54">
        <f>本体装備品一覧!$AB$26</f>
        <v>0</v>
      </c>
      <c r="FH144" s="54">
        <f>本体装備品一覧!$AG$26</f>
        <v>0</v>
      </c>
      <c r="FI144" s="54">
        <f>本体装備品一覧!$AN$26</f>
        <v>0</v>
      </c>
    </row>
    <row r="145" spans="158:165" ht="15" customHeight="1" x14ac:dyDescent="0.15">
      <c r="FB145" s="53">
        <v>1</v>
      </c>
      <c r="FC145" s="54">
        <v>21</v>
      </c>
      <c r="FD145" s="54">
        <f>本体装備品一覧!$C$27</f>
        <v>0</v>
      </c>
      <c r="FE145" s="54">
        <f>本体装備品一覧!$U$27</f>
        <v>0</v>
      </c>
      <c r="FF145" s="54">
        <f>本体装備品一覧!$Y$27</f>
        <v>0</v>
      </c>
      <c r="FG145" s="54">
        <f>本体装備品一覧!$AB$27</f>
        <v>0</v>
      </c>
      <c r="FH145" s="54">
        <f>本体装備品一覧!$AG$27</f>
        <v>0</v>
      </c>
      <c r="FI145" s="54">
        <f>本体装備品一覧!$AN$27</f>
        <v>0</v>
      </c>
    </row>
    <row r="146" spans="158:165" ht="15" customHeight="1" x14ac:dyDescent="0.15">
      <c r="FB146" s="53">
        <v>1</v>
      </c>
      <c r="FC146" s="54">
        <v>22</v>
      </c>
      <c r="FD146" s="54">
        <f>本体装備品一覧!$C$28</f>
        <v>0</v>
      </c>
      <c r="FE146" s="54">
        <f>本体装備品一覧!$U$28</f>
        <v>0</v>
      </c>
      <c r="FF146" s="54">
        <f>本体装備品一覧!$Y$28</f>
        <v>0</v>
      </c>
      <c r="FG146" s="54">
        <f>本体装備品一覧!$AB$28</f>
        <v>0</v>
      </c>
      <c r="FH146" s="54">
        <f>本体装備品一覧!$AG$28</f>
        <v>0</v>
      </c>
      <c r="FI146" s="54">
        <f>本体装備品一覧!$AN$28</f>
        <v>0</v>
      </c>
    </row>
    <row r="147" spans="158:165" ht="15" customHeight="1" x14ac:dyDescent="0.15">
      <c r="FB147" s="53">
        <v>1</v>
      </c>
      <c r="FC147" s="54">
        <v>23</v>
      </c>
      <c r="FD147" s="54">
        <f>本体装備品一覧!$C$29</f>
        <v>0</v>
      </c>
      <c r="FE147" s="54">
        <f>本体装備品一覧!$U$29</f>
        <v>0</v>
      </c>
      <c r="FF147" s="54">
        <f>本体装備品一覧!$Y$29</f>
        <v>0</v>
      </c>
      <c r="FG147" s="54">
        <f>本体装備品一覧!$AB$29</f>
        <v>0</v>
      </c>
      <c r="FH147" s="54">
        <f>本体装備品一覧!$AG$29</f>
        <v>0</v>
      </c>
      <c r="FI147" s="54">
        <f>本体装備品一覧!$AN$29</f>
        <v>0</v>
      </c>
    </row>
    <row r="148" spans="158:165" ht="15" customHeight="1" x14ac:dyDescent="0.15">
      <c r="FB148" s="53">
        <v>2</v>
      </c>
      <c r="FC148" s="54">
        <v>1</v>
      </c>
      <c r="FD148" s="54" t="e">
        <f>#REF!</f>
        <v>#REF!</v>
      </c>
      <c r="FE148" s="54" t="e">
        <f>#REF!</f>
        <v>#REF!</v>
      </c>
      <c r="FF148" s="54" t="e">
        <f>#REF!</f>
        <v>#REF!</v>
      </c>
      <c r="FG148" s="54" t="e">
        <f>#REF!</f>
        <v>#REF!</v>
      </c>
      <c r="FH148" s="54" t="e">
        <f>#REF!</f>
        <v>#REF!</v>
      </c>
      <c r="FI148" s="54" t="e">
        <f>#REF!</f>
        <v>#REF!</v>
      </c>
    </row>
    <row r="149" spans="158:165" ht="15" customHeight="1" x14ac:dyDescent="0.15">
      <c r="FB149" s="53">
        <v>2</v>
      </c>
      <c r="FC149" s="54">
        <v>2</v>
      </c>
      <c r="FD149" s="54" t="e">
        <f>#REF!</f>
        <v>#REF!</v>
      </c>
      <c r="FE149" s="54" t="e">
        <f>#REF!</f>
        <v>#REF!</v>
      </c>
      <c r="FF149" s="54" t="e">
        <f>#REF!</f>
        <v>#REF!</v>
      </c>
      <c r="FG149" s="54" t="e">
        <f>#REF!</f>
        <v>#REF!</v>
      </c>
      <c r="FH149" s="54" t="e">
        <f>#REF!</f>
        <v>#REF!</v>
      </c>
      <c r="FI149" s="54" t="e">
        <f>#REF!</f>
        <v>#REF!</v>
      </c>
    </row>
    <row r="150" spans="158:165" ht="15" customHeight="1" x14ac:dyDescent="0.15">
      <c r="FB150" s="53">
        <v>2</v>
      </c>
      <c r="FC150" s="54">
        <v>3</v>
      </c>
      <c r="FD150" s="54" t="e">
        <f>#REF!</f>
        <v>#REF!</v>
      </c>
      <c r="FE150" s="54" t="e">
        <f>#REF!</f>
        <v>#REF!</v>
      </c>
      <c r="FF150" s="54" t="e">
        <f>#REF!</f>
        <v>#REF!</v>
      </c>
      <c r="FG150" s="54" t="e">
        <f>#REF!</f>
        <v>#REF!</v>
      </c>
      <c r="FH150" s="54" t="e">
        <f>#REF!</f>
        <v>#REF!</v>
      </c>
      <c r="FI150" s="54" t="e">
        <f>#REF!</f>
        <v>#REF!</v>
      </c>
    </row>
    <row r="151" spans="158:165" ht="15" customHeight="1" x14ac:dyDescent="0.15">
      <c r="FB151" s="53">
        <v>2</v>
      </c>
      <c r="FC151" s="54">
        <v>4</v>
      </c>
      <c r="FD151" s="54" t="e">
        <f>#REF!</f>
        <v>#REF!</v>
      </c>
      <c r="FE151" s="54" t="e">
        <f>#REF!</f>
        <v>#REF!</v>
      </c>
      <c r="FF151" s="54" t="e">
        <f>#REF!</f>
        <v>#REF!</v>
      </c>
      <c r="FG151" s="54" t="e">
        <f>#REF!</f>
        <v>#REF!</v>
      </c>
      <c r="FH151" s="54" t="e">
        <f>#REF!</f>
        <v>#REF!</v>
      </c>
      <c r="FI151" s="54" t="e">
        <f>#REF!</f>
        <v>#REF!</v>
      </c>
    </row>
    <row r="152" spans="158:165" ht="15" customHeight="1" x14ac:dyDescent="0.15">
      <c r="FB152" s="53">
        <v>2</v>
      </c>
      <c r="FC152" s="54">
        <v>5</v>
      </c>
      <c r="FD152" s="54" t="e">
        <f>#REF!</f>
        <v>#REF!</v>
      </c>
      <c r="FE152" s="54" t="e">
        <f>#REF!</f>
        <v>#REF!</v>
      </c>
      <c r="FF152" s="54" t="e">
        <f>#REF!</f>
        <v>#REF!</v>
      </c>
      <c r="FG152" s="54" t="e">
        <f>#REF!</f>
        <v>#REF!</v>
      </c>
      <c r="FH152" s="54" t="e">
        <f>#REF!</f>
        <v>#REF!</v>
      </c>
      <c r="FI152" s="54" t="e">
        <f>#REF!</f>
        <v>#REF!</v>
      </c>
    </row>
    <row r="153" spans="158:165" ht="15" customHeight="1" x14ac:dyDescent="0.15">
      <c r="FB153" s="53">
        <v>2</v>
      </c>
      <c r="FC153" s="54">
        <v>6</v>
      </c>
      <c r="FD153" s="54" t="e">
        <f>#REF!</f>
        <v>#REF!</v>
      </c>
      <c r="FE153" s="54" t="e">
        <f>#REF!</f>
        <v>#REF!</v>
      </c>
      <c r="FF153" s="54" t="e">
        <f>#REF!</f>
        <v>#REF!</v>
      </c>
      <c r="FG153" s="54" t="e">
        <f>#REF!</f>
        <v>#REF!</v>
      </c>
      <c r="FH153" s="54" t="e">
        <f>#REF!</f>
        <v>#REF!</v>
      </c>
      <c r="FI153" s="54" t="e">
        <f>#REF!</f>
        <v>#REF!</v>
      </c>
    </row>
    <row r="154" spans="158:165" ht="15" customHeight="1" x14ac:dyDescent="0.15">
      <c r="FB154" s="53">
        <v>2</v>
      </c>
      <c r="FC154" s="54">
        <v>7</v>
      </c>
      <c r="FD154" s="54" t="e">
        <f>#REF!</f>
        <v>#REF!</v>
      </c>
      <c r="FE154" s="54" t="e">
        <f>#REF!</f>
        <v>#REF!</v>
      </c>
      <c r="FF154" s="54" t="e">
        <f>#REF!</f>
        <v>#REF!</v>
      </c>
      <c r="FG154" s="54" t="e">
        <f>#REF!</f>
        <v>#REF!</v>
      </c>
      <c r="FH154" s="54" t="e">
        <f>#REF!</f>
        <v>#REF!</v>
      </c>
      <c r="FI154" s="54" t="e">
        <f>#REF!</f>
        <v>#REF!</v>
      </c>
    </row>
    <row r="155" spans="158:165" ht="15" customHeight="1" x14ac:dyDescent="0.15">
      <c r="FB155" s="53">
        <v>2</v>
      </c>
      <c r="FC155" s="54">
        <v>8</v>
      </c>
      <c r="FD155" s="54" t="e">
        <f>#REF!</f>
        <v>#REF!</v>
      </c>
      <c r="FE155" s="54" t="e">
        <f>#REF!</f>
        <v>#REF!</v>
      </c>
      <c r="FF155" s="54" t="e">
        <f>#REF!</f>
        <v>#REF!</v>
      </c>
      <c r="FG155" s="54" t="e">
        <f>#REF!</f>
        <v>#REF!</v>
      </c>
      <c r="FH155" s="54" t="e">
        <f>#REF!</f>
        <v>#REF!</v>
      </c>
      <c r="FI155" s="54" t="e">
        <f>#REF!</f>
        <v>#REF!</v>
      </c>
    </row>
    <row r="156" spans="158:165" ht="15" customHeight="1" x14ac:dyDescent="0.15">
      <c r="FB156" s="53">
        <v>2</v>
      </c>
      <c r="FC156" s="54">
        <v>9</v>
      </c>
      <c r="FD156" s="54" t="e">
        <f>#REF!</f>
        <v>#REF!</v>
      </c>
      <c r="FE156" s="54" t="e">
        <f>#REF!</f>
        <v>#REF!</v>
      </c>
      <c r="FF156" s="54" t="e">
        <f>#REF!</f>
        <v>#REF!</v>
      </c>
      <c r="FG156" s="54" t="e">
        <f>#REF!</f>
        <v>#REF!</v>
      </c>
      <c r="FH156" s="54" t="e">
        <f>#REF!</f>
        <v>#REF!</v>
      </c>
      <c r="FI156" s="54" t="e">
        <f>#REF!</f>
        <v>#REF!</v>
      </c>
    </row>
    <row r="157" spans="158:165" ht="15" customHeight="1" x14ac:dyDescent="0.15">
      <c r="FB157" s="53">
        <v>2</v>
      </c>
      <c r="FC157" s="54">
        <v>10</v>
      </c>
      <c r="FD157" s="54" t="e">
        <f>#REF!</f>
        <v>#REF!</v>
      </c>
      <c r="FE157" s="54" t="e">
        <f>#REF!</f>
        <v>#REF!</v>
      </c>
      <c r="FF157" s="54" t="e">
        <f>#REF!</f>
        <v>#REF!</v>
      </c>
      <c r="FG157" s="54" t="e">
        <f>#REF!</f>
        <v>#REF!</v>
      </c>
      <c r="FH157" s="54" t="e">
        <f>#REF!</f>
        <v>#REF!</v>
      </c>
      <c r="FI157" s="54" t="e">
        <f>#REF!</f>
        <v>#REF!</v>
      </c>
    </row>
    <row r="158" spans="158:165" ht="15" customHeight="1" x14ac:dyDescent="0.15">
      <c r="FB158" s="53">
        <v>2</v>
      </c>
      <c r="FC158" s="54">
        <v>11</v>
      </c>
      <c r="FD158" s="54" t="e">
        <f>#REF!</f>
        <v>#REF!</v>
      </c>
      <c r="FE158" s="54" t="e">
        <f>#REF!</f>
        <v>#REF!</v>
      </c>
      <c r="FF158" s="54" t="e">
        <f>#REF!</f>
        <v>#REF!</v>
      </c>
      <c r="FG158" s="54" t="e">
        <f>#REF!</f>
        <v>#REF!</v>
      </c>
      <c r="FH158" s="54" t="e">
        <f>#REF!</f>
        <v>#REF!</v>
      </c>
      <c r="FI158" s="54" t="e">
        <f>#REF!</f>
        <v>#REF!</v>
      </c>
    </row>
    <row r="159" spans="158:165" ht="15" customHeight="1" x14ac:dyDescent="0.15">
      <c r="FB159" s="53">
        <v>2</v>
      </c>
      <c r="FC159" s="54">
        <v>12</v>
      </c>
      <c r="FD159" s="54" t="e">
        <f>#REF!</f>
        <v>#REF!</v>
      </c>
      <c r="FE159" s="54" t="e">
        <f>#REF!</f>
        <v>#REF!</v>
      </c>
      <c r="FF159" s="54" t="e">
        <f>#REF!</f>
        <v>#REF!</v>
      </c>
      <c r="FG159" s="54" t="e">
        <f>#REF!</f>
        <v>#REF!</v>
      </c>
      <c r="FH159" s="54" t="e">
        <f>#REF!</f>
        <v>#REF!</v>
      </c>
      <c r="FI159" s="54" t="e">
        <f>#REF!</f>
        <v>#REF!</v>
      </c>
    </row>
    <row r="160" spans="158:165" ht="15" customHeight="1" x14ac:dyDescent="0.15">
      <c r="FB160" s="53">
        <v>2</v>
      </c>
      <c r="FC160" s="54">
        <v>13</v>
      </c>
      <c r="FD160" s="54" t="e">
        <f>#REF!</f>
        <v>#REF!</v>
      </c>
      <c r="FE160" s="54" t="e">
        <f>#REF!</f>
        <v>#REF!</v>
      </c>
      <c r="FF160" s="54" t="e">
        <f>#REF!</f>
        <v>#REF!</v>
      </c>
      <c r="FG160" s="54" t="e">
        <f>#REF!</f>
        <v>#REF!</v>
      </c>
      <c r="FH160" s="54" t="e">
        <f>#REF!</f>
        <v>#REF!</v>
      </c>
      <c r="FI160" s="54" t="e">
        <f>#REF!</f>
        <v>#REF!</v>
      </c>
    </row>
    <row r="161" spans="158:165" ht="15" customHeight="1" x14ac:dyDescent="0.15">
      <c r="FB161" s="53">
        <v>2</v>
      </c>
      <c r="FC161" s="54">
        <v>14</v>
      </c>
      <c r="FD161" s="54" t="e">
        <f>#REF!</f>
        <v>#REF!</v>
      </c>
      <c r="FE161" s="54" t="e">
        <f>#REF!</f>
        <v>#REF!</v>
      </c>
      <c r="FF161" s="54" t="e">
        <f>#REF!</f>
        <v>#REF!</v>
      </c>
      <c r="FG161" s="54" t="e">
        <f>#REF!</f>
        <v>#REF!</v>
      </c>
      <c r="FH161" s="54" t="e">
        <f>#REF!</f>
        <v>#REF!</v>
      </c>
      <c r="FI161" s="54" t="e">
        <f>#REF!</f>
        <v>#REF!</v>
      </c>
    </row>
    <row r="162" spans="158:165" ht="15" customHeight="1" x14ac:dyDescent="0.15">
      <c r="FB162" s="53">
        <v>2</v>
      </c>
      <c r="FC162" s="54">
        <v>15</v>
      </c>
      <c r="FD162" s="54" t="e">
        <f>#REF!</f>
        <v>#REF!</v>
      </c>
      <c r="FE162" s="54" t="e">
        <f>#REF!</f>
        <v>#REF!</v>
      </c>
      <c r="FF162" s="54" t="e">
        <f>#REF!</f>
        <v>#REF!</v>
      </c>
      <c r="FG162" s="54" t="e">
        <f>#REF!</f>
        <v>#REF!</v>
      </c>
      <c r="FH162" s="54" t="e">
        <f>#REF!</f>
        <v>#REF!</v>
      </c>
      <c r="FI162" s="54" t="e">
        <f>#REF!</f>
        <v>#REF!</v>
      </c>
    </row>
    <row r="163" spans="158:165" ht="15" customHeight="1" x14ac:dyDescent="0.15">
      <c r="FB163" s="53">
        <v>2</v>
      </c>
      <c r="FC163" s="54">
        <v>16</v>
      </c>
      <c r="FD163" s="54" t="e">
        <f>#REF!</f>
        <v>#REF!</v>
      </c>
      <c r="FE163" s="54" t="e">
        <f>#REF!</f>
        <v>#REF!</v>
      </c>
      <c r="FF163" s="54" t="e">
        <f>#REF!</f>
        <v>#REF!</v>
      </c>
      <c r="FG163" s="54" t="e">
        <f>#REF!</f>
        <v>#REF!</v>
      </c>
      <c r="FH163" s="54" t="e">
        <f>#REF!</f>
        <v>#REF!</v>
      </c>
      <c r="FI163" s="54" t="e">
        <f>#REF!</f>
        <v>#REF!</v>
      </c>
    </row>
    <row r="164" spans="158:165" ht="15" customHeight="1" x14ac:dyDescent="0.15">
      <c r="FB164" s="53">
        <v>2</v>
      </c>
      <c r="FC164" s="54">
        <v>17</v>
      </c>
      <c r="FD164" s="54" t="e">
        <f>#REF!</f>
        <v>#REF!</v>
      </c>
      <c r="FE164" s="54" t="e">
        <f>#REF!</f>
        <v>#REF!</v>
      </c>
      <c r="FF164" s="54" t="e">
        <f>#REF!</f>
        <v>#REF!</v>
      </c>
      <c r="FG164" s="54" t="e">
        <f>#REF!</f>
        <v>#REF!</v>
      </c>
      <c r="FH164" s="54" t="e">
        <f>#REF!</f>
        <v>#REF!</v>
      </c>
      <c r="FI164" s="54" t="e">
        <f>#REF!</f>
        <v>#REF!</v>
      </c>
    </row>
    <row r="165" spans="158:165" ht="15" customHeight="1" x14ac:dyDescent="0.15">
      <c r="FB165" s="53">
        <v>2</v>
      </c>
      <c r="FC165" s="54">
        <v>18</v>
      </c>
      <c r="FD165" s="54" t="e">
        <f>#REF!</f>
        <v>#REF!</v>
      </c>
      <c r="FE165" s="54" t="e">
        <f>#REF!</f>
        <v>#REF!</v>
      </c>
      <c r="FF165" s="54" t="e">
        <f>#REF!</f>
        <v>#REF!</v>
      </c>
      <c r="FG165" s="54" t="e">
        <f>#REF!</f>
        <v>#REF!</v>
      </c>
      <c r="FH165" s="54" t="e">
        <f>#REF!</f>
        <v>#REF!</v>
      </c>
      <c r="FI165" s="54" t="e">
        <f>#REF!</f>
        <v>#REF!</v>
      </c>
    </row>
    <row r="166" spans="158:165" ht="15" customHeight="1" x14ac:dyDescent="0.15">
      <c r="FB166" s="53">
        <v>2</v>
      </c>
      <c r="FC166" s="54">
        <v>19</v>
      </c>
      <c r="FD166" s="54" t="e">
        <f>#REF!</f>
        <v>#REF!</v>
      </c>
      <c r="FE166" s="54" t="e">
        <f>#REF!</f>
        <v>#REF!</v>
      </c>
      <c r="FF166" s="54" t="e">
        <f>#REF!</f>
        <v>#REF!</v>
      </c>
      <c r="FG166" s="54" t="e">
        <f>#REF!</f>
        <v>#REF!</v>
      </c>
      <c r="FH166" s="54" t="e">
        <f>#REF!</f>
        <v>#REF!</v>
      </c>
      <c r="FI166" s="54" t="e">
        <f>#REF!</f>
        <v>#REF!</v>
      </c>
    </row>
    <row r="167" spans="158:165" ht="15" customHeight="1" x14ac:dyDescent="0.15">
      <c r="FB167" s="53">
        <v>2</v>
      </c>
      <c r="FC167" s="54">
        <v>20</v>
      </c>
      <c r="FD167" s="54" t="e">
        <f>#REF!</f>
        <v>#REF!</v>
      </c>
      <c r="FE167" s="54" t="e">
        <f>#REF!</f>
        <v>#REF!</v>
      </c>
      <c r="FF167" s="54" t="e">
        <f>#REF!</f>
        <v>#REF!</v>
      </c>
      <c r="FG167" s="54" t="e">
        <f>#REF!</f>
        <v>#REF!</v>
      </c>
      <c r="FH167" s="54" t="e">
        <f>#REF!</f>
        <v>#REF!</v>
      </c>
      <c r="FI167" s="54" t="e">
        <f>#REF!</f>
        <v>#REF!</v>
      </c>
    </row>
    <row r="168" spans="158:165" ht="15" customHeight="1" x14ac:dyDescent="0.15">
      <c r="FB168" s="53">
        <v>2</v>
      </c>
      <c r="FC168" s="54">
        <v>21</v>
      </c>
      <c r="FD168" s="54" t="e">
        <f>#REF!</f>
        <v>#REF!</v>
      </c>
      <c r="FE168" s="54" t="e">
        <f>#REF!</f>
        <v>#REF!</v>
      </c>
      <c r="FF168" s="54" t="e">
        <f>#REF!</f>
        <v>#REF!</v>
      </c>
      <c r="FG168" s="54" t="e">
        <f>#REF!</f>
        <v>#REF!</v>
      </c>
      <c r="FH168" s="54" t="e">
        <f>#REF!</f>
        <v>#REF!</v>
      </c>
      <c r="FI168" s="54" t="e">
        <f>#REF!</f>
        <v>#REF!</v>
      </c>
    </row>
    <row r="169" spans="158:165" ht="15" customHeight="1" x14ac:dyDescent="0.15">
      <c r="FB169" s="53">
        <v>2</v>
      </c>
      <c r="FC169" s="54">
        <v>22</v>
      </c>
      <c r="FD169" s="54" t="e">
        <f>#REF!</f>
        <v>#REF!</v>
      </c>
      <c r="FE169" s="54" t="e">
        <f>#REF!</f>
        <v>#REF!</v>
      </c>
      <c r="FF169" s="54" t="e">
        <f>#REF!</f>
        <v>#REF!</v>
      </c>
      <c r="FG169" s="54" t="e">
        <f>#REF!</f>
        <v>#REF!</v>
      </c>
      <c r="FH169" s="54" t="e">
        <f>#REF!</f>
        <v>#REF!</v>
      </c>
      <c r="FI169" s="54" t="e">
        <f>#REF!</f>
        <v>#REF!</v>
      </c>
    </row>
    <row r="170" spans="158:165" ht="15" customHeight="1" x14ac:dyDescent="0.15">
      <c r="FB170" s="53">
        <v>2</v>
      </c>
      <c r="FC170" s="54">
        <v>23</v>
      </c>
      <c r="FD170" s="54" t="e">
        <f>#REF!</f>
        <v>#REF!</v>
      </c>
      <c r="FE170" s="54" t="e">
        <f>#REF!</f>
        <v>#REF!</v>
      </c>
      <c r="FF170" s="54" t="e">
        <f>#REF!</f>
        <v>#REF!</v>
      </c>
      <c r="FG170" s="54" t="e">
        <f>#REF!</f>
        <v>#REF!</v>
      </c>
      <c r="FH170" s="54" t="e">
        <f>#REF!</f>
        <v>#REF!</v>
      </c>
      <c r="FI170" s="54" t="e">
        <f>#REF!</f>
        <v>#REF!</v>
      </c>
    </row>
    <row r="171" spans="158:165" ht="15" customHeight="1" x14ac:dyDescent="0.15">
      <c r="FB171" s="53">
        <v>3</v>
      </c>
      <c r="FC171" s="54">
        <v>1</v>
      </c>
      <c r="FD171" s="54" t="e">
        <f>#REF!</f>
        <v>#REF!</v>
      </c>
      <c r="FE171" s="54" t="e">
        <f>#REF!</f>
        <v>#REF!</v>
      </c>
      <c r="FF171" s="54" t="e">
        <f>#REF!</f>
        <v>#REF!</v>
      </c>
      <c r="FG171" s="54" t="e">
        <f>#REF!</f>
        <v>#REF!</v>
      </c>
      <c r="FH171" s="54" t="e">
        <f>#REF!</f>
        <v>#REF!</v>
      </c>
      <c r="FI171" s="54" t="e">
        <f>#REF!</f>
        <v>#REF!</v>
      </c>
    </row>
    <row r="172" spans="158:165" ht="15" customHeight="1" x14ac:dyDescent="0.15">
      <c r="FB172" s="53">
        <v>3</v>
      </c>
      <c r="FC172" s="54">
        <v>2</v>
      </c>
      <c r="FD172" s="54" t="e">
        <f>#REF!</f>
        <v>#REF!</v>
      </c>
      <c r="FE172" s="54" t="e">
        <f>#REF!</f>
        <v>#REF!</v>
      </c>
      <c r="FF172" s="54" t="e">
        <f>#REF!</f>
        <v>#REF!</v>
      </c>
      <c r="FG172" s="54" t="e">
        <f>#REF!</f>
        <v>#REF!</v>
      </c>
      <c r="FH172" s="54" t="e">
        <f>#REF!</f>
        <v>#REF!</v>
      </c>
      <c r="FI172" s="54" t="e">
        <f>#REF!</f>
        <v>#REF!</v>
      </c>
    </row>
    <row r="173" spans="158:165" ht="15" customHeight="1" x14ac:dyDescent="0.15">
      <c r="FB173" s="53">
        <v>3</v>
      </c>
      <c r="FC173" s="54">
        <v>3</v>
      </c>
      <c r="FD173" s="54" t="e">
        <f>#REF!</f>
        <v>#REF!</v>
      </c>
      <c r="FE173" s="54" t="e">
        <f>#REF!</f>
        <v>#REF!</v>
      </c>
      <c r="FF173" s="54" t="e">
        <f>#REF!</f>
        <v>#REF!</v>
      </c>
      <c r="FG173" s="54" t="e">
        <f>#REF!</f>
        <v>#REF!</v>
      </c>
      <c r="FH173" s="54" t="e">
        <f>#REF!</f>
        <v>#REF!</v>
      </c>
      <c r="FI173" s="54" t="e">
        <f>#REF!</f>
        <v>#REF!</v>
      </c>
    </row>
    <row r="174" spans="158:165" ht="15" customHeight="1" x14ac:dyDescent="0.15">
      <c r="FB174" s="53">
        <v>3</v>
      </c>
      <c r="FC174" s="54">
        <v>4</v>
      </c>
      <c r="FD174" s="54" t="e">
        <f>#REF!</f>
        <v>#REF!</v>
      </c>
      <c r="FE174" s="54" t="e">
        <f>#REF!</f>
        <v>#REF!</v>
      </c>
      <c r="FF174" s="54" t="e">
        <f>#REF!</f>
        <v>#REF!</v>
      </c>
      <c r="FG174" s="54" t="e">
        <f>#REF!</f>
        <v>#REF!</v>
      </c>
      <c r="FH174" s="54" t="e">
        <f>#REF!</f>
        <v>#REF!</v>
      </c>
      <c r="FI174" s="54" t="e">
        <f>#REF!</f>
        <v>#REF!</v>
      </c>
    </row>
    <row r="175" spans="158:165" ht="15" customHeight="1" x14ac:dyDescent="0.15">
      <c r="FB175" s="53">
        <v>3</v>
      </c>
      <c r="FC175" s="54">
        <v>5</v>
      </c>
      <c r="FD175" s="54" t="e">
        <f>#REF!</f>
        <v>#REF!</v>
      </c>
      <c r="FE175" s="54" t="e">
        <f>#REF!</f>
        <v>#REF!</v>
      </c>
      <c r="FF175" s="54" t="e">
        <f>#REF!</f>
        <v>#REF!</v>
      </c>
      <c r="FG175" s="54" t="e">
        <f>#REF!</f>
        <v>#REF!</v>
      </c>
      <c r="FH175" s="54" t="e">
        <f>#REF!</f>
        <v>#REF!</v>
      </c>
      <c r="FI175" s="54" t="e">
        <f>#REF!</f>
        <v>#REF!</v>
      </c>
    </row>
    <row r="176" spans="158:165" ht="15" customHeight="1" x14ac:dyDescent="0.15">
      <c r="FB176" s="53">
        <v>3</v>
      </c>
      <c r="FC176" s="54">
        <v>6</v>
      </c>
      <c r="FD176" s="54" t="e">
        <f>#REF!</f>
        <v>#REF!</v>
      </c>
      <c r="FE176" s="54" t="e">
        <f>#REF!</f>
        <v>#REF!</v>
      </c>
      <c r="FF176" s="54" t="e">
        <f>#REF!</f>
        <v>#REF!</v>
      </c>
      <c r="FG176" s="54" t="e">
        <f>#REF!</f>
        <v>#REF!</v>
      </c>
      <c r="FH176" s="54" t="e">
        <f>#REF!</f>
        <v>#REF!</v>
      </c>
      <c r="FI176" s="54" t="e">
        <f>#REF!</f>
        <v>#REF!</v>
      </c>
    </row>
    <row r="177" spans="2:165" ht="15" customHeight="1" x14ac:dyDescent="0.15">
      <c r="FB177" s="53">
        <v>3</v>
      </c>
      <c r="FC177" s="54">
        <v>7</v>
      </c>
      <c r="FD177" s="54" t="e">
        <f>#REF!</f>
        <v>#REF!</v>
      </c>
      <c r="FE177" s="54" t="e">
        <f>#REF!</f>
        <v>#REF!</v>
      </c>
      <c r="FF177" s="54" t="e">
        <f>#REF!</f>
        <v>#REF!</v>
      </c>
      <c r="FG177" s="54" t="e">
        <f>#REF!</f>
        <v>#REF!</v>
      </c>
      <c r="FH177" s="54" t="e">
        <f>#REF!</f>
        <v>#REF!</v>
      </c>
      <c r="FI177" s="54" t="e">
        <f>#REF!</f>
        <v>#REF!</v>
      </c>
    </row>
    <row r="178" spans="2:165" ht="15" customHeight="1" x14ac:dyDescent="0.15">
      <c r="FB178" s="53">
        <v>3</v>
      </c>
      <c r="FC178" s="54">
        <v>8</v>
      </c>
      <c r="FD178" s="54" t="e">
        <f>#REF!</f>
        <v>#REF!</v>
      </c>
      <c r="FE178" s="54" t="e">
        <f>#REF!</f>
        <v>#REF!</v>
      </c>
      <c r="FF178" s="54" t="e">
        <f>#REF!</f>
        <v>#REF!</v>
      </c>
      <c r="FG178" s="54" t="e">
        <f>#REF!</f>
        <v>#REF!</v>
      </c>
      <c r="FH178" s="54" t="e">
        <f>#REF!</f>
        <v>#REF!</v>
      </c>
      <c r="FI178" s="54" t="e">
        <f>#REF!</f>
        <v>#REF!</v>
      </c>
    </row>
    <row r="179" spans="2:165" ht="15" customHeight="1" x14ac:dyDescent="0.15">
      <c r="FB179" s="53">
        <v>3</v>
      </c>
      <c r="FC179" s="54">
        <v>9</v>
      </c>
      <c r="FD179" s="54" t="e">
        <f>#REF!</f>
        <v>#REF!</v>
      </c>
      <c r="FE179" s="54" t="e">
        <f>#REF!</f>
        <v>#REF!</v>
      </c>
      <c r="FF179" s="54" t="e">
        <f>#REF!</f>
        <v>#REF!</v>
      </c>
      <c r="FG179" s="54" t="e">
        <f>#REF!</f>
        <v>#REF!</v>
      </c>
      <c r="FH179" s="54" t="e">
        <f>#REF!</f>
        <v>#REF!</v>
      </c>
      <c r="FI179" s="54" t="e">
        <f>#REF!</f>
        <v>#REF!</v>
      </c>
    </row>
    <row r="180" spans="2:165" ht="15" customHeight="1" x14ac:dyDescent="0.15">
      <c r="FB180" s="53">
        <v>3</v>
      </c>
      <c r="FC180" s="54">
        <v>10</v>
      </c>
      <c r="FD180" s="54" t="e">
        <f>#REF!</f>
        <v>#REF!</v>
      </c>
      <c r="FE180" s="54" t="e">
        <f>#REF!</f>
        <v>#REF!</v>
      </c>
      <c r="FF180" s="54" t="e">
        <f>#REF!</f>
        <v>#REF!</v>
      </c>
      <c r="FG180" s="54" t="e">
        <f>#REF!</f>
        <v>#REF!</v>
      </c>
      <c r="FH180" s="54" t="e">
        <f>#REF!</f>
        <v>#REF!</v>
      </c>
      <c r="FI180" s="54" t="e">
        <f>#REF!</f>
        <v>#REF!</v>
      </c>
    </row>
    <row r="181" spans="2:165" ht="15" customHeight="1" x14ac:dyDescent="0.15">
      <c r="FB181" s="53">
        <v>3</v>
      </c>
      <c r="FC181" s="54">
        <v>11</v>
      </c>
      <c r="FD181" s="54" t="e">
        <f>#REF!</f>
        <v>#REF!</v>
      </c>
      <c r="FE181" s="54" t="e">
        <f>#REF!</f>
        <v>#REF!</v>
      </c>
      <c r="FF181" s="54" t="e">
        <f>#REF!</f>
        <v>#REF!</v>
      </c>
      <c r="FG181" s="54" t="e">
        <f>#REF!</f>
        <v>#REF!</v>
      </c>
      <c r="FH181" s="54" t="e">
        <f>#REF!</f>
        <v>#REF!</v>
      </c>
      <c r="FI181" s="54" t="e">
        <f>#REF!</f>
        <v>#REF!</v>
      </c>
    </row>
    <row r="182" spans="2:165" ht="15" customHeight="1" x14ac:dyDescent="0.15">
      <c r="FB182" s="53">
        <v>3</v>
      </c>
      <c r="FC182" s="54">
        <v>12</v>
      </c>
      <c r="FD182" s="54" t="e">
        <f>#REF!</f>
        <v>#REF!</v>
      </c>
      <c r="FE182" s="54" t="e">
        <f>#REF!</f>
        <v>#REF!</v>
      </c>
      <c r="FF182" s="54" t="e">
        <f>#REF!</f>
        <v>#REF!</v>
      </c>
      <c r="FG182" s="54" t="e">
        <f>#REF!</f>
        <v>#REF!</v>
      </c>
      <c r="FH182" s="54" t="e">
        <f>#REF!</f>
        <v>#REF!</v>
      </c>
      <c r="FI182" s="54" t="e">
        <f>#REF!</f>
        <v>#REF!</v>
      </c>
    </row>
    <row r="183" spans="2:165" ht="15" customHeight="1" x14ac:dyDescent="0.15">
      <c r="FB183" s="53">
        <v>3</v>
      </c>
      <c r="FC183" s="54">
        <v>13</v>
      </c>
      <c r="FD183" s="54" t="e">
        <f>#REF!</f>
        <v>#REF!</v>
      </c>
      <c r="FE183" s="54" t="e">
        <f>#REF!</f>
        <v>#REF!</v>
      </c>
      <c r="FF183" s="54" t="e">
        <f>#REF!</f>
        <v>#REF!</v>
      </c>
      <c r="FG183" s="54" t="e">
        <f>#REF!</f>
        <v>#REF!</v>
      </c>
      <c r="FH183" s="54" t="e">
        <f>#REF!</f>
        <v>#REF!</v>
      </c>
      <c r="FI183" s="54" t="e">
        <f>#REF!</f>
        <v>#REF!</v>
      </c>
    </row>
    <row r="184" spans="2:165" ht="15" customHeight="1" x14ac:dyDescent="0.15">
      <c r="FB184" s="53">
        <v>3</v>
      </c>
      <c r="FC184" s="54">
        <v>14</v>
      </c>
      <c r="FD184" s="54" t="e">
        <f>#REF!</f>
        <v>#REF!</v>
      </c>
      <c r="FE184" s="54" t="e">
        <f>#REF!</f>
        <v>#REF!</v>
      </c>
      <c r="FF184" s="54" t="e">
        <f>#REF!</f>
        <v>#REF!</v>
      </c>
      <c r="FG184" s="54" t="e">
        <f>#REF!</f>
        <v>#REF!</v>
      </c>
      <c r="FH184" s="54" t="e">
        <f>#REF!</f>
        <v>#REF!</v>
      </c>
      <c r="FI184" s="54" t="e">
        <f>#REF!</f>
        <v>#REF!</v>
      </c>
    </row>
    <row r="185" spans="2:165" ht="15" customHeight="1" x14ac:dyDescent="0.15">
      <c r="P185" s="22"/>
      <c r="Q185" s="22"/>
      <c r="R185" s="22"/>
      <c r="S185" s="22"/>
      <c r="T185" s="22"/>
      <c r="U185" s="22"/>
      <c r="V185" s="22"/>
      <c r="W185" s="22"/>
      <c r="FB185" s="53">
        <v>3</v>
      </c>
      <c r="FC185" s="54">
        <v>15</v>
      </c>
      <c r="FD185" s="54" t="e">
        <f>#REF!</f>
        <v>#REF!</v>
      </c>
      <c r="FE185" s="54" t="e">
        <f>#REF!</f>
        <v>#REF!</v>
      </c>
      <c r="FF185" s="54" t="e">
        <f>#REF!</f>
        <v>#REF!</v>
      </c>
      <c r="FG185" s="54" t="e">
        <f>#REF!</f>
        <v>#REF!</v>
      </c>
      <c r="FH185" s="54" t="e">
        <f>#REF!</f>
        <v>#REF!</v>
      </c>
      <c r="FI185" s="54" t="e">
        <f>#REF!</f>
        <v>#REF!</v>
      </c>
    </row>
    <row r="186" spans="2:165" ht="15" customHeight="1" x14ac:dyDescent="0.15">
      <c r="P186" s="22">
        <v>0</v>
      </c>
      <c r="Q186" s="22">
        <v>15</v>
      </c>
      <c r="R186" s="22">
        <v>32</v>
      </c>
      <c r="S186" s="22">
        <v>117</v>
      </c>
      <c r="T186" s="22">
        <v>41</v>
      </c>
      <c r="U186" s="22">
        <v>124</v>
      </c>
      <c r="V186" s="22"/>
      <c r="W186" s="22"/>
      <c r="FB186" s="53">
        <v>3</v>
      </c>
      <c r="FC186" s="54">
        <v>16</v>
      </c>
      <c r="FD186" s="54" t="e">
        <f>#REF!</f>
        <v>#REF!</v>
      </c>
      <c r="FE186" s="54" t="e">
        <f>#REF!</f>
        <v>#REF!</v>
      </c>
      <c r="FF186" s="54" t="e">
        <f>#REF!</f>
        <v>#REF!</v>
      </c>
      <c r="FG186" s="54" t="e">
        <f>#REF!</f>
        <v>#REF!</v>
      </c>
      <c r="FH186" s="54" t="e">
        <f>#REF!</f>
        <v>#REF!</v>
      </c>
      <c r="FI186" s="54" t="e">
        <f>#REF!</f>
        <v>#REF!</v>
      </c>
    </row>
    <row r="187" spans="2:165" ht="15" customHeight="1" x14ac:dyDescent="0.15">
      <c r="P187" s="22"/>
      <c r="Q187" s="22"/>
      <c r="R187" s="22"/>
      <c r="S187" s="22"/>
      <c r="T187" s="22"/>
      <c r="U187" s="22"/>
      <c r="V187" s="22"/>
      <c r="W187" s="22"/>
      <c r="FB187" s="53">
        <v>3</v>
      </c>
      <c r="FC187" s="54">
        <v>17</v>
      </c>
      <c r="FD187" s="54" t="e">
        <f>#REF!</f>
        <v>#REF!</v>
      </c>
      <c r="FE187" s="54" t="e">
        <f>#REF!</f>
        <v>#REF!</v>
      </c>
      <c r="FF187" s="54" t="e">
        <f>#REF!</f>
        <v>#REF!</v>
      </c>
      <c r="FG187" s="54" t="e">
        <f>#REF!</f>
        <v>#REF!</v>
      </c>
      <c r="FH187" s="54" t="e">
        <f>#REF!</f>
        <v>#REF!</v>
      </c>
      <c r="FI187" s="54" t="e">
        <f>#REF!</f>
        <v>#REF!</v>
      </c>
    </row>
    <row r="188" spans="2:165" ht="15" customHeight="1" x14ac:dyDescent="0.15">
      <c r="P188" s="22" t="s">
        <v>117</v>
      </c>
      <c r="Q188" s="22"/>
      <c r="R188" s="22"/>
      <c r="S188" s="22"/>
      <c r="T188" s="22"/>
      <c r="U188" s="22"/>
      <c r="V188" s="22"/>
      <c r="W188" s="22"/>
      <c r="FB188" s="53">
        <v>3</v>
      </c>
      <c r="FC188" s="54">
        <v>18</v>
      </c>
      <c r="FD188" s="54" t="e">
        <f>#REF!</f>
        <v>#REF!</v>
      </c>
      <c r="FE188" s="54" t="e">
        <f>#REF!</f>
        <v>#REF!</v>
      </c>
      <c r="FF188" s="54" t="e">
        <f>#REF!</f>
        <v>#REF!</v>
      </c>
      <c r="FG188" s="54" t="e">
        <f>#REF!</f>
        <v>#REF!</v>
      </c>
      <c r="FH188" s="54" t="e">
        <f>#REF!</f>
        <v>#REF!</v>
      </c>
      <c r="FI188" s="54" t="e">
        <f>#REF!</f>
        <v>#REF!</v>
      </c>
    </row>
    <row r="189" spans="2:165" ht="15" customHeight="1" x14ac:dyDescent="0.15"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FB189" s="53">
        <v>3</v>
      </c>
      <c r="FC189" s="54">
        <v>19</v>
      </c>
      <c r="FD189" s="54" t="e">
        <f>#REF!</f>
        <v>#REF!</v>
      </c>
      <c r="FE189" s="54" t="e">
        <f>#REF!</f>
        <v>#REF!</v>
      </c>
      <c r="FF189" s="54" t="e">
        <f>#REF!</f>
        <v>#REF!</v>
      </c>
      <c r="FG189" s="54" t="e">
        <f>#REF!</f>
        <v>#REF!</v>
      </c>
      <c r="FH189" s="54" t="e">
        <f>#REF!</f>
        <v>#REF!</v>
      </c>
      <c r="FI189" s="54" t="e">
        <f>#REF!</f>
        <v>#REF!</v>
      </c>
    </row>
    <row r="190" spans="2:165" ht="15" customHeight="1" x14ac:dyDescent="0.15">
      <c r="P190" s="22"/>
      <c r="Q190" s="22"/>
      <c r="R190" s="22"/>
      <c r="S190" s="22"/>
      <c r="T190" s="22"/>
      <c r="U190" s="22"/>
      <c r="FB190" s="53">
        <v>3</v>
      </c>
      <c r="FC190" s="54">
        <v>20</v>
      </c>
      <c r="FD190" s="54" t="e">
        <f>#REF!</f>
        <v>#REF!</v>
      </c>
      <c r="FE190" s="54" t="e">
        <f>#REF!</f>
        <v>#REF!</v>
      </c>
      <c r="FF190" s="54" t="e">
        <f>#REF!</f>
        <v>#REF!</v>
      </c>
      <c r="FG190" s="54" t="e">
        <f>#REF!</f>
        <v>#REF!</v>
      </c>
      <c r="FH190" s="54" t="e">
        <f>#REF!</f>
        <v>#REF!</v>
      </c>
      <c r="FI190" s="54" t="e">
        <f>#REF!</f>
        <v>#REF!</v>
      </c>
    </row>
    <row r="191" spans="2:165" ht="15" customHeight="1" x14ac:dyDescent="0.15">
      <c r="P191" s="22"/>
      <c r="Q191" s="2"/>
      <c r="R191" s="2"/>
      <c r="S191" s="2"/>
      <c r="FB191" s="53">
        <v>3</v>
      </c>
      <c r="FC191" s="54">
        <v>21</v>
      </c>
      <c r="FD191" s="54" t="e">
        <f>#REF!</f>
        <v>#REF!</v>
      </c>
      <c r="FE191" s="54" t="e">
        <f>#REF!</f>
        <v>#REF!</v>
      </c>
      <c r="FF191" s="54" t="e">
        <f>#REF!</f>
        <v>#REF!</v>
      </c>
      <c r="FG191" s="54" t="e">
        <f>#REF!</f>
        <v>#REF!</v>
      </c>
      <c r="FH191" s="54" t="e">
        <f>#REF!</f>
        <v>#REF!</v>
      </c>
      <c r="FI191" s="54" t="e">
        <f>#REF!</f>
        <v>#REF!</v>
      </c>
    </row>
    <row r="192" spans="2:165" ht="15" customHeight="1" x14ac:dyDescent="0.15">
      <c r="FB192" s="53">
        <v>3</v>
      </c>
      <c r="FC192" s="54">
        <v>22</v>
      </c>
      <c r="FD192" s="54" t="e">
        <f>#REF!</f>
        <v>#REF!</v>
      </c>
      <c r="FE192" s="54" t="e">
        <f>#REF!</f>
        <v>#REF!</v>
      </c>
      <c r="FF192" s="54" t="e">
        <f>#REF!</f>
        <v>#REF!</v>
      </c>
      <c r="FG192" s="54" t="e">
        <f>#REF!</f>
        <v>#REF!</v>
      </c>
      <c r="FH192" s="54" t="e">
        <f>#REF!</f>
        <v>#REF!</v>
      </c>
      <c r="FI192" s="54" t="e">
        <f>#REF!</f>
        <v>#REF!</v>
      </c>
    </row>
    <row r="193" spans="158:165" ht="15" customHeight="1" x14ac:dyDescent="0.15">
      <c r="FB193" s="53">
        <v>3</v>
      </c>
      <c r="FC193" s="54">
        <v>23</v>
      </c>
      <c r="FD193" s="54" t="e">
        <f>#REF!</f>
        <v>#REF!</v>
      </c>
      <c r="FE193" s="54" t="e">
        <f>#REF!</f>
        <v>#REF!</v>
      </c>
      <c r="FF193" s="54" t="e">
        <f>#REF!</f>
        <v>#REF!</v>
      </c>
      <c r="FG193" s="54" t="e">
        <f>#REF!</f>
        <v>#REF!</v>
      </c>
      <c r="FH193" s="54" t="e">
        <f>#REF!</f>
        <v>#REF!</v>
      </c>
      <c r="FI193" s="54" t="e">
        <f>#REF!</f>
        <v>#REF!</v>
      </c>
    </row>
    <row r="194" spans="158:165" ht="15" customHeight="1" x14ac:dyDescent="0.15">
      <c r="FB194" s="53"/>
      <c r="FC194" s="54"/>
      <c r="FD194" s="54"/>
      <c r="FE194" s="54"/>
      <c r="FF194" s="54"/>
      <c r="FG194" s="54"/>
      <c r="FH194" s="54"/>
      <c r="FI194" s="54"/>
    </row>
    <row r="195" spans="158:165" ht="15" customHeight="1" x14ac:dyDescent="0.15">
      <c r="FB195" s="53"/>
      <c r="FC195" s="54"/>
      <c r="FD195" s="54"/>
      <c r="FE195" s="54"/>
      <c r="FF195" s="54"/>
      <c r="FG195" s="54"/>
      <c r="FH195" s="54"/>
      <c r="FI195" s="54"/>
    </row>
    <row r="196" spans="158:165" ht="15" customHeight="1" x14ac:dyDescent="0.15">
      <c r="FB196" s="53"/>
      <c r="FC196" s="54"/>
      <c r="FD196" s="54"/>
      <c r="FE196" s="54"/>
      <c r="FF196" s="54"/>
      <c r="FG196" s="54"/>
      <c r="FH196" s="54"/>
      <c r="FI196" s="54"/>
    </row>
    <row r="197" spans="158:165" ht="15" customHeight="1" x14ac:dyDescent="0.15">
      <c r="FB197" s="53"/>
      <c r="FC197" s="54"/>
      <c r="FD197" s="54"/>
      <c r="FE197" s="54"/>
      <c r="FF197" s="54"/>
      <c r="FG197" s="54"/>
      <c r="FH197" s="54"/>
      <c r="FI197" s="54"/>
    </row>
    <row r="198" spans="158:165" ht="15" customHeight="1" x14ac:dyDescent="0.15">
      <c r="FB198" s="53"/>
      <c r="FC198" s="54"/>
      <c r="FD198" s="54"/>
      <c r="FE198" s="54"/>
      <c r="FF198" s="54"/>
      <c r="FG198" s="54"/>
      <c r="FH198" s="54"/>
      <c r="FI198" s="54"/>
    </row>
    <row r="199" spans="158:165" ht="15" customHeight="1" x14ac:dyDescent="0.15">
      <c r="FB199" s="53"/>
      <c r="FC199" s="54"/>
      <c r="FD199" s="54"/>
      <c r="FE199" s="54"/>
      <c r="FF199" s="54"/>
      <c r="FG199" s="54"/>
      <c r="FH199" s="54"/>
      <c r="FI199" s="54"/>
    </row>
    <row r="200" spans="158:165" ht="15" customHeight="1" x14ac:dyDescent="0.15">
      <c r="FB200" s="53"/>
      <c r="FC200" s="54"/>
      <c r="FD200" s="54"/>
      <c r="FE200" s="54"/>
      <c r="FF200" s="54"/>
      <c r="FG200" s="54"/>
      <c r="FH200" s="54"/>
      <c r="FI200" s="54"/>
    </row>
    <row r="201" spans="158:165" ht="15" customHeight="1" x14ac:dyDescent="0.15">
      <c r="FB201" s="53"/>
      <c r="FC201" s="54"/>
      <c r="FD201" s="54"/>
      <c r="FE201" s="54"/>
      <c r="FF201" s="54"/>
      <c r="FG201" s="54"/>
      <c r="FH201" s="54"/>
      <c r="FI201" s="54"/>
    </row>
    <row r="202" spans="158:165" ht="15" customHeight="1" x14ac:dyDescent="0.15">
      <c r="FB202" s="53"/>
      <c r="FC202" s="54"/>
      <c r="FD202" s="54"/>
      <c r="FE202" s="54"/>
      <c r="FF202" s="54"/>
      <c r="FG202" s="54"/>
      <c r="FH202" s="54"/>
      <c r="FI202" s="54"/>
    </row>
    <row r="203" spans="158:165" ht="15" customHeight="1" x14ac:dyDescent="0.15">
      <c r="FB203" s="53"/>
      <c r="FC203" s="54"/>
      <c r="FD203" s="54"/>
      <c r="FE203" s="54"/>
      <c r="FF203" s="54"/>
      <c r="FG203" s="54"/>
      <c r="FH203" s="54"/>
      <c r="FI203" s="54"/>
    </row>
    <row r="204" spans="158:165" ht="15" customHeight="1" x14ac:dyDescent="0.15">
      <c r="FB204" s="53"/>
      <c r="FC204" s="54"/>
      <c r="FD204" s="54"/>
      <c r="FE204" s="54"/>
      <c r="FF204" s="54"/>
      <c r="FG204" s="54"/>
      <c r="FH204" s="54"/>
      <c r="FI204" s="54"/>
    </row>
    <row r="205" spans="158:165" ht="15" customHeight="1" x14ac:dyDescent="0.15">
      <c r="FB205" s="53"/>
      <c r="FC205" s="54"/>
      <c r="FD205" s="54"/>
      <c r="FE205" s="54"/>
      <c r="FF205" s="54"/>
      <c r="FG205" s="54"/>
      <c r="FH205" s="54"/>
      <c r="FI205" s="54"/>
    </row>
    <row r="206" spans="158:165" ht="15" customHeight="1" x14ac:dyDescent="0.15">
      <c r="FB206" s="53"/>
      <c r="FC206" s="54"/>
      <c r="FD206" s="54"/>
      <c r="FE206" s="54"/>
      <c r="FF206" s="54"/>
      <c r="FG206" s="54"/>
      <c r="FH206" s="54"/>
      <c r="FI206" s="54"/>
    </row>
    <row r="207" spans="158:165" ht="15" customHeight="1" x14ac:dyDescent="0.15">
      <c r="FB207" s="53"/>
      <c r="FC207" s="54"/>
      <c r="FD207" s="54"/>
      <c r="FE207" s="54"/>
      <c r="FF207" s="54"/>
      <c r="FG207" s="54"/>
      <c r="FH207" s="54"/>
      <c r="FI207" s="54"/>
    </row>
    <row r="208" spans="158:165" ht="15" customHeight="1" x14ac:dyDescent="0.15">
      <c r="FB208" s="53"/>
      <c r="FC208" s="54"/>
      <c r="FD208" s="54"/>
      <c r="FE208" s="54"/>
      <c r="FF208" s="54"/>
      <c r="FG208" s="54"/>
      <c r="FH208" s="54"/>
      <c r="FI208" s="54"/>
    </row>
    <row r="209" spans="84:165" ht="15" customHeight="1" x14ac:dyDescent="0.15">
      <c r="FB209" s="53"/>
      <c r="FC209" s="54"/>
      <c r="FD209" s="54"/>
      <c r="FE209" s="54"/>
      <c r="FF209" s="54"/>
      <c r="FG209" s="54"/>
      <c r="FH209" s="54"/>
      <c r="FI209" s="54"/>
    </row>
    <row r="210" spans="84:165" ht="15" customHeight="1" x14ac:dyDescent="0.15">
      <c r="FB210" s="53"/>
      <c r="FC210" s="54"/>
      <c r="FD210" s="54"/>
      <c r="FE210" s="54"/>
      <c r="FF210" s="54"/>
      <c r="FG210" s="54"/>
      <c r="FH210" s="54"/>
      <c r="FI210" s="54"/>
    </row>
    <row r="211" spans="84:165" ht="15" customHeight="1" x14ac:dyDescent="0.15">
      <c r="FB211" s="53"/>
      <c r="FC211" s="54"/>
      <c r="FD211" s="54"/>
      <c r="FE211" s="54"/>
      <c r="FF211" s="54"/>
      <c r="FG211" s="54"/>
      <c r="FH211" s="54"/>
      <c r="FI211" s="54"/>
    </row>
    <row r="212" spans="84:165" ht="15" customHeight="1" x14ac:dyDescent="0.15">
      <c r="FB212" s="53"/>
      <c r="FC212" s="54"/>
      <c r="FD212" s="54"/>
      <c r="FE212" s="54"/>
      <c r="FF212" s="54"/>
      <c r="FG212" s="54"/>
      <c r="FH212" s="54"/>
      <c r="FI212" s="54"/>
    </row>
    <row r="213" spans="84:165" ht="15" customHeight="1" x14ac:dyDescent="0.15">
      <c r="CF213" s="52"/>
      <c r="FB213" s="53"/>
      <c r="FC213" s="54"/>
      <c r="FD213" s="54"/>
      <c r="FE213" s="54"/>
      <c r="FF213" s="54"/>
      <c r="FG213" s="54"/>
      <c r="FH213" s="54"/>
      <c r="FI213" s="54"/>
    </row>
    <row r="214" spans="84:165" ht="15" customHeight="1" x14ac:dyDescent="0.15">
      <c r="FB214" s="53"/>
      <c r="FC214" s="54"/>
      <c r="FD214" s="54"/>
      <c r="FE214" s="54"/>
      <c r="FF214" s="54"/>
      <c r="FG214" s="54"/>
      <c r="FH214" s="54"/>
      <c r="FI214" s="54"/>
    </row>
    <row r="215" spans="84:165" ht="15" customHeight="1" x14ac:dyDescent="0.15">
      <c r="FB215" s="53"/>
      <c r="FC215" s="54"/>
      <c r="FD215" s="54"/>
      <c r="FE215" s="54"/>
      <c r="FF215" s="54"/>
      <c r="FG215" s="54"/>
      <c r="FH215" s="54"/>
      <c r="FI215" s="54"/>
    </row>
    <row r="216" spans="84:165" ht="15" customHeight="1" x14ac:dyDescent="0.15">
      <c r="FB216" s="53"/>
      <c r="FC216" s="54"/>
      <c r="FD216" s="54"/>
      <c r="FE216" s="54"/>
      <c r="FF216" s="54"/>
      <c r="FG216" s="54"/>
      <c r="FH216" s="54"/>
      <c r="FI216" s="54"/>
    </row>
    <row r="217" spans="84:165" ht="15" customHeight="1" x14ac:dyDescent="0.15">
      <c r="FB217" s="53"/>
      <c r="FC217" s="54"/>
      <c r="FD217" s="54"/>
      <c r="FE217" s="54"/>
      <c r="FF217" s="54"/>
      <c r="FG217" s="54"/>
      <c r="FH217" s="54"/>
      <c r="FI217" s="54"/>
    </row>
    <row r="218" spans="84:165" ht="15" customHeight="1" x14ac:dyDescent="0.15">
      <c r="FB218" s="53"/>
      <c r="FC218" s="54"/>
      <c r="FD218" s="54"/>
      <c r="FE218" s="54"/>
      <c r="FF218" s="54"/>
      <c r="FG218" s="54"/>
      <c r="FH218" s="54"/>
      <c r="FI218" s="54"/>
    </row>
    <row r="219" spans="84:165" ht="15" customHeight="1" x14ac:dyDescent="0.15">
      <c r="FB219" s="53"/>
      <c r="FC219" s="54"/>
      <c r="FD219" s="54"/>
      <c r="FE219" s="54"/>
      <c r="FF219" s="54"/>
      <c r="FG219" s="54"/>
      <c r="FH219" s="54"/>
      <c r="FI219" s="54"/>
    </row>
    <row r="220" spans="84:165" ht="15" customHeight="1" x14ac:dyDescent="0.15">
      <c r="FB220" s="53"/>
      <c r="FC220" s="54"/>
      <c r="FD220" s="54"/>
      <c r="FE220" s="54"/>
      <c r="FF220" s="54"/>
      <c r="FG220" s="54"/>
      <c r="FH220" s="54"/>
      <c r="FI220" s="54"/>
    </row>
    <row r="221" spans="84:165" ht="15" customHeight="1" x14ac:dyDescent="0.15">
      <c r="FB221" s="53"/>
      <c r="FC221" s="54"/>
      <c r="FD221" s="54"/>
      <c r="FE221" s="54"/>
      <c r="FF221" s="54"/>
      <c r="FG221" s="54"/>
      <c r="FH221" s="54"/>
      <c r="FI221" s="54"/>
    </row>
    <row r="222" spans="84:165" ht="15" customHeight="1" x14ac:dyDescent="0.15">
      <c r="FB222" s="53"/>
      <c r="FC222" s="54"/>
      <c r="FD222" s="54"/>
      <c r="FE222" s="54"/>
      <c r="FF222" s="54"/>
      <c r="FG222" s="54"/>
      <c r="FH222" s="54"/>
      <c r="FI222" s="54"/>
    </row>
    <row r="223" spans="84:165" ht="15" customHeight="1" x14ac:dyDescent="0.15">
      <c r="FB223" s="53"/>
      <c r="FC223" s="54"/>
      <c r="FD223" s="54"/>
      <c r="FE223" s="54"/>
      <c r="FF223" s="54"/>
      <c r="FG223" s="54"/>
      <c r="FH223" s="54"/>
      <c r="FI223" s="54"/>
    </row>
    <row r="224" spans="84:165" ht="15" customHeight="1" x14ac:dyDescent="0.15">
      <c r="FB224" s="53"/>
      <c r="FC224" s="54"/>
      <c r="FD224" s="54"/>
      <c r="FE224" s="54"/>
      <c r="FF224" s="54"/>
      <c r="FG224" s="54"/>
      <c r="FH224" s="54"/>
      <c r="FI224" s="54"/>
    </row>
    <row r="225" spans="158:165" ht="15" customHeight="1" x14ac:dyDescent="0.15">
      <c r="FB225" s="53"/>
      <c r="FC225" s="54"/>
      <c r="FD225" s="54"/>
      <c r="FE225" s="54"/>
      <c r="FF225" s="54"/>
      <c r="FG225" s="54"/>
      <c r="FH225" s="54"/>
      <c r="FI225" s="54"/>
    </row>
    <row r="226" spans="158:165" ht="15" customHeight="1" x14ac:dyDescent="0.15">
      <c r="FB226" s="53"/>
      <c r="FC226" s="54"/>
      <c r="FD226" s="54"/>
      <c r="FE226" s="54"/>
      <c r="FF226" s="54"/>
      <c r="FG226" s="54"/>
      <c r="FH226" s="54"/>
      <c r="FI226" s="54"/>
    </row>
    <row r="227" spans="158:165" ht="15" customHeight="1" x14ac:dyDescent="0.15">
      <c r="FB227" s="53"/>
      <c r="FC227" s="54"/>
      <c r="FD227" s="54"/>
      <c r="FE227" s="54"/>
      <c r="FF227" s="54"/>
      <c r="FG227" s="54"/>
      <c r="FH227" s="54"/>
      <c r="FI227" s="54"/>
    </row>
    <row r="228" spans="158:165" ht="15" customHeight="1" x14ac:dyDescent="0.15">
      <c r="FB228" s="53"/>
      <c r="FC228" s="54"/>
      <c r="FD228" s="54"/>
      <c r="FE228" s="54"/>
      <c r="FF228" s="54"/>
      <c r="FG228" s="54"/>
      <c r="FH228" s="54"/>
      <c r="FI228" s="54"/>
    </row>
    <row r="229" spans="158:165" ht="15" customHeight="1" x14ac:dyDescent="0.15">
      <c r="FB229" s="53"/>
      <c r="FC229" s="54"/>
      <c r="FD229" s="54"/>
      <c r="FE229" s="54"/>
      <c r="FF229" s="54"/>
      <c r="FG229" s="54"/>
      <c r="FH229" s="54"/>
      <c r="FI229" s="54"/>
    </row>
    <row r="230" spans="158:165" ht="15" customHeight="1" x14ac:dyDescent="0.15">
      <c r="FB230" s="53"/>
      <c r="FC230" s="54"/>
      <c r="FD230" s="54"/>
      <c r="FE230" s="54"/>
      <c r="FF230" s="54"/>
      <c r="FG230" s="54"/>
      <c r="FH230" s="54"/>
      <c r="FI230" s="54"/>
    </row>
    <row r="231" spans="158:165" ht="15" customHeight="1" x14ac:dyDescent="0.15">
      <c r="FB231" s="53"/>
      <c r="FC231" s="54"/>
      <c r="FD231" s="54"/>
      <c r="FE231" s="54"/>
      <c r="FF231" s="54"/>
      <c r="FG231" s="54"/>
      <c r="FH231" s="54"/>
      <c r="FI231" s="54"/>
    </row>
    <row r="232" spans="158:165" ht="15" customHeight="1" x14ac:dyDescent="0.15">
      <c r="FB232" s="53"/>
      <c r="FC232" s="54"/>
      <c r="FD232" s="54"/>
      <c r="FE232" s="54"/>
      <c r="FF232" s="54"/>
      <c r="FG232" s="54"/>
      <c r="FH232" s="54"/>
      <c r="FI232" s="54"/>
    </row>
    <row r="233" spans="158:165" ht="15" customHeight="1" x14ac:dyDescent="0.15">
      <c r="FB233" s="53"/>
      <c r="FC233" s="54"/>
      <c r="FD233" s="54"/>
      <c r="FE233" s="54"/>
      <c r="FF233" s="54"/>
      <c r="FG233" s="54"/>
      <c r="FH233" s="54"/>
      <c r="FI233" s="54"/>
    </row>
    <row r="234" spans="158:165" ht="15" customHeight="1" x14ac:dyDescent="0.15">
      <c r="FB234" s="53"/>
      <c r="FC234" s="54"/>
      <c r="FD234" s="54"/>
      <c r="FE234" s="54"/>
      <c r="FF234" s="54"/>
      <c r="FG234" s="54"/>
      <c r="FH234" s="54"/>
      <c r="FI234" s="54"/>
    </row>
    <row r="235" spans="158:165" ht="15" customHeight="1" x14ac:dyDescent="0.15">
      <c r="FB235" s="53"/>
      <c r="FC235" s="54"/>
      <c r="FD235" s="54"/>
      <c r="FE235" s="54"/>
      <c r="FF235" s="54"/>
      <c r="FG235" s="54"/>
      <c r="FH235" s="54"/>
      <c r="FI235" s="54"/>
    </row>
    <row r="236" spans="158:165" ht="15" customHeight="1" x14ac:dyDescent="0.15">
      <c r="FB236" s="53"/>
      <c r="FC236" s="54"/>
      <c r="FD236" s="54"/>
      <c r="FE236" s="54"/>
      <c r="FF236" s="54"/>
      <c r="FG236" s="54"/>
      <c r="FH236" s="54"/>
      <c r="FI236" s="54"/>
    </row>
    <row r="237" spans="158:165" ht="15" customHeight="1" x14ac:dyDescent="0.15">
      <c r="FB237" s="53"/>
      <c r="FC237" s="54"/>
      <c r="FD237" s="54"/>
      <c r="FE237" s="54"/>
      <c r="FF237" s="54"/>
      <c r="FG237" s="54"/>
      <c r="FH237" s="54"/>
      <c r="FI237" s="54"/>
    </row>
    <row r="238" spans="158:165" ht="15" customHeight="1" x14ac:dyDescent="0.15">
      <c r="FB238" s="53"/>
      <c r="FC238" s="54"/>
      <c r="FD238" s="54"/>
      <c r="FE238" s="54"/>
      <c r="FF238" s="54"/>
      <c r="FG238" s="54"/>
      <c r="FH238" s="54"/>
      <c r="FI238" s="54"/>
    </row>
    <row r="239" spans="158:165" ht="15" customHeight="1" x14ac:dyDescent="0.15">
      <c r="FB239" s="53"/>
      <c r="FC239" s="54"/>
      <c r="FD239" s="54"/>
      <c r="FE239" s="54"/>
      <c r="FF239" s="54"/>
      <c r="FG239" s="54"/>
      <c r="FH239" s="54"/>
      <c r="FI239" s="54"/>
    </row>
    <row r="240" spans="158:165" ht="15" customHeight="1" x14ac:dyDescent="0.15">
      <c r="FB240" s="53"/>
      <c r="FC240" s="54"/>
      <c r="FD240" s="54"/>
      <c r="FE240" s="54"/>
      <c r="FF240" s="54"/>
      <c r="FG240" s="54"/>
      <c r="FH240" s="54"/>
      <c r="FI240" s="54"/>
    </row>
    <row r="241" spans="158:165" ht="15" customHeight="1" x14ac:dyDescent="0.15">
      <c r="FB241" s="53"/>
      <c r="FC241" s="54"/>
      <c r="FD241" s="54"/>
      <c r="FE241" s="54"/>
      <c r="FF241" s="54"/>
      <c r="FG241" s="54"/>
      <c r="FH241" s="54"/>
      <c r="FI241" s="54"/>
    </row>
    <row r="242" spans="158:165" ht="15" customHeight="1" x14ac:dyDescent="0.15">
      <c r="FB242" s="53"/>
      <c r="FC242" s="54"/>
      <c r="FD242" s="54"/>
      <c r="FE242" s="54"/>
      <c r="FF242" s="54"/>
      <c r="FG242" s="54"/>
      <c r="FH242" s="54"/>
      <c r="FI242" s="54"/>
    </row>
    <row r="243" spans="158:165" ht="15" customHeight="1" x14ac:dyDescent="0.15">
      <c r="FB243" s="53"/>
      <c r="FC243" s="54"/>
      <c r="FD243" s="54"/>
      <c r="FE243" s="54"/>
      <c r="FF243" s="54"/>
      <c r="FG243" s="54"/>
      <c r="FH243" s="54"/>
      <c r="FI243" s="54"/>
    </row>
    <row r="244" spans="158:165" ht="15" customHeight="1" x14ac:dyDescent="0.15">
      <c r="FB244" s="53"/>
      <c r="FC244" s="54"/>
      <c r="FD244" s="54"/>
      <c r="FE244" s="54"/>
      <c r="FF244" s="54"/>
      <c r="FG244" s="54"/>
      <c r="FH244" s="54"/>
      <c r="FI244" s="54"/>
    </row>
    <row r="245" spans="158:165" ht="15" customHeight="1" x14ac:dyDescent="0.15">
      <c r="FB245" s="53"/>
      <c r="FC245" s="54"/>
      <c r="FD245" s="54"/>
      <c r="FE245" s="54"/>
      <c r="FF245" s="54"/>
      <c r="FG245" s="54"/>
      <c r="FH245" s="54"/>
      <c r="FI245" s="54"/>
    </row>
    <row r="246" spans="158:165" ht="15" customHeight="1" x14ac:dyDescent="0.15">
      <c r="FB246" s="53"/>
      <c r="FC246" s="54"/>
      <c r="FD246" s="54"/>
      <c r="FE246" s="54"/>
      <c r="FF246" s="54"/>
      <c r="FG246" s="54"/>
      <c r="FH246" s="54"/>
      <c r="FI246" s="54"/>
    </row>
    <row r="247" spans="158:165" ht="15" customHeight="1" x14ac:dyDescent="0.15">
      <c r="FB247" s="53"/>
      <c r="FC247" s="54"/>
      <c r="FD247" s="54"/>
      <c r="FE247" s="54"/>
      <c r="FF247" s="54"/>
      <c r="FG247" s="54"/>
      <c r="FH247" s="54"/>
      <c r="FI247" s="54"/>
    </row>
    <row r="248" spans="158:165" ht="15" customHeight="1" x14ac:dyDescent="0.15">
      <c r="FB248" s="53"/>
      <c r="FC248" s="54"/>
      <c r="FD248" s="54"/>
      <c r="FE248" s="54"/>
      <c r="FF248" s="54"/>
      <c r="FG248" s="54"/>
      <c r="FH248" s="54"/>
      <c r="FI248" s="54"/>
    </row>
    <row r="249" spans="158:165" ht="15" customHeight="1" x14ac:dyDescent="0.15">
      <c r="FB249" s="53"/>
      <c r="FC249" s="54"/>
      <c r="FD249" s="54"/>
      <c r="FE249" s="54"/>
      <c r="FF249" s="54"/>
      <c r="FG249" s="54"/>
      <c r="FH249" s="54"/>
      <c r="FI249" s="54"/>
    </row>
    <row r="250" spans="158:165" ht="15" customHeight="1" x14ac:dyDescent="0.15">
      <c r="FB250" s="53"/>
      <c r="FC250" s="54"/>
      <c r="FD250" s="54"/>
      <c r="FE250" s="54"/>
      <c r="FF250" s="54"/>
      <c r="FG250" s="54"/>
      <c r="FH250" s="54"/>
      <c r="FI250" s="54"/>
    </row>
    <row r="251" spans="158:165" ht="15" customHeight="1" x14ac:dyDescent="0.15">
      <c r="FB251" s="53"/>
      <c r="FC251" s="54"/>
      <c r="FD251" s="54"/>
      <c r="FE251" s="54"/>
      <c r="FF251" s="54"/>
      <c r="FG251" s="54"/>
      <c r="FH251" s="54"/>
      <c r="FI251" s="54"/>
    </row>
    <row r="252" spans="158:165" ht="15" customHeight="1" x14ac:dyDescent="0.15">
      <c r="FB252" s="53"/>
      <c r="FC252" s="54"/>
      <c r="FD252" s="54"/>
      <c r="FE252" s="54"/>
      <c r="FF252" s="54"/>
      <c r="FG252" s="54"/>
      <c r="FH252" s="54"/>
      <c r="FI252" s="54"/>
    </row>
    <row r="253" spans="158:165" ht="15" customHeight="1" x14ac:dyDescent="0.15">
      <c r="FB253" s="53"/>
      <c r="FC253" s="54"/>
      <c r="FD253" s="54"/>
      <c r="FE253" s="54"/>
      <c r="FF253" s="54"/>
      <c r="FG253" s="54"/>
      <c r="FH253" s="54"/>
      <c r="FI253" s="54"/>
    </row>
    <row r="254" spans="158:165" ht="15" customHeight="1" x14ac:dyDescent="0.15">
      <c r="FB254" s="53"/>
      <c r="FC254" s="54"/>
      <c r="FD254" s="54"/>
      <c r="FE254" s="54"/>
      <c r="FF254" s="54"/>
      <c r="FG254" s="54"/>
      <c r="FH254" s="54"/>
      <c r="FI254" s="54"/>
    </row>
    <row r="255" spans="158:165" ht="15" customHeight="1" x14ac:dyDescent="0.15">
      <c r="FB255" s="53"/>
      <c r="FC255" s="54"/>
      <c r="FD255" s="54"/>
      <c r="FE255" s="54"/>
      <c r="FF255" s="54"/>
      <c r="FG255" s="54"/>
      <c r="FH255" s="54"/>
      <c r="FI255" s="54"/>
    </row>
    <row r="256" spans="158:165" ht="15" customHeight="1" x14ac:dyDescent="0.15">
      <c r="FB256" s="53"/>
      <c r="FC256" s="54"/>
      <c r="FD256" s="54"/>
      <c r="FE256" s="54"/>
      <c r="FF256" s="54"/>
      <c r="FG256" s="54"/>
      <c r="FH256" s="54"/>
      <c r="FI256" s="54"/>
    </row>
    <row r="257" spans="158:165" ht="15" customHeight="1" x14ac:dyDescent="0.15">
      <c r="FB257" s="53"/>
      <c r="FC257" s="54"/>
      <c r="FD257" s="54"/>
      <c r="FE257" s="54"/>
      <c r="FF257" s="54"/>
      <c r="FG257" s="54"/>
      <c r="FH257" s="54"/>
      <c r="FI257" s="54"/>
    </row>
    <row r="258" spans="158:165" ht="15" customHeight="1" x14ac:dyDescent="0.15">
      <c r="FB258" s="53"/>
      <c r="FC258" s="54"/>
      <c r="FD258" s="54"/>
      <c r="FE258" s="54"/>
      <c r="FF258" s="54"/>
      <c r="FG258" s="54"/>
      <c r="FH258" s="54"/>
      <c r="FI258" s="54"/>
    </row>
    <row r="259" spans="158:165" ht="15" customHeight="1" x14ac:dyDescent="0.15">
      <c r="FB259" s="53"/>
      <c r="FC259" s="54"/>
      <c r="FD259" s="54"/>
      <c r="FE259" s="54"/>
      <c r="FF259" s="54"/>
      <c r="FG259" s="54"/>
      <c r="FH259" s="54"/>
      <c r="FI259" s="54"/>
    </row>
    <row r="260" spans="158:165" ht="15" customHeight="1" x14ac:dyDescent="0.15">
      <c r="FB260" s="53"/>
      <c r="FC260" s="54"/>
      <c r="FD260" s="54"/>
      <c r="FE260" s="54"/>
      <c r="FF260" s="54"/>
      <c r="FG260" s="54"/>
      <c r="FH260" s="54"/>
      <c r="FI260" s="54"/>
    </row>
    <row r="261" spans="158:165" ht="15" customHeight="1" x14ac:dyDescent="0.15">
      <c r="FB261" s="53"/>
      <c r="FC261" s="54"/>
      <c r="FD261" s="54"/>
      <c r="FE261" s="54"/>
      <c r="FF261" s="54"/>
      <c r="FG261" s="54"/>
      <c r="FH261" s="54"/>
      <c r="FI261" s="54"/>
    </row>
    <row r="262" spans="158:165" ht="15" customHeight="1" x14ac:dyDescent="0.15">
      <c r="FB262" s="53"/>
      <c r="FC262" s="54"/>
      <c r="FD262" s="54"/>
      <c r="FE262" s="54"/>
      <c r="FF262" s="54"/>
      <c r="FG262" s="54"/>
      <c r="FH262" s="54"/>
      <c r="FI262" s="54"/>
    </row>
    <row r="263" spans="158:165" ht="15" customHeight="1" x14ac:dyDescent="0.15">
      <c r="FB263" s="53"/>
      <c r="FC263" s="54"/>
      <c r="FD263" s="54"/>
      <c r="FE263" s="54"/>
      <c r="FF263" s="54"/>
      <c r="FG263" s="54"/>
      <c r="FH263" s="54"/>
      <c r="FI263" s="54"/>
    </row>
    <row r="264" spans="158:165" ht="15" customHeight="1" x14ac:dyDescent="0.15">
      <c r="FB264" s="53"/>
      <c r="FC264" s="54"/>
      <c r="FD264" s="54"/>
      <c r="FE264" s="54"/>
      <c r="FF264" s="54"/>
      <c r="FG264" s="54"/>
      <c r="FH264" s="54"/>
      <c r="FI264" s="54"/>
    </row>
    <row r="265" spans="158:165" ht="15" customHeight="1" x14ac:dyDescent="0.15">
      <c r="FB265" s="53"/>
      <c r="FC265" s="54"/>
      <c r="FD265" s="54"/>
      <c r="FE265" s="54"/>
      <c r="FF265" s="54"/>
      <c r="FG265" s="54"/>
      <c r="FH265" s="54"/>
      <c r="FI265" s="54"/>
    </row>
    <row r="266" spans="158:165" ht="15" customHeight="1" x14ac:dyDescent="0.15">
      <c r="FB266" s="53"/>
      <c r="FC266" s="54"/>
      <c r="FD266" s="54"/>
      <c r="FE266" s="54"/>
      <c r="FF266" s="54"/>
      <c r="FG266" s="54"/>
      <c r="FH266" s="54"/>
      <c r="FI266" s="54"/>
    </row>
    <row r="267" spans="158:165" ht="15" customHeight="1" x14ac:dyDescent="0.15">
      <c r="FB267" s="53"/>
      <c r="FC267" s="54"/>
      <c r="FD267" s="54"/>
      <c r="FE267" s="54"/>
      <c r="FF267" s="54"/>
      <c r="FG267" s="54"/>
      <c r="FH267" s="54"/>
      <c r="FI267" s="54"/>
    </row>
    <row r="268" spans="158:165" ht="15" customHeight="1" x14ac:dyDescent="0.15">
      <c r="FB268" s="53"/>
      <c r="FC268" s="54"/>
      <c r="FD268" s="54"/>
      <c r="FE268" s="54"/>
      <c r="FF268" s="54"/>
      <c r="FG268" s="54"/>
      <c r="FH268" s="54"/>
      <c r="FI268" s="54"/>
    </row>
    <row r="269" spans="158:165" ht="15" customHeight="1" x14ac:dyDescent="0.15">
      <c r="FB269" s="53"/>
      <c r="FC269" s="54"/>
      <c r="FD269" s="54"/>
      <c r="FE269" s="54"/>
      <c r="FF269" s="54"/>
      <c r="FG269" s="54"/>
      <c r="FH269" s="54"/>
      <c r="FI269" s="54"/>
    </row>
    <row r="270" spans="158:165" ht="15" customHeight="1" x14ac:dyDescent="0.15">
      <c r="FB270" s="53"/>
      <c r="FC270" s="54"/>
      <c r="FD270" s="54"/>
      <c r="FE270" s="54"/>
      <c r="FF270" s="54"/>
      <c r="FG270" s="54"/>
      <c r="FH270" s="54"/>
      <c r="FI270" s="54"/>
    </row>
    <row r="271" spans="158:165" ht="15" customHeight="1" x14ac:dyDescent="0.15">
      <c r="FB271" s="53"/>
      <c r="FC271" s="54"/>
      <c r="FD271" s="54"/>
      <c r="FE271" s="54"/>
      <c r="FF271" s="54"/>
      <c r="FG271" s="54"/>
      <c r="FH271" s="54"/>
      <c r="FI271" s="54"/>
    </row>
    <row r="272" spans="158:165" ht="15" customHeight="1" x14ac:dyDescent="0.15">
      <c r="FB272" s="53"/>
      <c r="FC272" s="54"/>
      <c r="FD272" s="54"/>
      <c r="FE272" s="54"/>
      <c r="FF272" s="54"/>
      <c r="FG272" s="54"/>
      <c r="FH272" s="54"/>
      <c r="FI272" s="54"/>
    </row>
    <row r="273" spans="158:165" ht="15" customHeight="1" x14ac:dyDescent="0.15">
      <c r="FB273" s="53"/>
      <c r="FC273" s="54"/>
      <c r="FD273" s="54"/>
      <c r="FE273" s="54"/>
      <c r="FF273" s="54"/>
      <c r="FG273" s="54"/>
      <c r="FH273" s="54"/>
      <c r="FI273" s="54"/>
    </row>
    <row r="274" spans="158:165" ht="15" customHeight="1" x14ac:dyDescent="0.15">
      <c r="FB274" s="53"/>
      <c r="FC274" s="54"/>
      <c r="FD274" s="54"/>
      <c r="FE274" s="54"/>
      <c r="FF274" s="54"/>
      <c r="FG274" s="54"/>
      <c r="FH274" s="54"/>
      <c r="FI274" s="54"/>
    </row>
    <row r="275" spans="158:165" ht="15" customHeight="1" x14ac:dyDescent="0.15">
      <c r="FB275" s="53"/>
      <c r="FC275" s="54"/>
      <c r="FD275" s="54"/>
      <c r="FE275" s="54"/>
      <c r="FF275" s="54"/>
      <c r="FG275" s="54"/>
      <c r="FH275" s="54"/>
      <c r="FI275" s="54"/>
    </row>
    <row r="276" spans="158:165" ht="15" customHeight="1" x14ac:dyDescent="0.15">
      <c r="FB276" s="53"/>
      <c r="FC276" s="54"/>
      <c r="FD276" s="54"/>
      <c r="FE276" s="54"/>
      <c r="FF276" s="54"/>
      <c r="FG276" s="54"/>
      <c r="FH276" s="54"/>
      <c r="FI276" s="54"/>
    </row>
    <row r="277" spans="158:165" ht="15" customHeight="1" x14ac:dyDescent="0.15">
      <c r="FB277" s="53"/>
      <c r="FC277" s="54"/>
      <c r="FD277" s="54"/>
      <c r="FE277" s="54"/>
      <c r="FF277" s="54"/>
      <c r="FG277" s="54"/>
      <c r="FH277" s="54"/>
      <c r="FI277" s="54"/>
    </row>
    <row r="278" spans="158:165" ht="15" customHeight="1" x14ac:dyDescent="0.15">
      <c r="FB278" s="53"/>
      <c r="FC278" s="54"/>
      <c r="FD278" s="54"/>
      <c r="FE278" s="54"/>
      <c r="FF278" s="54"/>
      <c r="FG278" s="54"/>
      <c r="FH278" s="54"/>
      <c r="FI278" s="54"/>
    </row>
    <row r="279" spans="158:165" ht="15" customHeight="1" x14ac:dyDescent="0.15">
      <c r="FB279" s="53"/>
      <c r="FC279" s="54"/>
      <c r="FD279" s="54"/>
      <c r="FE279" s="54"/>
      <c r="FF279" s="54"/>
      <c r="FG279" s="54"/>
      <c r="FH279" s="54"/>
      <c r="FI279" s="54"/>
    </row>
    <row r="280" spans="158:165" ht="15" customHeight="1" x14ac:dyDescent="0.15">
      <c r="FB280" s="53"/>
      <c r="FC280" s="54"/>
      <c r="FD280" s="54"/>
      <c r="FE280" s="54"/>
      <c r="FF280" s="54"/>
      <c r="FG280" s="54"/>
      <c r="FH280" s="54"/>
      <c r="FI280" s="54"/>
    </row>
    <row r="281" spans="158:165" ht="15" customHeight="1" x14ac:dyDescent="0.15">
      <c r="FB281" s="53"/>
      <c r="FC281" s="54"/>
      <c r="FD281" s="54"/>
      <c r="FE281" s="54"/>
      <c r="FF281" s="54"/>
      <c r="FG281" s="54"/>
      <c r="FH281" s="54"/>
      <c r="FI281" s="54"/>
    </row>
    <row r="282" spans="158:165" ht="15" customHeight="1" x14ac:dyDescent="0.15">
      <c r="FB282" s="53"/>
      <c r="FC282" s="54"/>
      <c r="FD282" s="54"/>
      <c r="FE282" s="54"/>
      <c r="FF282" s="54"/>
      <c r="FG282" s="54"/>
      <c r="FH282" s="54"/>
      <c r="FI282" s="54"/>
    </row>
    <row r="283" spans="158:165" ht="15" customHeight="1" x14ac:dyDescent="0.15">
      <c r="FB283" s="53"/>
      <c r="FC283" s="54"/>
      <c r="FD283" s="54"/>
      <c r="FE283" s="54"/>
      <c r="FF283" s="54"/>
      <c r="FG283" s="54"/>
      <c r="FH283" s="54"/>
      <c r="FI283" s="54"/>
    </row>
    <row r="284" spans="158:165" ht="15" customHeight="1" x14ac:dyDescent="0.15">
      <c r="FB284" s="53"/>
      <c r="FC284" s="54"/>
      <c r="FD284" s="54"/>
      <c r="FE284" s="54"/>
      <c r="FF284" s="54"/>
      <c r="FG284" s="54"/>
      <c r="FH284" s="54"/>
      <c r="FI284" s="54"/>
    </row>
    <row r="285" spans="158:165" ht="15" customHeight="1" x14ac:dyDescent="0.15">
      <c r="FB285" s="53"/>
      <c r="FC285" s="54"/>
      <c r="FD285" s="54"/>
      <c r="FE285" s="54"/>
      <c r="FF285" s="54"/>
      <c r="FG285" s="54"/>
      <c r="FH285" s="54"/>
      <c r="FI285" s="54"/>
    </row>
    <row r="286" spans="158:165" ht="15" customHeight="1" x14ac:dyDescent="0.15">
      <c r="FB286" s="53"/>
      <c r="FC286" s="54"/>
      <c r="FD286" s="54"/>
      <c r="FE286" s="54"/>
      <c r="FF286" s="54"/>
      <c r="FG286" s="54"/>
      <c r="FH286" s="54"/>
      <c r="FI286" s="54"/>
    </row>
    <row r="287" spans="158:165" ht="15" customHeight="1" x14ac:dyDescent="0.15">
      <c r="FB287" s="53"/>
      <c r="FC287" s="54"/>
      <c r="FD287" s="54"/>
      <c r="FE287" s="54"/>
      <c r="FF287" s="54"/>
      <c r="FG287" s="54"/>
      <c r="FH287" s="54"/>
      <c r="FI287" s="54"/>
    </row>
    <row r="288" spans="158:165" ht="15" customHeight="1" x14ac:dyDescent="0.15">
      <c r="FB288" s="53"/>
      <c r="FC288" s="54"/>
      <c r="FD288" s="54"/>
      <c r="FE288" s="54"/>
      <c r="FF288" s="54"/>
      <c r="FG288" s="54"/>
      <c r="FH288" s="54"/>
      <c r="FI288" s="54"/>
    </row>
    <row r="289" spans="158:165" ht="15" customHeight="1" x14ac:dyDescent="0.15">
      <c r="FB289" s="53"/>
      <c r="FC289" s="54"/>
      <c r="FD289" s="54"/>
      <c r="FE289" s="54"/>
      <c r="FF289" s="54"/>
      <c r="FG289" s="54"/>
      <c r="FH289" s="54"/>
      <c r="FI289" s="54"/>
    </row>
    <row r="290" spans="158:165" ht="15" customHeight="1" x14ac:dyDescent="0.15">
      <c r="FB290" s="53"/>
      <c r="FC290" s="54"/>
      <c r="FD290" s="54"/>
      <c r="FE290" s="54"/>
      <c r="FF290" s="54"/>
      <c r="FG290" s="54"/>
      <c r="FH290" s="54"/>
      <c r="FI290" s="54"/>
    </row>
    <row r="291" spans="158:165" ht="15" customHeight="1" x14ac:dyDescent="0.15">
      <c r="FB291" s="53"/>
      <c r="FC291" s="54"/>
      <c r="FD291" s="54"/>
      <c r="FE291" s="54"/>
      <c r="FF291" s="54"/>
      <c r="FG291" s="54"/>
      <c r="FH291" s="54"/>
      <c r="FI291" s="54"/>
    </row>
    <row r="292" spans="158:165" ht="15" customHeight="1" x14ac:dyDescent="0.15">
      <c r="FB292" s="53"/>
      <c r="FC292" s="54"/>
      <c r="FD292" s="54"/>
      <c r="FE292" s="54"/>
      <c r="FF292" s="54"/>
      <c r="FG292" s="54"/>
      <c r="FH292" s="54"/>
      <c r="FI292" s="54"/>
    </row>
    <row r="293" spans="158:165" ht="15" customHeight="1" x14ac:dyDescent="0.15">
      <c r="FB293" s="53"/>
      <c r="FC293" s="54"/>
      <c r="FD293" s="54"/>
      <c r="FE293" s="54"/>
      <c r="FF293" s="54"/>
      <c r="FG293" s="54"/>
      <c r="FH293" s="54"/>
      <c r="FI293" s="54"/>
    </row>
    <row r="294" spans="158:165" ht="15" customHeight="1" x14ac:dyDescent="0.15">
      <c r="FB294" s="53"/>
      <c r="FC294" s="54"/>
      <c r="FD294" s="54"/>
      <c r="FE294" s="54"/>
      <c r="FF294" s="54"/>
      <c r="FG294" s="54"/>
      <c r="FH294" s="54"/>
      <c r="FI294" s="54"/>
    </row>
    <row r="295" spans="158:165" ht="15" customHeight="1" x14ac:dyDescent="0.15">
      <c r="FB295" s="53"/>
      <c r="FC295" s="54"/>
      <c r="FD295" s="54"/>
      <c r="FE295" s="54"/>
      <c r="FF295" s="54"/>
      <c r="FG295" s="54"/>
      <c r="FH295" s="54"/>
      <c r="FI295" s="54"/>
    </row>
    <row r="296" spans="158:165" ht="15" customHeight="1" x14ac:dyDescent="0.15">
      <c r="FB296" s="53"/>
      <c r="FC296" s="54"/>
      <c r="FD296" s="54"/>
      <c r="FE296" s="54"/>
      <c r="FF296" s="54"/>
      <c r="FG296" s="54"/>
      <c r="FH296" s="54"/>
      <c r="FI296" s="54"/>
    </row>
    <row r="297" spans="158:165" ht="15" customHeight="1" x14ac:dyDescent="0.15">
      <c r="FB297" s="53"/>
      <c r="FC297" s="54"/>
      <c r="FD297" s="54"/>
      <c r="FE297" s="54"/>
      <c r="FF297" s="54"/>
      <c r="FG297" s="54"/>
      <c r="FH297" s="54"/>
      <c r="FI297" s="54"/>
    </row>
    <row r="298" spans="158:165" ht="15" customHeight="1" x14ac:dyDescent="0.15">
      <c r="FB298" s="53"/>
      <c r="FC298" s="54"/>
      <c r="FD298" s="54"/>
      <c r="FE298" s="54"/>
      <c r="FF298" s="54"/>
      <c r="FG298" s="54"/>
      <c r="FH298" s="54"/>
      <c r="FI298" s="54"/>
    </row>
    <row r="299" spans="158:165" ht="15" customHeight="1" x14ac:dyDescent="0.15">
      <c r="FB299" s="53"/>
      <c r="FC299" s="54"/>
      <c r="FD299" s="54"/>
      <c r="FE299" s="54"/>
      <c r="FF299" s="54"/>
      <c r="FG299" s="54"/>
      <c r="FH299" s="54"/>
      <c r="FI299" s="54"/>
    </row>
    <row r="300" spans="158:165" ht="15" customHeight="1" x14ac:dyDescent="0.15">
      <c r="FB300" s="53"/>
      <c r="FC300" s="54"/>
      <c r="FD300" s="54"/>
      <c r="FE300" s="54"/>
      <c r="FF300" s="54"/>
      <c r="FG300" s="54"/>
      <c r="FH300" s="54"/>
      <c r="FI300" s="54"/>
    </row>
    <row r="301" spans="158:165" ht="15" customHeight="1" x14ac:dyDescent="0.15">
      <c r="FB301" s="53"/>
      <c r="FC301" s="54"/>
      <c r="FD301" s="54"/>
      <c r="FE301" s="54"/>
      <c r="FF301" s="54"/>
      <c r="FG301" s="54"/>
      <c r="FH301" s="54"/>
      <c r="FI301" s="54"/>
    </row>
    <row r="302" spans="158:165" ht="15" customHeight="1" x14ac:dyDescent="0.15">
      <c r="FB302" s="53"/>
      <c r="FC302" s="54"/>
      <c r="FD302" s="54"/>
      <c r="FE302" s="54"/>
      <c r="FF302" s="54"/>
      <c r="FG302" s="54"/>
      <c r="FH302" s="54"/>
      <c r="FI302" s="54"/>
    </row>
    <row r="303" spans="158:165" ht="15" customHeight="1" x14ac:dyDescent="0.15">
      <c r="FB303" s="53"/>
      <c r="FC303" s="54"/>
      <c r="FD303" s="54"/>
      <c r="FE303" s="54"/>
      <c r="FF303" s="54"/>
      <c r="FG303" s="54"/>
      <c r="FH303" s="54"/>
      <c r="FI303" s="54"/>
    </row>
    <row r="304" spans="158:165" ht="15" customHeight="1" x14ac:dyDescent="0.15">
      <c r="FB304" s="53"/>
      <c r="FC304" s="54"/>
      <c r="FD304" s="54"/>
      <c r="FE304" s="54"/>
      <c r="FF304" s="54"/>
      <c r="FG304" s="54"/>
      <c r="FH304" s="54"/>
      <c r="FI304" s="54"/>
    </row>
    <row r="305" spans="158:165" ht="15" customHeight="1" x14ac:dyDescent="0.15">
      <c r="FB305" s="53"/>
      <c r="FC305" s="54"/>
      <c r="FD305" s="54"/>
      <c r="FE305" s="54"/>
      <c r="FF305" s="54"/>
      <c r="FG305" s="54"/>
      <c r="FH305" s="54"/>
      <c r="FI305" s="54"/>
    </row>
    <row r="306" spans="158:165" ht="15" customHeight="1" x14ac:dyDescent="0.15">
      <c r="FB306" s="53"/>
      <c r="FC306" s="54"/>
      <c r="FD306" s="54"/>
      <c r="FE306" s="54"/>
      <c r="FF306" s="54"/>
      <c r="FG306" s="54"/>
      <c r="FH306" s="54"/>
      <c r="FI306" s="54"/>
    </row>
    <row r="307" spans="158:165" ht="15" customHeight="1" x14ac:dyDescent="0.15">
      <c r="FB307" s="53"/>
      <c r="FC307" s="54"/>
      <c r="FD307" s="54"/>
      <c r="FE307" s="54"/>
      <c r="FF307" s="54"/>
      <c r="FG307" s="54"/>
      <c r="FH307" s="54"/>
      <c r="FI307" s="54"/>
    </row>
    <row r="308" spans="158:165" ht="15" customHeight="1" x14ac:dyDescent="0.15">
      <c r="FB308" s="53"/>
      <c r="FC308" s="54"/>
      <c r="FD308" s="54"/>
      <c r="FE308" s="54"/>
      <c r="FF308" s="54"/>
      <c r="FG308" s="54"/>
      <c r="FH308" s="54"/>
      <c r="FI308" s="54"/>
    </row>
    <row r="309" spans="158:165" ht="15" customHeight="1" x14ac:dyDescent="0.15">
      <c r="FB309" s="53"/>
      <c r="FC309" s="54"/>
      <c r="FD309" s="54"/>
      <c r="FE309" s="54"/>
      <c r="FF309" s="54"/>
      <c r="FG309" s="54"/>
      <c r="FH309" s="54"/>
      <c r="FI309" s="54"/>
    </row>
    <row r="310" spans="158:165" ht="15" customHeight="1" x14ac:dyDescent="0.15">
      <c r="FB310" s="53"/>
      <c r="FC310" s="54"/>
      <c r="FD310" s="54"/>
      <c r="FE310" s="54"/>
      <c r="FF310" s="54"/>
      <c r="FG310" s="54"/>
      <c r="FH310" s="54"/>
      <c r="FI310" s="54"/>
    </row>
    <row r="311" spans="158:165" ht="15" customHeight="1" x14ac:dyDescent="0.15">
      <c r="FB311" s="53"/>
      <c r="FC311" s="54"/>
      <c r="FD311" s="54"/>
      <c r="FE311" s="54"/>
      <c r="FF311" s="54"/>
      <c r="FG311" s="54"/>
      <c r="FH311" s="54"/>
      <c r="FI311" s="54"/>
    </row>
    <row r="312" spans="158:165" ht="15" customHeight="1" x14ac:dyDescent="0.15">
      <c r="FB312" s="53"/>
      <c r="FC312" s="54"/>
      <c r="FD312" s="54"/>
      <c r="FE312" s="54"/>
      <c r="FF312" s="54"/>
      <c r="FG312" s="54"/>
      <c r="FH312" s="54"/>
      <c r="FI312" s="54"/>
    </row>
    <row r="313" spans="158:165" ht="15" customHeight="1" x14ac:dyDescent="0.15">
      <c r="FB313" s="53"/>
      <c r="FC313" s="54"/>
      <c r="FD313" s="54"/>
      <c r="FE313" s="54"/>
      <c r="FF313" s="54"/>
      <c r="FG313" s="54"/>
      <c r="FH313" s="54"/>
      <c r="FI313" s="54"/>
    </row>
    <row r="314" spans="158:165" ht="15" customHeight="1" x14ac:dyDescent="0.15">
      <c r="FB314" s="53"/>
      <c r="FC314" s="54"/>
      <c r="FD314" s="54"/>
      <c r="FE314" s="54"/>
      <c r="FF314" s="54"/>
      <c r="FG314" s="54"/>
      <c r="FH314" s="54"/>
      <c r="FI314" s="54"/>
    </row>
    <row r="315" spans="158:165" ht="15" customHeight="1" x14ac:dyDescent="0.15">
      <c r="FB315" s="53"/>
      <c r="FC315" s="54"/>
      <c r="FD315" s="54"/>
      <c r="FE315" s="54"/>
      <c r="FF315" s="54"/>
      <c r="FG315" s="54"/>
      <c r="FH315" s="54"/>
      <c r="FI315" s="54"/>
    </row>
    <row r="316" spans="158:165" ht="15" customHeight="1" x14ac:dyDescent="0.15">
      <c r="FB316" s="53"/>
      <c r="FC316" s="54"/>
      <c r="FD316" s="54"/>
      <c r="FE316" s="54"/>
      <c r="FF316" s="54"/>
      <c r="FG316" s="54"/>
      <c r="FH316" s="54"/>
      <c r="FI316" s="54"/>
    </row>
    <row r="317" spans="158:165" ht="15" customHeight="1" x14ac:dyDescent="0.15">
      <c r="FB317" s="53"/>
      <c r="FC317" s="54"/>
      <c r="FD317" s="54"/>
      <c r="FE317" s="54"/>
      <c r="FF317" s="54"/>
      <c r="FG317" s="54"/>
      <c r="FH317" s="54"/>
      <c r="FI317" s="54"/>
    </row>
    <row r="318" spans="158:165" ht="15" customHeight="1" x14ac:dyDescent="0.15">
      <c r="FB318" s="53"/>
      <c r="FC318" s="54"/>
      <c r="FD318" s="54"/>
      <c r="FE318" s="54"/>
      <c r="FF318" s="54"/>
      <c r="FG318" s="54"/>
      <c r="FH318" s="54"/>
      <c r="FI318" s="54"/>
    </row>
    <row r="319" spans="158:165" ht="15" customHeight="1" x14ac:dyDescent="0.15">
      <c r="FB319" s="53"/>
      <c r="FC319" s="54"/>
      <c r="FD319" s="54"/>
      <c r="FE319" s="54"/>
      <c r="FF319" s="54"/>
      <c r="FG319" s="54"/>
      <c r="FH319" s="54"/>
      <c r="FI319" s="54"/>
    </row>
    <row r="320" spans="158:165" ht="15" customHeight="1" x14ac:dyDescent="0.15">
      <c r="FB320" s="53"/>
      <c r="FC320" s="54"/>
      <c r="FD320" s="54"/>
      <c r="FE320" s="54"/>
      <c r="FF320" s="54"/>
      <c r="FG320" s="54"/>
      <c r="FH320" s="54"/>
      <c r="FI320" s="54"/>
    </row>
    <row r="321" spans="158:165" ht="15" customHeight="1" x14ac:dyDescent="0.15">
      <c r="FB321" s="53"/>
      <c r="FC321" s="54"/>
      <c r="FD321" s="54"/>
      <c r="FE321" s="54"/>
      <c r="FF321" s="54"/>
      <c r="FG321" s="54"/>
      <c r="FH321" s="54"/>
      <c r="FI321" s="54"/>
    </row>
    <row r="322" spans="158:165" ht="15" customHeight="1" x14ac:dyDescent="0.15">
      <c r="FB322" s="53"/>
      <c r="FC322" s="54"/>
      <c r="FD322" s="54"/>
      <c r="FE322" s="54"/>
      <c r="FF322" s="54"/>
      <c r="FG322" s="54"/>
      <c r="FH322" s="54"/>
      <c r="FI322" s="54"/>
    </row>
    <row r="323" spans="158:165" ht="15" customHeight="1" x14ac:dyDescent="0.15">
      <c r="FB323" s="53"/>
      <c r="FC323" s="54"/>
      <c r="FD323" s="54"/>
      <c r="FE323" s="54"/>
      <c r="FF323" s="54"/>
      <c r="FG323" s="54"/>
      <c r="FH323" s="54"/>
      <c r="FI323" s="54"/>
    </row>
    <row r="324" spans="158:165" ht="15" customHeight="1" x14ac:dyDescent="0.15">
      <c r="FB324" s="53"/>
      <c r="FC324" s="54"/>
      <c r="FD324" s="54"/>
      <c r="FE324" s="54"/>
      <c r="FF324" s="54"/>
      <c r="FG324" s="54"/>
      <c r="FH324" s="54"/>
      <c r="FI324" s="54"/>
    </row>
    <row r="325" spans="158:165" ht="15" customHeight="1" x14ac:dyDescent="0.15">
      <c r="FB325" s="53"/>
      <c r="FC325" s="54"/>
      <c r="FD325" s="54"/>
      <c r="FE325" s="54"/>
      <c r="FF325" s="54"/>
      <c r="FG325" s="54"/>
      <c r="FH325" s="54"/>
      <c r="FI325" s="54"/>
    </row>
    <row r="326" spans="158:165" ht="15" customHeight="1" x14ac:dyDescent="0.15">
      <c r="FB326" s="53"/>
      <c r="FC326" s="54"/>
      <c r="FD326" s="54"/>
      <c r="FE326" s="54"/>
      <c r="FF326" s="54"/>
      <c r="FG326" s="54"/>
      <c r="FH326" s="54"/>
      <c r="FI326" s="54"/>
    </row>
    <row r="327" spans="158:165" ht="15" customHeight="1" x14ac:dyDescent="0.15">
      <c r="FB327" s="53"/>
      <c r="FC327" s="54"/>
      <c r="FD327" s="54"/>
      <c r="FE327" s="54"/>
      <c r="FF327" s="54"/>
      <c r="FG327" s="54"/>
      <c r="FH327" s="54"/>
      <c r="FI327" s="54"/>
    </row>
    <row r="328" spans="158:165" ht="15" customHeight="1" x14ac:dyDescent="0.15">
      <c r="FB328" s="53"/>
      <c r="FC328" s="54"/>
      <c r="FD328" s="54"/>
      <c r="FE328" s="54"/>
      <c r="FF328" s="54"/>
      <c r="FG328" s="54"/>
      <c r="FH328" s="54"/>
      <c r="FI328" s="54"/>
    </row>
    <row r="329" spans="158:165" ht="15" customHeight="1" x14ac:dyDescent="0.15">
      <c r="FB329" s="53"/>
      <c r="FC329" s="54"/>
      <c r="FD329" s="54"/>
      <c r="FE329" s="54"/>
      <c r="FF329" s="54"/>
      <c r="FG329" s="54"/>
      <c r="FH329" s="54"/>
      <c r="FI329" s="54"/>
    </row>
    <row r="330" spans="158:165" ht="15" customHeight="1" x14ac:dyDescent="0.15">
      <c r="FB330" s="53"/>
      <c r="FC330" s="54"/>
      <c r="FD330" s="54"/>
      <c r="FE330" s="54"/>
      <c r="FF330" s="54"/>
      <c r="FG330" s="54"/>
      <c r="FH330" s="54"/>
      <c r="FI330" s="54"/>
    </row>
    <row r="331" spans="158:165" ht="15" customHeight="1" x14ac:dyDescent="0.15">
      <c r="FB331" s="53"/>
      <c r="FC331" s="54"/>
      <c r="FD331" s="54"/>
      <c r="FE331" s="54"/>
      <c r="FF331" s="54"/>
      <c r="FG331" s="54"/>
      <c r="FH331" s="54"/>
      <c r="FI331" s="54"/>
    </row>
    <row r="332" spans="158:165" ht="15" customHeight="1" x14ac:dyDescent="0.15">
      <c r="FB332" s="53"/>
      <c r="FC332" s="54"/>
      <c r="FD332" s="54"/>
      <c r="FE332" s="54"/>
      <c r="FF332" s="54"/>
      <c r="FG332" s="54"/>
      <c r="FH332" s="54"/>
      <c r="FI332" s="54"/>
    </row>
    <row r="333" spans="158:165" ht="15" customHeight="1" x14ac:dyDescent="0.15">
      <c r="FB333" s="53"/>
      <c r="FC333" s="54"/>
      <c r="FD333" s="54"/>
      <c r="FE333" s="54"/>
      <c r="FF333" s="54"/>
      <c r="FG333" s="54"/>
      <c r="FH333" s="54"/>
      <c r="FI333" s="54"/>
    </row>
    <row r="334" spans="158:165" ht="15" customHeight="1" x14ac:dyDescent="0.15">
      <c r="FB334" s="53"/>
      <c r="FC334" s="54"/>
      <c r="FD334" s="54"/>
      <c r="FE334" s="54"/>
      <c r="FF334" s="54"/>
      <c r="FG334" s="54"/>
      <c r="FH334" s="54"/>
      <c r="FI334" s="54"/>
    </row>
    <row r="335" spans="158:165" ht="15" customHeight="1" x14ac:dyDescent="0.15">
      <c r="FB335" s="53"/>
      <c r="FC335" s="54"/>
      <c r="FD335" s="54"/>
      <c r="FE335" s="54"/>
      <c r="FF335" s="54"/>
      <c r="FG335" s="54"/>
      <c r="FH335" s="54"/>
      <c r="FI335" s="54"/>
    </row>
    <row r="336" spans="158:165" ht="15" customHeight="1" x14ac:dyDescent="0.15">
      <c r="FB336" s="53"/>
      <c r="FC336" s="54"/>
      <c r="FD336" s="54"/>
      <c r="FE336" s="54"/>
      <c r="FF336" s="54"/>
      <c r="FG336" s="54"/>
      <c r="FH336" s="54"/>
      <c r="FI336" s="54"/>
    </row>
    <row r="337" spans="158:165" ht="15" customHeight="1" x14ac:dyDescent="0.15">
      <c r="FB337" s="53"/>
      <c r="FC337" s="54"/>
      <c r="FD337" s="54"/>
      <c r="FE337" s="54"/>
      <c r="FF337" s="54"/>
      <c r="FG337" s="54"/>
      <c r="FH337" s="54"/>
      <c r="FI337" s="54"/>
    </row>
    <row r="338" spans="158:165" ht="15" customHeight="1" x14ac:dyDescent="0.15">
      <c r="FB338" s="53"/>
      <c r="FC338" s="54"/>
      <c r="FD338" s="54"/>
      <c r="FE338" s="54"/>
      <c r="FF338" s="54"/>
      <c r="FG338" s="54"/>
      <c r="FH338" s="54"/>
      <c r="FI338" s="54"/>
    </row>
    <row r="339" spans="158:165" ht="15" customHeight="1" x14ac:dyDescent="0.15">
      <c r="FB339" s="53"/>
      <c r="FC339" s="54"/>
      <c r="FD339" s="54"/>
      <c r="FE339" s="54"/>
      <c r="FF339" s="54"/>
      <c r="FG339" s="54"/>
      <c r="FH339" s="54"/>
      <c r="FI339" s="54"/>
    </row>
    <row r="340" spans="158:165" ht="15" customHeight="1" x14ac:dyDescent="0.15">
      <c r="FB340" s="53"/>
      <c r="FC340" s="54"/>
      <c r="FD340" s="54"/>
      <c r="FE340" s="54"/>
      <c r="FF340" s="54"/>
      <c r="FG340" s="54"/>
      <c r="FH340" s="54"/>
      <c r="FI340" s="54"/>
    </row>
    <row r="341" spans="158:165" ht="15" customHeight="1" x14ac:dyDescent="0.15">
      <c r="FB341" s="53"/>
      <c r="FC341" s="54"/>
      <c r="FD341" s="54"/>
      <c r="FE341" s="54"/>
      <c r="FF341" s="54"/>
      <c r="FG341" s="54"/>
      <c r="FH341" s="54"/>
      <c r="FI341" s="54"/>
    </row>
    <row r="342" spans="158:165" ht="15" customHeight="1" x14ac:dyDescent="0.15">
      <c r="FB342" s="53"/>
      <c r="FC342" s="54"/>
      <c r="FD342" s="54"/>
      <c r="FE342" s="54"/>
      <c r="FF342" s="54"/>
      <c r="FG342" s="54"/>
      <c r="FH342" s="54"/>
      <c r="FI342" s="54"/>
    </row>
    <row r="343" spans="158:165" ht="15" customHeight="1" x14ac:dyDescent="0.15">
      <c r="FB343" s="53"/>
      <c r="FC343" s="54"/>
      <c r="FD343" s="54"/>
      <c r="FE343" s="54"/>
      <c r="FF343" s="54"/>
      <c r="FG343" s="54"/>
      <c r="FH343" s="54"/>
      <c r="FI343" s="54"/>
    </row>
    <row r="344" spans="158:165" ht="15" customHeight="1" x14ac:dyDescent="0.15">
      <c r="FB344" s="53"/>
      <c r="FC344" s="54"/>
      <c r="FD344" s="54"/>
      <c r="FE344" s="54"/>
      <c r="FF344" s="54"/>
      <c r="FG344" s="54"/>
      <c r="FH344" s="54"/>
      <c r="FI344" s="54"/>
    </row>
    <row r="345" spans="158:165" ht="15" customHeight="1" x14ac:dyDescent="0.15">
      <c r="FB345" s="53"/>
      <c r="FC345" s="54"/>
      <c r="FD345" s="54"/>
      <c r="FE345" s="54"/>
      <c r="FF345" s="54"/>
      <c r="FG345" s="54"/>
      <c r="FH345" s="54"/>
      <c r="FI345" s="54"/>
    </row>
    <row r="346" spans="158:165" ht="15" customHeight="1" x14ac:dyDescent="0.15">
      <c r="FB346" s="53"/>
      <c r="FC346" s="54"/>
      <c r="FD346" s="54"/>
      <c r="FE346" s="54"/>
      <c r="FF346" s="54"/>
      <c r="FG346" s="54"/>
      <c r="FH346" s="54"/>
      <c r="FI346" s="54"/>
    </row>
    <row r="347" spans="158:165" ht="15" customHeight="1" x14ac:dyDescent="0.15">
      <c r="FB347" s="53"/>
      <c r="FC347" s="54"/>
      <c r="FD347" s="54"/>
      <c r="FE347" s="54"/>
      <c r="FF347" s="54"/>
      <c r="FG347" s="54"/>
      <c r="FH347" s="54"/>
      <c r="FI347" s="54"/>
    </row>
    <row r="348" spans="158:165" ht="15" customHeight="1" x14ac:dyDescent="0.15">
      <c r="FB348" s="53"/>
      <c r="FC348" s="54"/>
      <c r="FD348" s="54"/>
      <c r="FE348" s="54"/>
      <c r="FF348" s="54"/>
      <c r="FG348" s="54"/>
      <c r="FH348" s="54"/>
      <c r="FI348" s="54"/>
    </row>
    <row r="349" spans="158:165" ht="15" customHeight="1" x14ac:dyDescent="0.15">
      <c r="FB349" s="53"/>
      <c r="FC349" s="54"/>
      <c r="FD349" s="54"/>
      <c r="FE349" s="54"/>
      <c r="FF349" s="54"/>
      <c r="FG349" s="54"/>
      <c r="FH349" s="54"/>
      <c r="FI349" s="54"/>
    </row>
    <row r="350" spans="158:165" ht="15" customHeight="1" x14ac:dyDescent="0.15">
      <c r="FB350" s="53"/>
      <c r="FC350" s="54"/>
      <c r="FD350" s="54"/>
      <c r="FE350" s="54"/>
      <c r="FF350" s="54"/>
      <c r="FG350" s="54"/>
      <c r="FH350" s="54"/>
      <c r="FI350" s="54"/>
    </row>
    <row r="351" spans="158:165" ht="15" customHeight="1" x14ac:dyDescent="0.15">
      <c r="FB351" s="53"/>
      <c r="FC351" s="54"/>
      <c r="FD351" s="54"/>
      <c r="FE351" s="54"/>
      <c r="FF351" s="54"/>
      <c r="FG351" s="54"/>
      <c r="FH351" s="54"/>
      <c r="FI351" s="54"/>
    </row>
    <row r="352" spans="158:165" ht="15" customHeight="1" x14ac:dyDescent="0.15">
      <c r="FB352" s="53"/>
      <c r="FC352" s="54"/>
      <c r="FD352" s="54"/>
      <c r="FE352" s="54"/>
      <c r="FF352" s="54"/>
      <c r="FG352" s="54"/>
      <c r="FH352" s="54"/>
      <c r="FI352" s="54"/>
    </row>
    <row r="353" spans="158:165" ht="15" customHeight="1" x14ac:dyDescent="0.15">
      <c r="FB353" s="53"/>
      <c r="FC353" s="54"/>
      <c r="FD353" s="54"/>
      <c r="FE353" s="54"/>
      <c r="FF353" s="54"/>
      <c r="FG353" s="54"/>
      <c r="FH353" s="54"/>
      <c r="FI353" s="54"/>
    </row>
    <row r="354" spans="158:165" ht="15" customHeight="1" x14ac:dyDescent="0.15">
      <c r="FB354" s="53"/>
      <c r="FC354" s="54"/>
      <c r="FD354" s="54"/>
      <c r="FE354" s="54"/>
      <c r="FF354" s="54"/>
      <c r="FG354" s="54"/>
      <c r="FH354" s="54"/>
      <c r="FI354" s="54"/>
    </row>
    <row r="412" spans="158:165" ht="15" customHeight="1" x14ac:dyDescent="0.15">
      <c r="FB412" s="79" t="s">
        <v>55</v>
      </c>
      <c r="FC412" s="79" t="s">
        <v>56</v>
      </c>
      <c r="FD412" s="79" t="s">
        <v>57</v>
      </c>
      <c r="FE412" s="79" t="s">
        <v>58</v>
      </c>
      <c r="FF412" s="79" t="s">
        <v>59</v>
      </c>
      <c r="FG412" s="79" t="s">
        <v>118</v>
      </c>
      <c r="FH412" s="79" t="s">
        <v>60</v>
      </c>
      <c r="FI412" s="79" t="s">
        <v>61</v>
      </c>
    </row>
    <row r="413" spans="158:165" ht="15" customHeight="1" x14ac:dyDescent="0.15">
      <c r="FB413" s="53"/>
      <c r="FC413" s="54"/>
      <c r="FD413" s="54"/>
      <c r="FE413" s="54"/>
      <c r="FF413" s="54"/>
      <c r="FG413" s="54"/>
      <c r="FH413" s="54"/>
      <c r="FI413" s="54"/>
    </row>
    <row r="414" spans="158:165" ht="15" customHeight="1" x14ac:dyDescent="0.15">
      <c r="FB414" s="53"/>
      <c r="FC414" s="54"/>
      <c r="FD414" s="54"/>
      <c r="FE414" s="54"/>
      <c r="FF414" s="54"/>
      <c r="FG414" s="54"/>
      <c r="FH414" s="54"/>
      <c r="FI414" s="54"/>
    </row>
    <row r="415" spans="158:165" ht="15" customHeight="1" x14ac:dyDescent="0.15">
      <c r="FB415" s="53"/>
      <c r="FC415" s="54"/>
      <c r="FD415" s="54"/>
      <c r="FE415" s="54"/>
      <c r="FF415" s="54"/>
      <c r="FG415" s="54"/>
      <c r="FH415" s="54"/>
      <c r="FI415" s="54"/>
    </row>
    <row r="416" spans="158:165" ht="15" customHeight="1" x14ac:dyDescent="0.15">
      <c r="FB416" s="53"/>
      <c r="FC416" s="54"/>
      <c r="FD416" s="54"/>
      <c r="FE416" s="54"/>
      <c r="FF416" s="54"/>
      <c r="FG416" s="54"/>
      <c r="FH416" s="54"/>
      <c r="FI416" s="54"/>
    </row>
    <row r="417" spans="158:165" ht="15" customHeight="1" x14ac:dyDescent="0.15">
      <c r="FB417" s="53"/>
      <c r="FC417" s="54"/>
      <c r="FD417" s="54"/>
      <c r="FE417" s="54"/>
      <c r="FF417" s="54"/>
      <c r="FG417" s="54"/>
      <c r="FH417" s="54"/>
      <c r="FI417" s="54"/>
    </row>
    <row r="418" spans="158:165" ht="15" customHeight="1" x14ac:dyDescent="0.15">
      <c r="FB418" s="53"/>
      <c r="FC418" s="54"/>
      <c r="FD418" s="54"/>
      <c r="FE418" s="54"/>
      <c r="FF418" s="54"/>
      <c r="FG418" s="54"/>
      <c r="FH418" s="54"/>
      <c r="FI418" s="54"/>
    </row>
    <row r="419" spans="158:165" ht="15" customHeight="1" x14ac:dyDescent="0.15">
      <c r="FB419" s="53"/>
      <c r="FC419" s="54"/>
      <c r="FD419" s="54"/>
      <c r="FE419" s="54"/>
      <c r="FF419" s="54"/>
      <c r="FG419" s="54"/>
      <c r="FH419" s="54"/>
      <c r="FI419" s="54"/>
    </row>
    <row r="420" spans="158:165" ht="15" customHeight="1" x14ac:dyDescent="0.15">
      <c r="FB420" s="53"/>
      <c r="FC420" s="54"/>
      <c r="FD420" s="54"/>
      <c r="FE420" s="54"/>
      <c r="FF420" s="54"/>
      <c r="FG420" s="54"/>
      <c r="FH420" s="54"/>
      <c r="FI420" s="54"/>
    </row>
    <row r="421" spans="158:165" ht="15" customHeight="1" x14ac:dyDescent="0.15">
      <c r="FB421" s="53"/>
      <c r="FC421" s="54"/>
      <c r="FD421" s="54"/>
      <c r="FE421" s="54"/>
      <c r="FF421" s="54"/>
      <c r="FG421" s="54"/>
      <c r="FH421" s="54"/>
      <c r="FI421" s="54"/>
    </row>
    <row r="422" spans="158:165" ht="15" customHeight="1" x14ac:dyDescent="0.15">
      <c r="FB422" s="53"/>
      <c r="FC422" s="54"/>
      <c r="FD422" s="54"/>
      <c r="FE422" s="54"/>
      <c r="FF422" s="54"/>
      <c r="FG422" s="54"/>
      <c r="FH422" s="54"/>
      <c r="FI422" s="54"/>
    </row>
    <row r="423" spans="158:165" ht="15" customHeight="1" x14ac:dyDescent="0.15">
      <c r="FB423" s="53"/>
      <c r="FC423" s="54"/>
      <c r="FD423" s="54"/>
      <c r="FE423" s="54"/>
      <c r="FF423" s="54"/>
      <c r="FG423" s="54"/>
      <c r="FH423" s="54"/>
      <c r="FI423" s="54"/>
    </row>
    <row r="424" spans="158:165" ht="15" customHeight="1" x14ac:dyDescent="0.15">
      <c r="FB424" s="53"/>
      <c r="FC424" s="54"/>
      <c r="FD424" s="54"/>
      <c r="FE424" s="54"/>
      <c r="FF424" s="54"/>
      <c r="FG424" s="54"/>
      <c r="FH424" s="54"/>
      <c r="FI424" s="54"/>
    </row>
    <row r="425" spans="158:165" ht="15" customHeight="1" x14ac:dyDescent="0.15">
      <c r="FB425" s="53"/>
      <c r="FC425" s="54"/>
      <c r="FD425" s="54"/>
      <c r="FE425" s="54"/>
      <c r="FF425" s="54"/>
      <c r="FG425" s="54"/>
      <c r="FH425" s="54"/>
      <c r="FI425" s="54"/>
    </row>
    <row r="426" spans="158:165" ht="15" customHeight="1" x14ac:dyDescent="0.15">
      <c r="FB426" s="53"/>
      <c r="FC426" s="54"/>
      <c r="FD426" s="54"/>
      <c r="FE426" s="54"/>
      <c r="FF426" s="54"/>
      <c r="FG426" s="54"/>
      <c r="FH426" s="54"/>
      <c r="FI426" s="54"/>
    </row>
    <row r="427" spans="158:165" ht="15" customHeight="1" x14ac:dyDescent="0.15">
      <c r="FB427" s="53"/>
      <c r="FC427" s="54"/>
      <c r="FD427" s="54"/>
      <c r="FE427" s="54"/>
      <c r="FF427" s="54"/>
      <c r="FG427" s="54"/>
      <c r="FH427" s="54"/>
      <c r="FI427" s="54"/>
    </row>
    <row r="428" spans="158:165" ht="15" customHeight="1" x14ac:dyDescent="0.15">
      <c r="FB428" s="53"/>
      <c r="FC428" s="54"/>
      <c r="FD428" s="54"/>
      <c r="FE428" s="54"/>
      <c r="FF428" s="54"/>
      <c r="FG428" s="54"/>
      <c r="FH428" s="54"/>
      <c r="FI428" s="54"/>
    </row>
    <row r="429" spans="158:165" ht="15" customHeight="1" x14ac:dyDescent="0.15">
      <c r="FB429" s="53"/>
      <c r="FC429" s="54"/>
      <c r="FD429" s="54"/>
      <c r="FE429" s="54"/>
      <c r="FF429" s="54"/>
      <c r="FG429" s="54"/>
      <c r="FH429" s="54"/>
      <c r="FI429" s="54"/>
    </row>
    <row r="430" spans="158:165" ht="15" customHeight="1" x14ac:dyDescent="0.15">
      <c r="FB430" s="53"/>
      <c r="FC430" s="54"/>
      <c r="FD430" s="54"/>
      <c r="FE430" s="54"/>
      <c r="FF430" s="54"/>
      <c r="FG430" s="54"/>
      <c r="FH430" s="54"/>
      <c r="FI430" s="54"/>
    </row>
    <row r="431" spans="158:165" ht="15" customHeight="1" x14ac:dyDescent="0.15">
      <c r="FB431" s="53"/>
      <c r="FC431" s="54"/>
      <c r="FD431" s="54"/>
      <c r="FE431" s="54"/>
      <c r="FF431" s="54"/>
      <c r="FG431" s="54"/>
      <c r="FH431" s="54"/>
      <c r="FI431" s="54"/>
    </row>
    <row r="432" spans="158:165" ht="15" customHeight="1" x14ac:dyDescent="0.15">
      <c r="FB432" s="53"/>
      <c r="FC432" s="54"/>
      <c r="FD432" s="54"/>
      <c r="FE432" s="54"/>
      <c r="FF432" s="54"/>
      <c r="FG432" s="54"/>
      <c r="FH432" s="54"/>
      <c r="FI432" s="54"/>
    </row>
    <row r="433" spans="158:165" ht="15" customHeight="1" x14ac:dyDescent="0.15">
      <c r="FB433" s="53"/>
      <c r="FC433" s="54"/>
      <c r="FD433" s="54"/>
      <c r="FE433" s="54"/>
      <c r="FF433" s="54"/>
      <c r="FG433" s="54"/>
      <c r="FH433" s="54"/>
      <c r="FI433" s="54"/>
    </row>
    <row r="434" spans="158:165" ht="15" customHeight="1" x14ac:dyDescent="0.15">
      <c r="FB434" s="53"/>
      <c r="FC434" s="54"/>
      <c r="FD434" s="54"/>
      <c r="FE434" s="54"/>
      <c r="FF434" s="54"/>
      <c r="FG434" s="54"/>
      <c r="FH434" s="54"/>
      <c r="FI434" s="54"/>
    </row>
    <row r="435" spans="158:165" ht="15" customHeight="1" x14ac:dyDescent="0.15">
      <c r="FB435" s="53"/>
      <c r="FC435" s="54"/>
      <c r="FD435" s="54"/>
      <c r="FE435" s="54"/>
      <c r="FF435" s="54"/>
      <c r="FG435" s="54"/>
      <c r="FH435" s="54"/>
      <c r="FI435" s="54"/>
    </row>
    <row r="436" spans="158:165" ht="15" customHeight="1" x14ac:dyDescent="0.15">
      <c r="FB436" s="53"/>
      <c r="FC436" s="54"/>
      <c r="FD436" s="54"/>
      <c r="FE436" s="54"/>
      <c r="FF436" s="54"/>
      <c r="FG436" s="54"/>
      <c r="FH436" s="54"/>
      <c r="FI436" s="54"/>
    </row>
    <row r="437" spans="158:165" ht="15" customHeight="1" x14ac:dyDescent="0.15">
      <c r="FB437" s="53"/>
      <c r="FC437" s="54"/>
      <c r="FD437" s="54"/>
      <c r="FE437" s="54"/>
      <c r="FF437" s="54"/>
      <c r="FG437" s="54"/>
      <c r="FH437" s="54"/>
      <c r="FI437" s="54"/>
    </row>
    <row r="438" spans="158:165" ht="15" customHeight="1" x14ac:dyDescent="0.15">
      <c r="FB438" s="53"/>
      <c r="FC438" s="54"/>
      <c r="FD438" s="54"/>
      <c r="FE438" s="54"/>
      <c r="FF438" s="54"/>
      <c r="FG438" s="54"/>
      <c r="FH438" s="54"/>
      <c r="FI438" s="54"/>
    </row>
    <row r="439" spans="158:165" ht="15" customHeight="1" x14ac:dyDescent="0.15">
      <c r="FB439" s="53"/>
      <c r="FC439" s="54"/>
      <c r="FD439" s="54"/>
      <c r="FE439" s="54"/>
      <c r="FF439" s="54"/>
      <c r="FG439" s="54"/>
      <c r="FH439" s="54"/>
      <c r="FI439" s="54"/>
    </row>
    <row r="440" spans="158:165" ht="15" customHeight="1" x14ac:dyDescent="0.15">
      <c r="FB440" s="53"/>
      <c r="FC440" s="54"/>
      <c r="FD440" s="54"/>
      <c r="FE440" s="54"/>
      <c r="FF440" s="54"/>
      <c r="FG440" s="54"/>
      <c r="FH440" s="54"/>
      <c r="FI440" s="54"/>
    </row>
    <row r="441" spans="158:165" ht="15" customHeight="1" x14ac:dyDescent="0.15">
      <c r="FB441" s="53"/>
      <c r="FC441" s="54"/>
      <c r="FD441" s="54"/>
      <c r="FE441" s="54"/>
      <c r="FF441" s="54"/>
      <c r="FG441" s="54"/>
      <c r="FH441" s="54"/>
      <c r="FI441" s="54"/>
    </row>
    <row r="442" spans="158:165" ht="15" customHeight="1" x14ac:dyDescent="0.15">
      <c r="FB442" s="53"/>
      <c r="FC442" s="54"/>
      <c r="FD442" s="54"/>
      <c r="FE442" s="54"/>
      <c r="FF442" s="54"/>
      <c r="FG442" s="54"/>
      <c r="FH442" s="54"/>
      <c r="FI442" s="54"/>
    </row>
    <row r="443" spans="158:165" ht="15" customHeight="1" x14ac:dyDescent="0.15">
      <c r="FB443" s="53"/>
      <c r="FC443" s="54"/>
      <c r="FD443" s="54"/>
      <c r="FE443" s="54"/>
      <c r="FF443" s="54"/>
      <c r="FG443" s="54"/>
      <c r="FH443" s="54"/>
      <c r="FI443" s="54"/>
    </row>
    <row r="444" spans="158:165" ht="15" customHeight="1" x14ac:dyDescent="0.15">
      <c r="FB444" s="53"/>
      <c r="FC444" s="54"/>
      <c r="FD444" s="54"/>
      <c r="FE444" s="54"/>
      <c r="FF444" s="54"/>
      <c r="FG444" s="54"/>
      <c r="FH444" s="54"/>
      <c r="FI444" s="54"/>
    </row>
    <row r="445" spans="158:165" ht="15" customHeight="1" x14ac:dyDescent="0.15">
      <c r="FB445" s="53"/>
      <c r="FC445" s="54"/>
      <c r="FD445" s="54"/>
      <c r="FE445" s="54"/>
      <c r="FF445" s="54"/>
      <c r="FG445" s="54"/>
      <c r="FH445" s="54"/>
      <c r="FI445" s="54"/>
    </row>
    <row r="446" spans="158:165" ht="15" customHeight="1" x14ac:dyDescent="0.15">
      <c r="FB446" s="53"/>
      <c r="FC446" s="54"/>
      <c r="FD446" s="54"/>
      <c r="FE446" s="54"/>
      <c r="FF446" s="54"/>
      <c r="FG446" s="54"/>
      <c r="FH446" s="54"/>
      <c r="FI446" s="54"/>
    </row>
    <row r="447" spans="158:165" ht="15" customHeight="1" x14ac:dyDescent="0.15">
      <c r="FB447" s="53"/>
      <c r="FC447" s="54"/>
      <c r="FD447" s="54"/>
      <c r="FE447" s="54"/>
      <c r="FF447" s="54"/>
      <c r="FG447" s="54"/>
      <c r="FH447" s="54"/>
      <c r="FI447" s="54"/>
    </row>
    <row r="448" spans="158:165" ht="15" customHeight="1" x14ac:dyDescent="0.15">
      <c r="FB448" s="53"/>
      <c r="FC448" s="54"/>
      <c r="FD448" s="54"/>
      <c r="FE448" s="54"/>
      <c r="FF448" s="54"/>
      <c r="FG448" s="54"/>
      <c r="FH448" s="54"/>
      <c r="FI448" s="54"/>
    </row>
    <row r="449" spans="158:165" ht="15" customHeight="1" x14ac:dyDescent="0.15">
      <c r="FB449" s="53"/>
      <c r="FC449" s="54"/>
      <c r="FD449" s="54"/>
      <c r="FE449" s="54"/>
      <c r="FF449" s="54"/>
      <c r="FG449" s="54"/>
      <c r="FH449" s="54"/>
      <c r="FI449" s="54"/>
    </row>
    <row r="450" spans="158:165" ht="15" customHeight="1" x14ac:dyDescent="0.15">
      <c r="FB450" s="53"/>
      <c r="FC450" s="54"/>
      <c r="FD450" s="54"/>
      <c r="FE450" s="54"/>
      <c r="FF450" s="54"/>
      <c r="FG450" s="54"/>
      <c r="FH450" s="54"/>
      <c r="FI450" s="54"/>
    </row>
    <row r="451" spans="158:165" ht="15" customHeight="1" x14ac:dyDescent="0.15">
      <c r="FB451" s="53"/>
      <c r="FC451" s="54"/>
      <c r="FD451" s="54"/>
      <c r="FE451" s="54"/>
      <c r="FF451" s="54"/>
      <c r="FG451" s="54"/>
      <c r="FH451" s="54"/>
      <c r="FI451" s="54"/>
    </row>
    <row r="452" spans="158:165" ht="15" customHeight="1" x14ac:dyDescent="0.15">
      <c r="FB452" s="53"/>
      <c r="FC452" s="54"/>
      <c r="FD452" s="54"/>
      <c r="FE452" s="54"/>
      <c r="FF452" s="54"/>
      <c r="FG452" s="54"/>
      <c r="FH452" s="54"/>
      <c r="FI452" s="54"/>
    </row>
    <row r="453" spans="158:165" ht="15" customHeight="1" x14ac:dyDescent="0.15">
      <c r="FB453" s="53"/>
      <c r="FC453" s="54"/>
      <c r="FD453" s="54"/>
      <c r="FE453" s="54"/>
      <c r="FF453" s="54"/>
      <c r="FG453" s="54"/>
      <c r="FH453" s="54"/>
      <c r="FI453" s="54"/>
    </row>
    <row r="454" spans="158:165" ht="15" customHeight="1" x14ac:dyDescent="0.15">
      <c r="FB454" s="53"/>
      <c r="FC454" s="54"/>
      <c r="FD454" s="54"/>
      <c r="FE454" s="54"/>
      <c r="FF454" s="54"/>
      <c r="FG454" s="54"/>
      <c r="FH454" s="54"/>
      <c r="FI454" s="54"/>
    </row>
    <row r="455" spans="158:165" ht="15" customHeight="1" x14ac:dyDescent="0.15">
      <c r="FB455" s="53"/>
      <c r="FC455" s="54"/>
      <c r="FD455" s="54"/>
      <c r="FE455" s="54"/>
      <c r="FF455" s="54"/>
      <c r="FG455" s="54"/>
      <c r="FH455" s="54"/>
      <c r="FI455" s="54"/>
    </row>
    <row r="456" spans="158:165" ht="15" customHeight="1" x14ac:dyDescent="0.15">
      <c r="FB456" s="53"/>
      <c r="FC456" s="54"/>
      <c r="FD456" s="54"/>
      <c r="FE456" s="54"/>
      <c r="FF456" s="54"/>
      <c r="FG456" s="54"/>
      <c r="FH456" s="54"/>
      <c r="FI456" s="54"/>
    </row>
    <row r="457" spans="158:165" ht="15" customHeight="1" x14ac:dyDescent="0.15">
      <c r="FB457" s="53"/>
      <c r="FC457" s="54"/>
      <c r="FD457" s="54"/>
      <c r="FE457" s="54"/>
      <c r="FF457" s="54"/>
      <c r="FG457" s="54"/>
      <c r="FH457" s="54"/>
      <c r="FI457" s="54"/>
    </row>
    <row r="458" spans="158:165" ht="15" customHeight="1" x14ac:dyDescent="0.15">
      <c r="FB458" s="53"/>
      <c r="FC458" s="54"/>
      <c r="FD458" s="54"/>
      <c r="FE458" s="54"/>
      <c r="FF458" s="54"/>
      <c r="FG458" s="54"/>
      <c r="FH458" s="54"/>
      <c r="FI458" s="54"/>
    </row>
    <row r="459" spans="158:165" ht="15" customHeight="1" x14ac:dyDescent="0.15">
      <c r="FB459" s="53"/>
      <c r="FC459" s="54"/>
      <c r="FD459" s="54"/>
      <c r="FE459" s="54"/>
      <c r="FF459" s="54"/>
      <c r="FG459" s="54"/>
      <c r="FH459" s="54"/>
      <c r="FI459" s="54"/>
    </row>
    <row r="460" spans="158:165" ht="15" customHeight="1" x14ac:dyDescent="0.15">
      <c r="FB460" s="53"/>
      <c r="FC460" s="54"/>
      <c r="FD460" s="54"/>
      <c r="FE460" s="54"/>
      <c r="FF460" s="54"/>
      <c r="FG460" s="54"/>
      <c r="FH460" s="54"/>
      <c r="FI460" s="54"/>
    </row>
    <row r="461" spans="158:165" ht="15" customHeight="1" x14ac:dyDescent="0.15">
      <c r="FB461" s="53"/>
      <c r="FC461" s="54"/>
      <c r="FD461" s="54"/>
      <c r="FE461" s="54"/>
      <c r="FF461" s="54"/>
      <c r="FG461" s="54"/>
      <c r="FH461" s="54"/>
      <c r="FI461" s="54"/>
    </row>
    <row r="462" spans="158:165" ht="15" customHeight="1" x14ac:dyDescent="0.15">
      <c r="FB462" s="53"/>
      <c r="FC462" s="54"/>
      <c r="FD462" s="54"/>
      <c r="FE462" s="54"/>
      <c r="FF462" s="54"/>
      <c r="FG462" s="54"/>
      <c r="FH462" s="54"/>
      <c r="FI462" s="54"/>
    </row>
    <row r="463" spans="158:165" ht="15" customHeight="1" x14ac:dyDescent="0.15">
      <c r="FB463" s="53"/>
      <c r="FC463" s="54"/>
      <c r="FD463" s="54"/>
      <c r="FE463" s="54"/>
      <c r="FF463" s="54"/>
      <c r="FG463" s="54"/>
      <c r="FH463" s="54"/>
      <c r="FI463" s="54"/>
    </row>
    <row r="464" spans="158:165" ht="15" customHeight="1" x14ac:dyDescent="0.15">
      <c r="FB464" s="53"/>
      <c r="FC464" s="54"/>
      <c r="FD464" s="54"/>
      <c r="FE464" s="54"/>
      <c r="FF464" s="54"/>
      <c r="FG464" s="54"/>
      <c r="FH464" s="54"/>
      <c r="FI464" s="54"/>
    </row>
    <row r="465" spans="158:165" ht="15" customHeight="1" x14ac:dyDescent="0.15">
      <c r="FB465" s="53"/>
      <c r="FC465" s="54"/>
      <c r="FD465" s="54"/>
      <c r="FE465" s="54"/>
      <c r="FF465" s="54"/>
      <c r="FG465" s="54"/>
      <c r="FH465" s="54"/>
      <c r="FI465" s="54"/>
    </row>
    <row r="466" spans="158:165" ht="15" customHeight="1" x14ac:dyDescent="0.15">
      <c r="FB466" s="53"/>
      <c r="FC466" s="54"/>
      <c r="FD466" s="54"/>
      <c r="FE466" s="54"/>
      <c r="FF466" s="54"/>
      <c r="FG466" s="54"/>
      <c r="FH466" s="54"/>
      <c r="FI466" s="54"/>
    </row>
    <row r="467" spans="158:165" ht="15" customHeight="1" x14ac:dyDescent="0.15">
      <c r="FB467" s="53"/>
      <c r="FC467" s="54"/>
      <c r="FD467" s="54"/>
      <c r="FE467" s="54"/>
      <c r="FF467" s="54"/>
      <c r="FG467" s="54"/>
      <c r="FH467" s="54"/>
      <c r="FI467" s="54"/>
    </row>
    <row r="468" spans="158:165" ht="15" customHeight="1" x14ac:dyDescent="0.15">
      <c r="FB468" s="53"/>
      <c r="FC468" s="54"/>
      <c r="FD468" s="54"/>
      <c r="FE468" s="54"/>
      <c r="FF468" s="54"/>
      <c r="FG468" s="54"/>
      <c r="FH468" s="54"/>
      <c r="FI468" s="54"/>
    </row>
    <row r="469" spans="158:165" ht="15" customHeight="1" x14ac:dyDescent="0.15">
      <c r="FB469" s="53"/>
      <c r="FC469" s="54"/>
      <c r="FD469" s="54"/>
      <c r="FE469" s="54"/>
      <c r="FF469" s="54"/>
      <c r="FG469" s="54"/>
      <c r="FH469" s="54"/>
      <c r="FI469" s="54"/>
    </row>
    <row r="470" spans="158:165" ht="15" customHeight="1" x14ac:dyDescent="0.15">
      <c r="FB470" s="53"/>
      <c r="FC470" s="54"/>
      <c r="FD470" s="54"/>
      <c r="FE470" s="54"/>
      <c r="FF470" s="54"/>
      <c r="FG470" s="54"/>
      <c r="FH470" s="54"/>
      <c r="FI470" s="54"/>
    </row>
    <row r="471" spans="158:165" ht="15" customHeight="1" x14ac:dyDescent="0.15">
      <c r="FB471" s="53"/>
      <c r="FC471" s="54"/>
      <c r="FD471" s="54"/>
      <c r="FE471" s="54"/>
      <c r="FF471" s="54"/>
      <c r="FG471" s="54"/>
      <c r="FH471" s="54"/>
      <c r="FI471" s="54"/>
    </row>
    <row r="472" spans="158:165" ht="15" customHeight="1" x14ac:dyDescent="0.15">
      <c r="FB472" s="53"/>
      <c r="FC472" s="54"/>
      <c r="FD472" s="54"/>
      <c r="FE472" s="54"/>
      <c r="FF472" s="54"/>
      <c r="FG472" s="54"/>
      <c r="FH472" s="54"/>
      <c r="FI472" s="54"/>
    </row>
    <row r="473" spans="158:165" ht="15" customHeight="1" x14ac:dyDescent="0.15">
      <c r="FB473" s="53"/>
      <c r="FC473" s="54"/>
      <c r="FD473" s="54"/>
      <c r="FE473" s="54"/>
      <c r="FF473" s="54"/>
      <c r="FG473" s="54"/>
      <c r="FH473" s="54"/>
      <c r="FI473" s="54"/>
    </row>
    <row r="474" spans="158:165" ht="15" customHeight="1" x14ac:dyDescent="0.15">
      <c r="FB474" s="53"/>
      <c r="FC474" s="54"/>
      <c r="FD474" s="54"/>
      <c r="FE474" s="54"/>
      <c r="FF474" s="54"/>
      <c r="FG474" s="54"/>
      <c r="FH474" s="54"/>
      <c r="FI474" s="54"/>
    </row>
    <row r="475" spans="158:165" ht="15" customHeight="1" x14ac:dyDescent="0.15">
      <c r="FB475" s="53"/>
      <c r="FC475" s="54"/>
      <c r="FD475" s="54"/>
      <c r="FE475" s="54"/>
      <c r="FF475" s="54"/>
      <c r="FG475" s="54"/>
      <c r="FH475" s="54"/>
      <c r="FI475" s="54"/>
    </row>
    <row r="476" spans="158:165" ht="15" customHeight="1" x14ac:dyDescent="0.15">
      <c r="FB476" s="53"/>
      <c r="FC476" s="54"/>
      <c r="FD476" s="54"/>
      <c r="FE476" s="54"/>
      <c r="FF476" s="54"/>
      <c r="FG476" s="54"/>
      <c r="FH476" s="54"/>
      <c r="FI476" s="54"/>
    </row>
    <row r="477" spans="158:165" ht="15" customHeight="1" x14ac:dyDescent="0.15">
      <c r="FB477" s="53"/>
      <c r="FC477" s="54"/>
      <c r="FD477" s="54"/>
      <c r="FE477" s="54"/>
      <c r="FF477" s="54"/>
      <c r="FG477" s="54"/>
      <c r="FH477" s="54"/>
      <c r="FI477" s="54"/>
    </row>
    <row r="478" spans="158:165" ht="15" customHeight="1" x14ac:dyDescent="0.15">
      <c r="FB478" s="53"/>
      <c r="FC478" s="54"/>
      <c r="FD478" s="54"/>
      <c r="FE478" s="54"/>
      <c r="FF478" s="54"/>
      <c r="FG478" s="54"/>
      <c r="FH478" s="54"/>
      <c r="FI478" s="54"/>
    </row>
    <row r="479" spans="158:165" ht="15" customHeight="1" x14ac:dyDescent="0.15">
      <c r="FB479" s="53"/>
      <c r="FC479" s="54"/>
      <c r="FD479" s="54"/>
      <c r="FE479" s="54"/>
      <c r="FF479" s="54"/>
      <c r="FG479" s="54"/>
      <c r="FH479" s="54"/>
      <c r="FI479" s="54"/>
    </row>
    <row r="480" spans="158:165" ht="15" customHeight="1" x14ac:dyDescent="0.15">
      <c r="FB480" s="53"/>
      <c r="FC480" s="54"/>
      <c r="FD480" s="54"/>
      <c r="FE480" s="54"/>
      <c r="FF480" s="54"/>
      <c r="FG480" s="54"/>
      <c r="FH480" s="54"/>
      <c r="FI480" s="54"/>
    </row>
    <row r="481" spans="158:165" ht="15" customHeight="1" x14ac:dyDescent="0.15">
      <c r="FB481" s="53"/>
      <c r="FC481" s="54"/>
      <c r="FD481" s="54"/>
      <c r="FE481" s="54"/>
      <c r="FF481" s="54"/>
      <c r="FG481" s="54"/>
      <c r="FH481" s="54"/>
      <c r="FI481" s="54"/>
    </row>
    <row r="482" spans="158:165" ht="15" customHeight="1" x14ac:dyDescent="0.15">
      <c r="FB482" s="53"/>
      <c r="FC482" s="54"/>
      <c r="FD482" s="54"/>
      <c r="FE482" s="54"/>
      <c r="FF482" s="54"/>
      <c r="FG482" s="54"/>
      <c r="FH482" s="54"/>
      <c r="FI482" s="54"/>
    </row>
    <row r="483" spans="158:165" ht="15" customHeight="1" x14ac:dyDescent="0.15">
      <c r="FB483" s="53"/>
      <c r="FC483" s="54"/>
      <c r="FD483" s="54"/>
      <c r="FE483" s="54"/>
      <c r="FF483" s="54"/>
      <c r="FG483" s="54"/>
      <c r="FH483" s="54"/>
      <c r="FI483" s="54"/>
    </row>
    <row r="484" spans="158:165" ht="15" customHeight="1" x14ac:dyDescent="0.15">
      <c r="FB484" s="53"/>
      <c r="FC484" s="54"/>
      <c r="FD484" s="54"/>
      <c r="FE484" s="54"/>
      <c r="FF484" s="54"/>
      <c r="FG484" s="54"/>
      <c r="FH484" s="54"/>
      <c r="FI484" s="54"/>
    </row>
    <row r="485" spans="158:165" ht="15" customHeight="1" x14ac:dyDescent="0.15">
      <c r="FB485" s="53"/>
      <c r="FC485" s="54"/>
      <c r="FD485" s="54"/>
      <c r="FE485" s="54"/>
      <c r="FF485" s="54"/>
      <c r="FG485" s="54"/>
      <c r="FH485" s="54"/>
      <c r="FI485" s="54"/>
    </row>
    <row r="486" spans="158:165" ht="15" customHeight="1" x14ac:dyDescent="0.15">
      <c r="FB486" s="53"/>
      <c r="FC486" s="54"/>
      <c r="FD486" s="54"/>
      <c r="FE486" s="54"/>
      <c r="FF486" s="54"/>
      <c r="FG486" s="54"/>
      <c r="FH486" s="54"/>
      <c r="FI486" s="54"/>
    </row>
    <row r="487" spans="158:165" ht="15" customHeight="1" x14ac:dyDescent="0.15">
      <c r="FB487" s="53"/>
      <c r="FC487" s="54"/>
      <c r="FD487" s="54"/>
      <c r="FE487" s="54"/>
      <c r="FF487" s="54"/>
      <c r="FG487" s="54"/>
      <c r="FH487" s="54"/>
      <c r="FI487" s="54"/>
    </row>
    <row r="488" spans="158:165" ht="15" customHeight="1" x14ac:dyDescent="0.15">
      <c r="FB488" s="53"/>
      <c r="FC488" s="54"/>
      <c r="FD488" s="54"/>
      <c r="FE488" s="54"/>
      <c r="FF488" s="54"/>
      <c r="FG488" s="54"/>
      <c r="FH488" s="54"/>
      <c r="FI488" s="54"/>
    </row>
    <row r="489" spans="158:165" ht="15" customHeight="1" x14ac:dyDescent="0.15">
      <c r="FB489" s="53"/>
      <c r="FC489" s="54"/>
      <c r="FD489" s="54"/>
      <c r="FE489" s="54"/>
      <c r="FF489" s="54"/>
      <c r="FG489" s="54"/>
      <c r="FH489" s="54"/>
      <c r="FI489" s="54"/>
    </row>
    <row r="490" spans="158:165" ht="15" customHeight="1" x14ac:dyDescent="0.15">
      <c r="FB490" s="53"/>
      <c r="FC490" s="54"/>
      <c r="FD490" s="54"/>
      <c r="FE490" s="54"/>
      <c r="FF490" s="54"/>
      <c r="FG490" s="54"/>
      <c r="FH490" s="54"/>
      <c r="FI490" s="54"/>
    </row>
    <row r="491" spans="158:165" ht="15" customHeight="1" x14ac:dyDescent="0.15">
      <c r="FB491" s="53"/>
      <c r="FC491" s="54"/>
      <c r="FD491" s="54"/>
      <c r="FE491" s="54"/>
      <c r="FF491" s="54"/>
      <c r="FG491" s="54"/>
      <c r="FH491" s="54"/>
      <c r="FI491" s="54"/>
    </row>
    <row r="492" spans="158:165" ht="15" customHeight="1" x14ac:dyDescent="0.15">
      <c r="FB492" s="53"/>
      <c r="FC492" s="54"/>
      <c r="FD492" s="54"/>
      <c r="FE492" s="54"/>
      <c r="FF492" s="54"/>
      <c r="FG492" s="54"/>
      <c r="FH492" s="54"/>
      <c r="FI492" s="54"/>
    </row>
    <row r="493" spans="158:165" ht="15" customHeight="1" x14ac:dyDescent="0.15">
      <c r="FB493" s="53"/>
      <c r="FC493" s="54"/>
      <c r="FD493" s="54"/>
      <c r="FE493" s="54"/>
      <c r="FF493" s="54"/>
      <c r="FG493" s="54"/>
      <c r="FH493" s="54"/>
      <c r="FI493" s="54"/>
    </row>
    <row r="494" spans="158:165" ht="15" customHeight="1" x14ac:dyDescent="0.15">
      <c r="FB494" s="53"/>
      <c r="FC494" s="54"/>
      <c r="FD494" s="54"/>
      <c r="FE494" s="54"/>
      <c r="FF494" s="54"/>
      <c r="FG494" s="54"/>
      <c r="FH494" s="54"/>
      <c r="FI494" s="54"/>
    </row>
    <row r="495" spans="158:165" ht="15" customHeight="1" x14ac:dyDescent="0.15">
      <c r="FB495" s="53"/>
      <c r="FC495" s="54"/>
      <c r="FD495" s="54"/>
      <c r="FE495" s="54"/>
      <c r="FF495" s="54"/>
      <c r="FG495" s="54"/>
      <c r="FH495" s="54"/>
      <c r="FI495" s="54"/>
    </row>
    <row r="496" spans="158:165" ht="15" customHeight="1" x14ac:dyDescent="0.15">
      <c r="FB496" s="53"/>
      <c r="FC496" s="54"/>
      <c r="FD496" s="54"/>
      <c r="FE496" s="54"/>
      <c r="FF496" s="54"/>
      <c r="FG496" s="54"/>
      <c r="FH496" s="54"/>
      <c r="FI496" s="54"/>
    </row>
    <row r="497" spans="158:165" ht="15" customHeight="1" x14ac:dyDescent="0.15">
      <c r="FB497" s="53"/>
      <c r="FC497" s="54"/>
      <c r="FD497" s="54"/>
      <c r="FE497" s="54"/>
      <c r="FF497" s="54"/>
      <c r="FG497" s="54"/>
      <c r="FH497" s="54"/>
      <c r="FI497" s="54"/>
    </row>
    <row r="498" spans="158:165" ht="15" customHeight="1" x14ac:dyDescent="0.15">
      <c r="FB498" s="53"/>
      <c r="FC498" s="54"/>
      <c r="FD498" s="54"/>
      <c r="FE498" s="54"/>
      <c r="FF498" s="54"/>
      <c r="FG498" s="54"/>
      <c r="FH498" s="54"/>
      <c r="FI498" s="54"/>
    </row>
    <row r="499" spans="158:165" ht="15" customHeight="1" x14ac:dyDescent="0.15">
      <c r="FB499" s="53"/>
      <c r="FC499" s="54"/>
      <c r="FD499" s="54"/>
      <c r="FE499" s="54"/>
      <c r="FF499" s="54"/>
      <c r="FG499" s="54"/>
      <c r="FH499" s="54"/>
      <c r="FI499" s="54"/>
    </row>
    <row r="500" spans="158:165" ht="15" customHeight="1" x14ac:dyDescent="0.15">
      <c r="FB500" s="53"/>
      <c r="FC500" s="54"/>
      <c r="FD500" s="54"/>
      <c r="FE500" s="54"/>
      <c r="FF500" s="54"/>
      <c r="FG500" s="54"/>
      <c r="FH500" s="54"/>
      <c r="FI500" s="54"/>
    </row>
    <row r="501" spans="158:165" ht="15" customHeight="1" x14ac:dyDescent="0.15">
      <c r="FB501" s="53"/>
      <c r="FC501" s="54"/>
      <c r="FD501" s="54"/>
      <c r="FE501" s="54"/>
      <c r="FF501" s="54"/>
      <c r="FG501" s="54"/>
      <c r="FH501" s="54"/>
      <c r="FI501" s="54"/>
    </row>
    <row r="502" spans="158:165" ht="15" customHeight="1" x14ac:dyDescent="0.15">
      <c r="FB502" s="53"/>
      <c r="FC502" s="54"/>
      <c r="FD502" s="54"/>
      <c r="FE502" s="54"/>
      <c r="FF502" s="54"/>
      <c r="FG502" s="54"/>
      <c r="FH502" s="54"/>
      <c r="FI502" s="54"/>
    </row>
    <row r="503" spans="158:165" ht="15" customHeight="1" x14ac:dyDescent="0.15">
      <c r="FB503" s="53"/>
      <c r="FC503" s="54"/>
      <c r="FD503" s="54"/>
      <c r="FE503" s="54"/>
      <c r="FF503" s="54"/>
      <c r="FG503" s="54"/>
      <c r="FH503" s="54"/>
      <c r="FI503" s="54"/>
    </row>
    <row r="504" spans="158:165" ht="15" customHeight="1" x14ac:dyDescent="0.15">
      <c r="FB504" s="53"/>
      <c r="FC504" s="54"/>
      <c r="FD504" s="54"/>
      <c r="FE504" s="54"/>
      <c r="FF504" s="54"/>
      <c r="FG504" s="54"/>
      <c r="FH504" s="54"/>
      <c r="FI504" s="54"/>
    </row>
    <row r="505" spans="158:165" ht="15" customHeight="1" x14ac:dyDescent="0.15">
      <c r="FB505" s="53"/>
      <c r="FC505" s="54"/>
      <c r="FD505" s="54"/>
      <c r="FE505" s="54"/>
      <c r="FF505" s="54"/>
      <c r="FG505" s="54"/>
      <c r="FH505" s="54"/>
      <c r="FI505" s="54"/>
    </row>
    <row r="506" spans="158:165" ht="15" customHeight="1" x14ac:dyDescent="0.15">
      <c r="FB506" s="53"/>
      <c r="FC506" s="54"/>
      <c r="FD506" s="54"/>
      <c r="FE506" s="54"/>
      <c r="FF506" s="54"/>
      <c r="FG506" s="54"/>
      <c r="FH506" s="54"/>
      <c r="FI506" s="54"/>
    </row>
    <row r="507" spans="158:165" ht="15" customHeight="1" x14ac:dyDescent="0.15">
      <c r="FB507" s="53"/>
      <c r="FC507" s="54"/>
      <c r="FD507" s="54"/>
      <c r="FE507" s="54"/>
      <c r="FF507" s="54"/>
      <c r="FG507" s="54"/>
      <c r="FH507" s="54"/>
      <c r="FI507" s="54"/>
    </row>
    <row r="508" spans="158:165" ht="15" customHeight="1" x14ac:dyDescent="0.15">
      <c r="FB508" s="53"/>
      <c r="FC508" s="54"/>
      <c r="FD508" s="54"/>
      <c r="FE508" s="54"/>
      <c r="FF508" s="54"/>
      <c r="FG508" s="54"/>
      <c r="FH508" s="54"/>
      <c r="FI508" s="54"/>
    </row>
    <row r="509" spans="158:165" ht="15" customHeight="1" x14ac:dyDescent="0.15">
      <c r="FB509" s="53"/>
      <c r="FC509" s="54"/>
      <c r="FD509" s="54"/>
      <c r="FE509" s="54"/>
      <c r="FF509" s="54"/>
      <c r="FG509" s="54"/>
      <c r="FH509" s="54"/>
      <c r="FI509" s="54"/>
    </row>
    <row r="510" spans="158:165" ht="15" customHeight="1" x14ac:dyDescent="0.15">
      <c r="FB510" s="53"/>
      <c r="FC510" s="54"/>
      <c r="FD510" s="54"/>
      <c r="FE510" s="54"/>
      <c r="FF510" s="54"/>
      <c r="FG510" s="54"/>
      <c r="FH510" s="54"/>
      <c r="FI510" s="54"/>
    </row>
    <row r="511" spans="158:165" ht="15" customHeight="1" x14ac:dyDescent="0.15">
      <c r="FB511" s="53"/>
      <c r="FC511" s="54"/>
      <c r="FD511" s="54"/>
      <c r="FE511" s="54"/>
      <c r="FF511" s="54"/>
      <c r="FG511" s="54"/>
      <c r="FH511" s="54"/>
      <c r="FI511" s="54"/>
    </row>
    <row r="512" spans="158:165" ht="15" customHeight="1" x14ac:dyDescent="0.15">
      <c r="FB512" s="53"/>
      <c r="FC512" s="54"/>
      <c r="FD512" s="54"/>
      <c r="FE512" s="54"/>
      <c r="FF512" s="54"/>
      <c r="FG512" s="54"/>
      <c r="FH512" s="54"/>
      <c r="FI512" s="54"/>
    </row>
    <row r="513" spans="158:165" ht="15" customHeight="1" x14ac:dyDescent="0.15">
      <c r="FB513" s="53"/>
      <c r="FC513" s="54"/>
      <c r="FD513" s="54"/>
      <c r="FE513" s="54"/>
      <c r="FF513" s="54"/>
      <c r="FG513" s="54"/>
      <c r="FH513" s="54"/>
      <c r="FI513" s="54"/>
    </row>
    <row r="514" spans="158:165" ht="15" customHeight="1" x14ac:dyDescent="0.15">
      <c r="FB514" s="53"/>
      <c r="FC514" s="54"/>
      <c r="FD514" s="54"/>
      <c r="FE514" s="54"/>
      <c r="FF514" s="54"/>
      <c r="FG514" s="54"/>
      <c r="FH514" s="54"/>
      <c r="FI514" s="54"/>
    </row>
    <row r="515" spans="158:165" ht="15" customHeight="1" x14ac:dyDescent="0.15">
      <c r="FB515" s="53"/>
      <c r="FC515" s="54"/>
      <c r="FD515" s="54"/>
      <c r="FE515" s="54"/>
      <c r="FF515" s="54"/>
      <c r="FG515" s="54"/>
      <c r="FH515" s="54"/>
      <c r="FI515" s="54"/>
    </row>
    <row r="516" spans="158:165" ht="15" customHeight="1" x14ac:dyDescent="0.15">
      <c r="FB516" s="53"/>
      <c r="FC516" s="54"/>
      <c r="FD516" s="54"/>
      <c r="FE516" s="54"/>
      <c r="FF516" s="54"/>
      <c r="FG516" s="54"/>
      <c r="FH516" s="54"/>
      <c r="FI516" s="54"/>
    </row>
    <row r="517" spans="158:165" ht="15" customHeight="1" x14ac:dyDescent="0.15">
      <c r="FB517" s="53"/>
      <c r="FC517" s="54"/>
      <c r="FD517" s="54"/>
      <c r="FE517" s="54"/>
      <c r="FF517" s="54"/>
      <c r="FG517" s="54"/>
      <c r="FH517" s="54"/>
      <c r="FI517" s="54"/>
    </row>
    <row r="518" spans="158:165" ht="15" customHeight="1" x14ac:dyDescent="0.15">
      <c r="FB518" s="53"/>
      <c r="FC518" s="54"/>
      <c r="FD518" s="54"/>
      <c r="FE518" s="54"/>
      <c r="FF518" s="54"/>
      <c r="FG518" s="54"/>
      <c r="FH518" s="54"/>
      <c r="FI518" s="54"/>
    </row>
    <row r="519" spans="158:165" ht="15" customHeight="1" x14ac:dyDescent="0.15">
      <c r="FB519" s="53"/>
      <c r="FC519" s="54"/>
      <c r="FD519" s="54"/>
      <c r="FE519" s="54"/>
      <c r="FF519" s="54"/>
      <c r="FG519" s="54"/>
      <c r="FH519" s="54"/>
      <c r="FI519" s="54"/>
    </row>
    <row r="520" spans="158:165" ht="15" customHeight="1" x14ac:dyDescent="0.15">
      <c r="FB520" s="53"/>
      <c r="FC520" s="54"/>
      <c r="FD520" s="54"/>
      <c r="FE520" s="54"/>
      <c r="FF520" s="54"/>
      <c r="FG520" s="54"/>
      <c r="FH520" s="54"/>
      <c r="FI520" s="54"/>
    </row>
    <row r="521" spans="158:165" ht="15" customHeight="1" x14ac:dyDescent="0.15">
      <c r="FB521" s="53"/>
      <c r="FC521" s="54"/>
      <c r="FD521" s="54"/>
      <c r="FE521" s="54"/>
      <c r="FF521" s="54"/>
      <c r="FG521" s="54"/>
      <c r="FH521" s="54"/>
      <c r="FI521" s="54"/>
    </row>
    <row r="522" spans="158:165" ht="15" customHeight="1" x14ac:dyDescent="0.15">
      <c r="FB522" s="53"/>
      <c r="FC522" s="54"/>
      <c r="FD522" s="54"/>
      <c r="FE522" s="54"/>
      <c r="FF522" s="54"/>
      <c r="FG522" s="54"/>
      <c r="FH522" s="54"/>
      <c r="FI522" s="54"/>
    </row>
    <row r="523" spans="158:165" ht="15" customHeight="1" x14ac:dyDescent="0.15">
      <c r="FB523" s="53"/>
      <c r="FC523" s="54"/>
      <c r="FD523" s="54"/>
      <c r="FE523" s="54"/>
      <c r="FF523" s="54"/>
      <c r="FG523" s="54"/>
      <c r="FH523" s="54"/>
      <c r="FI523" s="54"/>
    </row>
    <row r="524" spans="158:165" ht="15" customHeight="1" x14ac:dyDescent="0.15">
      <c r="FB524" s="53"/>
      <c r="FC524" s="54"/>
      <c r="FD524" s="54"/>
      <c r="FE524" s="54"/>
      <c r="FF524" s="54"/>
      <c r="FG524" s="54"/>
      <c r="FH524" s="54"/>
      <c r="FI524" s="54"/>
    </row>
    <row r="525" spans="158:165" ht="15" customHeight="1" x14ac:dyDescent="0.15">
      <c r="FB525" s="53"/>
      <c r="FC525" s="54"/>
      <c r="FD525" s="54"/>
      <c r="FE525" s="54"/>
      <c r="FF525" s="54"/>
      <c r="FG525" s="54"/>
      <c r="FH525" s="54"/>
      <c r="FI525" s="54"/>
    </row>
    <row r="526" spans="158:165" ht="15" customHeight="1" x14ac:dyDescent="0.15">
      <c r="FB526" s="53"/>
      <c r="FC526" s="54"/>
      <c r="FD526" s="54"/>
      <c r="FE526" s="54"/>
      <c r="FF526" s="54"/>
      <c r="FG526" s="54"/>
      <c r="FH526" s="54"/>
      <c r="FI526" s="54"/>
    </row>
    <row r="527" spans="158:165" ht="15" customHeight="1" x14ac:dyDescent="0.15">
      <c r="FB527" s="53"/>
      <c r="FC527" s="54"/>
      <c r="FD527" s="54"/>
      <c r="FE527" s="54"/>
      <c r="FF527" s="54"/>
      <c r="FG527" s="54"/>
      <c r="FH527" s="54"/>
      <c r="FI527" s="54"/>
    </row>
    <row r="528" spans="158:165" ht="15" customHeight="1" x14ac:dyDescent="0.15">
      <c r="FB528" s="53"/>
      <c r="FC528" s="54"/>
      <c r="FD528" s="54"/>
      <c r="FE528" s="54"/>
      <c r="FF528" s="54"/>
      <c r="FG528" s="54"/>
      <c r="FH528" s="54"/>
      <c r="FI528" s="54"/>
    </row>
    <row r="529" spans="158:165" ht="15" customHeight="1" x14ac:dyDescent="0.15">
      <c r="FB529" s="53"/>
      <c r="FC529" s="54"/>
      <c r="FD529" s="54"/>
      <c r="FE529" s="54"/>
      <c r="FF529" s="54"/>
      <c r="FG529" s="54"/>
      <c r="FH529" s="54"/>
      <c r="FI529" s="54"/>
    </row>
    <row r="530" spans="158:165" ht="15" customHeight="1" x14ac:dyDescent="0.15">
      <c r="FB530" s="53"/>
      <c r="FC530" s="54"/>
      <c r="FD530" s="54"/>
      <c r="FE530" s="54"/>
      <c r="FF530" s="54"/>
      <c r="FG530" s="54"/>
      <c r="FH530" s="54"/>
      <c r="FI530" s="54"/>
    </row>
    <row r="531" spans="158:165" ht="15" customHeight="1" x14ac:dyDescent="0.15">
      <c r="FB531" s="53"/>
      <c r="FC531" s="54"/>
      <c r="FD531" s="54"/>
      <c r="FE531" s="54"/>
      <c r="FF531" s="54"/>
      <c r="FG531" s="54"/>
      <c r="FH531" s="54"/>
      <c r="FI531" s="54"/>
    </row>
    <row r="532" spans="158:165" ht="15" customHeight="1" x14ac:dyDescent="0.15">
      <c r="FB532" s="53"/>
      <c r="FC532" s="54"/>
      <c r="FD532" s="54"/>
      <c r="FE532" s="54"/>
      <c r="FF532" s="54"/>
      <c r="FG532" s="54"/>
      <c r="FH532" s="54"/>
      <c r="FI532" s="54"/>
    </row>
    <row r="533" spans="158:165" ht="15" customHeight="1" x14ac:dyDescent="0.15">
      <c r="FB533" s="53"/>
      <c r="FC533" s="54"/>
      <c r="FD533" s="54"/>
      <c r="FE533" s="54"/>
      <c r="FF533" s="54"/>
      <c r="FG533" s="54"/>
      <c r="FH533" s="54"/>
      <c r="FI533" s="54"/>
    </row>
    <row r="534" spans="158:165" ht="15" customHeight="1" x14ac:dyDescent="0.15">
      <c r="FB534" s="53"/>
      <c r="FC534" s="54"/>
      <c r="FD534" s="54"/>
      <c r="FE534" s="54"/>
      <c r="FF534" s="54"/>
      <c r="FG534" s="54"/>
      <c r="FH534" s="54"/>
      <c r="FI534" s="54"/>
    </row>
    <row r="535" spans="158:165" ht="15" customHeight="1" x14ac:dyDescent="0.15">
      <c r="FB535" s="53"/>
      <c r="FC535" s="54"/>
      <c r="FD535" s="54"/>
      <c r="FE535" s="54"/>
      <c r="FF535" s="54"/>
      <c r="FG535" s="54"/>
      <c r="FH535" s="54"/>
      <c r="FI535" s="54"/>
    </row>
    <row r="536" spans="158:165" ht="15" customHeight="1" x14ac:dyDescent="0.15">
      <c r="FB536" s="53"/>
      <c r="FC536" s="54"/>
      <c r="FD536" s="54"/>
      <c r="FE536" s="54"/>
      <c r="FF536" s="54"/>
      <c r="FG536" s="54"/>
      <c r="FH536" s="54"/>
      <c r="FI536" s="54"/>
    </row>
    <row r="537" spans="158:165" ht="15" customHeight="1" x14ac:dyDescent="0.15">
      <c r="FB537" s="53"/>
      <c r="FC537" s="54"/>
      <c r="FD537" s="54"/>
      <c r="FE537" s="54"/>
      <c r="FF537" s="54"/>
      <c r="FG537" s="54"/>
      <c r="FH537" s="54"/>
      <c r="FI537" s="54"/>
    </row>
    <row r="538" spans="158:165" ht="15" customHeight="1" x14ac:dyDescent="0.15">
      <c r="FB538" s="53"/>
      <c r="FC538" s="54"/>
      <c r="FD538" s="54"/>
      <c r="FE538" s="54"/>
      <c r="FF538" s="54"/>
      <c r="FG538" s="54"/>
      <c r="FH538" s="54"/>
      <c r="FI538" s="54"/>
    </row>
    <row r="539" spans="158:165" ht="15" customHeight="1" x14ac:dyDescent="0.15">
      <c r="FB539" s="53"/>
      <c r="FC539" s="54"/>
      <c r="FD539" s="54"/>
      <c r="FE539" s="54"/>
      <c r="FF539" s="54"/>
      <c r="FG539" s="54"/>
      <c r="FH539" s="54"/>
      <c r="FI539" s="54"/>
    </row>
    <row r="540" spans="158:165" ht="15" customHeight="1" x14ac:dyDescent="0.15">
      <c r="FB540" s="53"/>
      <c r="FC540" s="54"/>
      <c r="FD540" s="54"/>
      <c r="FE540" s="54"/>
      <c r="FF540" s="54"/>
      <c r="FG540" s="54"/>
      <c r="FH540" s="54"/>
      <c r="FI540" s="54"/>
    </row>
    <row r="541" spans="158:165" ht="15" customHeight="1" x14ac:dyDescent="0.15">
      <c r="FB541" s="53"/>
      <c r="FC541" s="54"/>
      <c r="FD541" s="54"/>
      <c r="FE541" s="54"/>
      <c r="FF541" s="54"/>
      <c r="FG541" s="54"/>
      <c r="FH541" s="54"/>
      <c r="FI541" s="54"/>
    </row>
    <row r="542" spans="158:165" ht="15" customHeight="1" x14ac:dyDescent="0.15">
      <c r="FB542" s="53"/>
      <c r="FC542" s="54"/>
      <c r="FD542" s="54"/>
      <c r="FE542" s="54"/>
      <c r="FF542" s="54"/>
      <c r="FG542" s="54"/>
      <c r="FH542" s="54"/>
      <c r="FI542" s="54"/>
    </row>
    <row r="543" spans="158:165" ht="15" customHeight="1" x14ac:dyDescent="0.15">
      <c r="FB543" s="53"/>
      <c r="FC543" s="54"/>
      <c r="FD543" s="54"/>
      <c r="FE543" s="54"/>
      <c r="FF543" s="54"/>
      <c r="FG543" s="54"/>
      <c r="FH543" s="54"/>
      <c r="FI543" s="54"/>
    </row>
    <row r="544" spans="158:165" ht="15" customHeight="1" x14ac:dyDescent="0.15">
      <c r="FB544" s="53"/>
      <c r="FC544" s="54"/>
      <c r="FD544" s="54"/>
      <c r="FE544" s="54"/>
      <c r="FF544" s="54"/>
      <c r="FG544" s="54"/>
      <c r="FH544" s="54"/>
      <c r="FI544" s="54"/>
    </row>
    <row r="545" spans="158:165" ht="15" customHeight="1" x14ac:dyDescent="0.15">
      <c r="FB545" s="53"/>
      <c r="FC545" s="54"/>
      <c r="FD545" s="54"/>
      <c r="FE545" s="54"/>
      <c r="FF545" s="54"/>
      <c r="FG545" s="54"/>
      <c r="FH545" s="54"/>
      <c r="FI545" s="54"/>
    </row>
    <row r="546" spans="158:165" ht="15" customHeight="1" x14ac:dyDescent="0.15">
      <c r="FB546" s="53"/>
      <c r="FC546" s="54"/>
      <c r="FD546" s="54"/>
      <c r="FE546" s="54"/>
      <c r="FF546" s="54"/>
      <c r="FG546" s="54"/>
      <c r="FH546" s="54"/>
      <c r="FI546" s="54"/>
    </row>
    <row r="547" spans="158:165" ht="15" customHeight="1" x14ac:dyDescent="0.15">
      <c r="FB547" s="53"/>
      <c r="FC547" s="54"/>
      <c r="FD547" s="54"/>
      <c r="FE547" s="54"/>
      <c r="FF547" s="54"/>
      <c r="FG547" s="54"/>
      <c r="FH547" s="54"/>
      <c r="FI547" s="54"/>
    </row>
    <row r="548" spans="158:165" ht="15" customHeight="1" x14ac:dyDescent="0.15">
      <c r="FB548" s="53"/>
      <c r="FC548" s="54"/>
      <c r="FD548" s="54"/>
      <c r="FE548" s="54"/>
      <c r="FF548" s="54"/>
      <c r="FG548" s="54"/>
      <c r="FH548" s="54"/>
      <c r="FI548" s="54"/>
    </row>
    <row r="549" spans="158:165" ht="15" customHeight="1" x14ac:dyDescent="0.15">
      <c r="FB549" s="53"/>
      <c r="FC549" s="54"/>
      <c r="FD549" s="54"/>
      <c r="FE549" s="54"/>
      <c r="FF549" s="54"/>
      <c r="FG549" s="54"/>
      <c r="FH549" s="54"/>
      <c r="FI549" s="54"/>
    </row>
    <row r="550" spans="158:165" ht="15" customHeight="1" x14ac:dyDescent="0.15">
      <c r="FB550" s="53"/>
      <c r="FC550" s="54"/>
      <c r="FD550" s="54"/>
      <c r="FE550" s="54"/>
      <c r="FF550" s="54"/>
      <c r="FG550" s="54"/>
      <c r="FH550" s="54"/>
      <c r="FI550" s="54"/>
    </row>
    <row r="551" spans="158:165" ht="15" customHeight="1" x14ac:dyDescent="0.15">
      <c r="FB551" s="53"/>
      <c r="FC551" s="54"/>
      <c r="FD551" s="54"/>
      <c r="FE551" s="54"/>
      <c r="FF551" s="54"/>
      <c r="FG551" s="54"/>
      <c r="FH551" s="54"/>
      <c r="FI551" s="54"/>
    </row>
    <row r="552" spans="158:165" ht="15" customHeight="1" x14ac:dyDescent="0.15">
      <c r="FB552" s="53"/>
      <c r="FC552" s="54"/>
      <c r="FD552" s="54"/>
      <c r="FE552" s="54"/>
      <c r="FF552" s="54"/>
      <c r="FG552" s="54"/>
      <c r="FH552" s="54"/>
      <c r="FI552" s="54"/>
    </row>
    <row r="553" spans="158:165" ht="15" customHeight="1" x14ac:dyDescent="0.15">
      <c r="FB553" s="53"/>
      <c r="FC553" s="54"/>
      <c r="FD553" s="54"/>
      <c r="FE553" s="54"/>
      <c r="FF553" s="54"/>
      <c r="FG553" s="54"/>
      <c r="FH553" s="54"/>
      <c r="FI553" s="54"/>
    </row>
    <row r="554" spans="158:165" ht="15" customHeight="1" x14ac:dyDescent="0.15">
      <c r="FB554" s="53"/>
      <c r="FC554" s="54"/>
      <c r="FD554" s="54"/>
      <c r="FE554" s="54"/>
      <c r="FF554" s="54"/>
      <c r="FG554" s="54"/>
      <c r="FH554" s="54"/>
      <c r="FI554" s="54"/>
    </row>
    <row r="555" spans="158:165" ht="15" customHeight="1" x14ac:dyDescent="0.15">
      <c r="FB555" s="53"/>
      <c r="FC555" s="54"/>
      <c r="FD555" s="54"/>
      <c r="FE555" s="54"/>
      <c r="FF555" s="54"/>
      <c r="FG555" s="54"/>
      <c r="FH555" s="54"/>
      <c r="FI555" s="54"/>
    </row>
    <row r="556" spans="158:165" ht="15" customHeight="1" x14ac:dyDescent="0.15">
      <c r="FB556" s="53"/>
      <c r="FC556" s="54"/>
      <c r="FD556" s="54"/>
      <c r="FE556" s="54"/>
      <c r="FF556" s="54"/>
      <c r="FG556" s="54"/>
      <c r="FH556" s="54"/>
      <c r="FI556" s="54"/>
    </row>
    <row r="557" spans="158:165" ht="15" customHeight="1" x14ac:dyDescent="0.15">
      <c r="FB557" s="53"/>
      <c r="FC557" s="54"/>
      <c r="FD557" s="54"/>
      <c r="FE557" s="54"/>
      <c r="FF557" s="54"/>
      <c r="FG557" s="54"/>
      <c r="FH557" s="54"/>
      <c r="FI557" s="54"/>
    </row>
    <row r="558" spans="158:165" ht="15" customHeight="1" x14ac:dyDescent="0.15">
      <c r="FB558" s="53"/>
      <c r="FC558" s="54"/>
      <c r="FD558" s="54"/>
      <c r="FE558" s="54"/>
      <c r="FF558" s="54"/>
      <c r="FG558" s="54"/>
      <c r="FH558" s="54"/>
      <c r="FI558" s="54"/>
    </row>
    <row r="559" spans="158:165" ht="15" customHeight="1" x14ac:dyDescent="0.15">
      <c r="FB559" s="53"/>
      <c r="FC559" s="54"/>
      <c r="FD559" s="54"/>
      <c r="FE559" s="54"/>
      <c r="FF559" s="54"/>
      <c r="FG559" s="54"/>
      <c r="FH559" s="54"/>
      <c r="FI559" s="54"/>
    </row>
    <row r="560" spans="158:165" ht="15" customHeight="1" x14ac:dyDescent="0.15">
      <c r="FB560" s="53"/>
      <c r="FC560" s="54"/>
      <c r="FD560" s="54"/>
      <c r="FE560" s="54"/>
      <c r="FF560" s="54"/>
      <c r="FG560" s="54"/>
      <c r="FH560" s="54"/>
      <c r="FI560" s="54"/>
    </row>
    <row r="561" spans="158:165" ht="15" customHeight="1" x14ac:dyDescent="0.15">
      <c r="FB561" s="53"/>
      <c r="FC561" s="54"/>
      <c r="FD561" s="54"/>
      <c r="FE561" s="54"/>
      <c r="FF561" s="54"/>
      <c r="FG561" s="54"/>
      <c r="FH561" s="54"/>
      <c r="FI561" s="54"/>
    </row>
    <row r="562" spans="158:165" ht="15" customHeight="1" x14ac:dyDescent="0.15">
      <c r="FB562" s="53"/>
      <c r="FC562" s="54"/>
      <c r="FD562" s="54"/>
      <c r="FE562" s="54"/>
      <c r="FF562" s="54"/>
      <c r="FG562" s="54"/>
      <c r="FH562" s="54"/>
      <c r="FI562" s="54"/>
    </row>
    <row r="563" spans="158:165" ht="15" customHeight="1" x14ac:dyDescent="0.15">
      <c r="FB563" s="53"/>
      <c r="FC563" s="54"/>
      <c r="FD563" s="54"/>
      <c r="FE563" s="54"/>
      <c r="FF563" s="54"/>
      <c r="FG563" s="54"/>
      <c r="FH563" s="54"/>
      <c r="FI563" s="54"/>
    </row>
    <row r="564" spans="158:165" ht="15" customHeight="1" x14ac:dyDescent="0.15">
      <c r="FB564" s="53"/>
      <c r="FC564" s="54"/>
      <c r="FD564" s="54"/>
      <c r="FE564" s="54"/>
      <c r="FF564" s="54"/>
      <c r="FG564" s="54"/>
      <c r="FH564" s="54"/>
      <c r="FI564" s="54"/>
    </row>
    <row r="565" spans="158:165" ht="15" customHeight="1" x14ac:dyDescent="0.15">
      <c r="FB565" s="53"/>
      <c r="FC565" s="54"/>
      <c r="FD565" s="54"/>
      <c r="FE565" s="54"/>
      <c r="FF565" s="54"/>
      <c r="FG565" s="54"/>
      <c r="FH565" s="54"/>
      <c r="FI565" s="54"/>
    </row>
    <row r="566" spans="158:165" ht="15" customHeight="1" x14ac:dyDescent="0.15">
      <c r="FB566" s="53"/>
      <c r="FC566" s="54"/>
      <c r="FD566" s="54"/>
      <c r="FE566" s="54"/>
      <c r="FF566" s="54"/>
      <c r="FG566" s="54"/>
      <c r="FH566" s="54"/>
      <c r="FI566" s="54"/>
    </row>
    <row r="567" spans="158:165" ht="15" customHeight="1" x14ac:dyDescent="0.15">
      <c r="FB567" s="53"/>
      <c r="FC567" s="54"/>
      <c r="FD567" s="54"/>
      <c r="FE567" s="54"/>
      <c r="FF567" s="54"/>
      <c r="FG567" s="54"/>
      <c r="FH567" s="54"/>
      <c r="FI567" s="54"/>
    </row>
    <row r="568" spans="158:165" ht="15" customHeight="1" x14ac:dyDescent="0.15">
      <c r="FB568" s="53"/>
      <c r="FC568" s="54"/>
      <c r="FD568" s="54"/>
      <c r="FE568" s="54"/>
      <c r="FF568" s="54"/>
      <c r="FG568" s="54"/>
      <c r="FH568" s="54"/>
      <c r="FI568" s="54"/>
    </row>
    <row r="569" spans="158:165" ht="15" customHeight="1" x14ac:dyDescent="0.15">
      <c r="FB569" s="53"/>
      <c r="FC569" s="54"/>
      <c r="FD569" s="54"/>
      <c r="FE569" s="54"/>
      <c r="FF569" s="54"/>
      <c r="FG569" s="54"/>
      <c r="FH569" s="54"/>
      <c r="FI569" s="54"/>
    </row>
    <row r="570" spans="158:165" ht="15" customHeight="1" x14ac:dyDescent="0.15">
      <c r="FB570" s="53"/>
      <c r="FC570" s="54"/>
      <c r="FD570" s="54"/>
      <c r="FE570" s="54"/>
      <c r="FF570" s="54"/>
      <c r="FG570" s="54"/>
      <c r="FH570" s="54"/>
      <c r="FI570" s="54"/>
    </row>
    <row r="571" spans="158:165" ht="15" customHeight="1" x14ac:dyDescent="0.15">
      <c r="FB571" s="53"/>
      <c r="FC571" s="54"/>
      <c r="FD571" s="54"/>
      <c r="FE571" s="54"/>
      <c r="FF571" s="54"/>
      <c r="FG571" s="54"/>
      <c r="FH571" s="54"/>
      <c r="FI571" s="54"/>
    </row>
    <row r="572" spans="158:165" ht="15" customHeight="1" x14ac:dyDescent="0.15">
      <c r="FB572" s="53"/>
      <c r="FC572" s="54"/>
      <c r="FD572" s="54"/>
      <c r="FE572" s="54"/>
      <c r="FF572" s="54"/>
      <c r="FG572" s="54"/>
      <c r="FH572" s="54"/>
      <c r="FI572" s="54"/>
    </row>
    <row r="573" spans="158:165" ht="15" customHeight="1" x14ac:dyDescent="0.15">
      <c r="FB573" s="53"/>
      <c r="FC573" s="54"/>
      <c r="FD573" s="54"/>
      <c r="FE573" s="54"/>
      <c r="FF573" s="54"/>
      <c r="FG573" s="54"/>
      <c r="FH573" s="54"/>
      <c r="FI573" s="54"/>
    </row>
    <row r="574" spans="158:165" ht="15" customHeight="1" x14ac:dyDescent="0.15">
      <c r="FB574" s="53"/>
      <c r="FC574" s="54"/>
      <c r="FD574" s="54"/>
      <c r="FE574" s="54"/>
      <c r="FF574" s="54"/>
      <c r="FG574" s="54"/>
      <c r="FH574" s="54"/>
      <c r="FI574" s="54"/>
    </row>
    <row r="575" spans="158:165" ht="15" customHeight="1" x14ac:dyDescent="0.15">
      <c r="FB575" s="53"/>
      <c r="FC575" s="54"/>
      <c r="FD575" s="54"/>
      <c r="FE575" s="54"/>
      <c r="FF575" s="54"/>
      <c r="FG575" s="54"/>
      <c r="FH575" s="54"/>
      <c r="FI575" s="54"/>
    </row>
    <row r="576" spans="158:165" ht="15" customHeight="1" x14ac:dyDescent="0.15">
      <c r="FB576" s="53"/>
      <c r="FC576" s="54"/>
      <c r="FD576" s="54"/>
      <c r="FE576" s="54"/>
      <c r="FF576" s="54"/>
      <c r="FG576" s="54"/>
      <c r="FH576" s="54"/>
      <c r="FI576" s="54"/>
    </row>
    <row r="577" spans="158:165" ht="15" customHeight="1" x14ac:dyDescent="0.15">
      <c r="FB577" s="53"/>
      <c r="FC577" s="54"/>
      <c r="FD577" s="54"/>
      <c r="FE577" s="54"/>
      <c r="FF577" s="54"/>
      <c r="FG577" s="54"/>
      <c r="FH577" s="54"/>
      <c r="FI577" s="54"/>
    </row>
    <row r="578" spans="158:165" ht="15" customHeight="1" x14ac:dyDescent="0.15">
      <c r="FB578" s="53"/>
      <c r="FC578" s="54"/>
      <c r="FD578" s="54"/>
      <c r="FE578" s="54"/>
      <c r="FF578" s="54"/>
      <c r="FG578" s="54"/>
      <c r="FH578" s="54"/>
      <c r="FI578" s="54"/>
    </row>
    <row r="579" spans="158:165" ht="15" customHeight="1" x14ac:dyDescent="0.15">
      <c r="FB579" s="53"/>
      <c r="FC579" s="54"/>
      <c r="FD579" s="54"/>
      <c r="FE579" s="54"/>
      <c r="FF579" s="54"/>
      <c r="FG579" s="54"/>
      <c r="FH579" s="54"/>
      <c r="FI579" s="54"/>
    </row>
    <row r="580" spans="158:165" ht="15" customHeight="1" x14ac:dyDescent="0.15">
      <c r="FB580" s="53"/>
      <c r="FC580" s="54"/>
      <c r="FD580" s="54"/>
      <c r="FE580" s="54"/>
      <c r="FF580" s="54"/>
      <c r="FG580" s="54"/>
      <c r="FH580" s="54"/>
      <c r="FI580" s="54"/>
    </row>
    <row r="581" spans="158:165" ht="15" customHeight="1" x14ac:dyDescent="0.15">
      <c r="FB581" s="53"/>
      <c r="FC581" s="54"/>
      <c r="FD581" s="54"/>
      <c r="FE581" s="54"/>
      <c r="FF581" s="54"/>
      <c r="FG581" s="54"/>
      <c r="FH581" s="54"/>
      <c r="FI581" s="54"/>
    </row>
    <row r="582" spans="158:165" ht="15" customHeight="1" x14ac:dyDescent="0.15">
      <c r="FB582" s="53"/>
      <c r="FC582" s="54"/>
      <c r="FD582" s="54"/>
      <c r="FE582" s="54"/>
      <c r="FF582" s="54"/>
      <c r="FG582" s="54"/>
      <c r="FH582" s="54"/>
      <c r="FI582" s="54"/>
    </row>
    <row r="583" spans="158:165" ht="15" customHeight="1" x14ac:dyDescent="0.15">
      <c r="FB583" s="53"/>
      <c r="FC583" s="54"/>
      <c r="FD583" s="54"/>
      <c r="FE583" s="54"/>
      <c r="FF583" s="54"/>
      <c r="FG583" s="54"/>
      <c r="FH583" s="54"/>
      <c r="FI583" s="54"/>
    </row>
    <row r="584" spans="158:165" ht="15" customHeight="1" x14ac:dyDescent="0.15">
      <c r="FB584" s="53"/>
      <c r="FC584" s="54"/>
      <c r="FD584" s="54"/>
      <c r="FE584" s="54"/>
      <c r="FF584" s="54"/>
      <c r="FG584" s="54"/>
      <c r="FH584" s="54"/>
      <c r="FI584" s="54"/>
    </row>
    <row r="585" spans="158:165" ht="15" customHeight="1" x14ac:dyDescent="0.15">
      <c r="FB585" s="53"/>
      <c r="FC585" s="54"/>
      <c r="FD585" s="54"/>
      <c r="FE585" s="54"/>
      <c r="FF585" s="54"/>
      <c r="FG585" s="54"/>
      <c r="FH585" s="54"/>
      <c r="FI585" s="54"/>
    </row>
    <row r="586" spans="158:165" ht="15" customHeight="1" x14ac:dyDescent="0.15">
      <c r="FB586" s="53"/>
      <c r="FC586" s="54"/>
      <c r="FD586" s="54"/>
      <c r="FE586" s="54"/>
      <c r="FF586" s="54"/>
      <c r="FG586" s="54"/>
      <c r="FH586" s="54"/>
      <c r="FI586" s="54"/>
    </row>
    <row r="587" spans="158:165" ht="15" customHeight="1" x14ac:dyDescent="0.15">
      <c r="FB587" s="53"/>
      <c r="FC587" s="54"/>
      <c r="FD587" s="54"/>
      <c r="FE587" s="54"/>
      <c r="FF587" s="54"/>
      <c r="FG587" s="54"/>
      <c r="FH587" s="54"/>
      <c r="FI587" s="54"/>
    </row>
    <row r="588" spans="158:165" ht="15" customHeight="1" x14ac:dyDescent="0.15">
      <c r="FB588" s="53"/>
      <c r="FC588" s="54"/>
      <c r="FD588" s="54"/>
      <c r="FE588" s="54"/>
      <c r="FF588" s="54"/>
      <c r="FG588" s="54"/>
      <c r="FH588" s="54"/>
      <c r="FI588" s="54"/>
    </row>
    <row r="589" spans="158:165" ht="15" customHeight="1" x14ac:dyDescent="0.15">
      <c r="FB589" s="53"/>
      <c r="FC589" s="54"/>
      <c r="FD589" s="54"/>
      <c r="FE589" s="54"/>
      <c r="FF589" s="54"/>
      <c r="FG589" s="54"/>
      <c r="FH589" s="54"/>
      <c r="FI589" s="54"/>
    </row>
    <row r="590" spans="158:165" ht="15" customHeight="1" x14ac:dyDescent="0.15">
      <c r="FB590" s="53"/>
      <c r="FC590" s="54"/>
      <c r="FD590" s="54"/>
      <c r="FE590" s="54"/>
      <c r="FF590" s="54"/>
      <c r="FG590" s="54"/>
      <c r="FH590" s="54"/>
      <c r="FI590" s="54"/>
    </row>
    <row r="591" spans="158:165" ht="15" customHeight="1" x14ac:dyDescent="0.15">
      <c r="FB591" s="53"/>
      <c r="FC591" s="54"/>
      <c r="FD591" s="54"/>
      <c r="FE591" s="54"/>
      <c r="FF591" s="54"/>
      <c r="FG591" s="54"/>
      <c r="FH591" s="54"/>
      <c r="FI591" s="54"/>
    </row>
    <row r="592" spans="158:165" ht="15" customHeight="1" x14ac:dyDescent="0.15">
      <c r="FB592" s="53"/>
      <c r="FC592" s="54"/>
      <c r="FD592" s="54"/>
      <c r="FE592" s="54"/>
      <c r="FF592" s="54"/>
      <c r="FG592" s="54"/>
      <c r="FH592" s="54"/>
      <c r="FI592" s="54"/>
    </row>
    <row r="593" spans="158:165" ht="15" customHeight="1" x14ac:dyDescent="0.15">
      <c r="FB593" s="53"/>
      <c r="FC593" s="54"/>
      <c r="FD593" s="54"/>
      <c r="FE593" s="54"/>
      <c r="FF593" s="54"/>
      <c r="FG593" s="54"/>
      <c r="FH593" s="54"/>
      <c r="FI593" s="54"/>
    </row>
    <row r="594" spans="158:165" ht="15" customHeight="1" x14ac:dyDescent="0.15">
      <c r="FB594" s="53"/>
      <c r="FC594" s="54"/>
      <c r="FD594" s="54"/>
      <c r="FE594" s="54"/>
      <c r="FF594" s="54"/>
      <c r="FG594" s="54"/>
      <c r="FH594" s="54"/>
      <c r="FI594" s="54"/>
    </row>
    <row r="595" spans="158:165" ht="15" customHeight="1" x14ac:dyDescent="0.15">
      <c r="FB595" s="53"/>
      <c r="FC595" s="54"/>
      <c r="FD595" s="54"/>
      <c r="FE595" s="54"/>
      <c r="FF595" s="54"/>
      <c r="FG595" s="54"/>
      <c r="FH595" s="54"/>
      <c r="FI595" s="54"/>
    </row>
    <row r="596" spans="158:165" ht="15" customHeight="1" x14ac:dyDescent="0.15">
      <c r="FB596" s="53"/>
      <c r="FC596" s="54"/>
      <c r="FD596" s="54"/>
      <c r="FE596" s="54"/>
      <c r="FF596" s="54"/>
      <c r="FG596" s="54"/>
      <c r="FH596" s="54"/>
      <c r="FI596" s="54"/>
    </row>
    <row r="597" spans="158:165" ht="15" customHeight="1" x14ac:dyDescent="0.15">
      <c r="FB597" s="53"/>
      <c r="FC597" s="54"/>
      <c r="FD597" s="54"/>
      <c r="FE597" s="54"/>
      <c r="FF597" s="54"/>
      <c r="FG597" s="54"/>
      <c r="FH597" s="54"/>
      <c r="FI597" s="54"/>
    </row>
    <row r="598" spans="158:165" ht="15" customHeight="1" x14ac:dyDescent="0.15">
      <c r="FB598" s="53"/>
      <c r="FC598" s="54"/>
      <c r="FD598" s="54"/>
      <c r="FE598" s="54"/>
      <c r="FF598" s="54"/>
      <c r="FG598" s="54"/>
      <c r="FH598" s="54"/>
      <c r="FI598" s="54"/>
    </row>
    <row r="599" spans="158:165" ht="15" customHeight="1" x14ac:dyDescent="0.15">
      <c r="FB599" s="53"/>
      <c r="FC599" s="54"/>
      <c r="FD599" s="54"/>
      <c r="FE599" s="54"/>
      <c r="FF599" s="54"/>
      <c r="FG599" s="54"/>
      <c r="FH599" s="54"/>
      <c r="FI599" s="54"/>
    </row>
    <row r="600" spans="158:165" ht="15" customHeight="1" x14ac:dyDescent="0.15">
      <c r="FB600" s="53"/>
      <c r="FC600" s="54"/>
      <c r="FD600" s="54"/>
      <c r="FE600" s="54"/>
      <c r="FF600" s="54"/>
      <c r="FG600" s="54"/>
      <c r="FH600" s="54"/>
      <c r="FI600" s="54"/>
    </row>
    <row r="601" spans="158:165" ht="15" customHeight="1" x14ac:dyDescent="0.15">
      <c r="FB601" s="53"/>
      <c r="FC601" s="54"/>
      <c r="FD601" s="54"/>
      <c r="FE601" s="54"/>
      <c r="FF601" s="54"/>
      <c r="FG601" s="54"/>
      <c r="FH601" s="54"/>
      <c r="FI601" s="54"/>
    </row>
    <row r="602" spans="158:165" ht="15" customHeight="1" x14ac:dyDescent="0.15">
      <c r="FB602" s="53"/>
      <c r="FC602" s="54"/>
      <c r="FD602" s="54"/>
      <c r="FE602" s="54"/>
      <c r="FF602" s="54"/>
      <c r="FG602" s="54"/>
      <c r="FH602" s="54"/>
      <c r="FI602" s="54"/>
    </row>
    <row r="603" spans="158:165" ht="15" customHeight="1" x14ac:dyDescent="0.15">
      <c r="FB603" s="53"/>
      <c r="FC603" s="54"/>
      <c r="FD603" s="54"/>
      <c r="FE603" s="54"/>
      <c r="FF603" s="54"/>
      <c r="FG603" s="54"/>
      <c r="FH603" s="54"/>
      <c r="FI603" s="54"/>
    </row>
    <row r="604" spans="158:165" ht="15" customHeight="1" x14ac:dyDescent="0.15">
      <c r="FB604" s="53"/>
      <c r="FC604" s="54"/>
      <c r="FD604" s="54"/>
      <c r="FE604" s="54"/>
      <c r="FF604" s="54"/>
      <c r="FG604" s="54"/>
      <c r="FH604" s="54"/>
      <c r="FI604" s="54"/>
    </row>
    <row r="605" spans="158:165" ht="15" customHeight="1" x14ac:dyDescent="0.15">
      <c r="FB605" s="53"/>
      <c r="FC605" s="54"/>
      <c r="FD605" s="54"/>
      <c r="FE605" s="54"/>
      <c r="FF605" s="54"/>
      <c r="FG605" s="54"/>
      <c r="FH605" s="54"/>
      <c r="FI605" s="54"/>
    </row>
    <row r="606" spans="158:165" ht="15" customHeight="1" x14ac:dyDescent="0.15">
      <c r="FB606" s="53"/>
      <c r="FC606" s="54"/>
      <c r="FD606" s="54"/>
      <c r="FE606" s="54"/>
      <c r="FF606" s="54"/>
      <c r="FG606" s="54"/>
      <c r="FH606" s="54"/>
      <c r="FI606" s="54"/>
    </row>
    <row r="607" spans="158:165" ht="15" customHeight="1" x14ac:dyDescent="0.15">
      <c r="FB607" s="53"/>
      <c r="FC607" s="54"/>
      <c r="FD607" s="54"/>
      <c r="FE607" s="54"/>
      <c r="FF607" s="54"/>
      <c r="FG607" s="54"/>
      <c r="FH607" s="54"/>
      <c r="FI607" s="54"/>
    </row>
    <row r="608" spans="158:165" ht="15" customHeight="1" x14ac:dyDescent="0.15">
      <c r="FB608" s="53"/>
      <c r="FC608" s="54"/>
      <c r="FD608" s="54"/>
      <c r="FE608" s="54"/>
      <c r="FF608" s="54"/>
      <c r="FG608" s="54"/>
      <c r="FH608" s="54"/>
      <c r="FI608" s="54"/>
    </row>
    <row r="609" spans="158:165" ht="15" customHeight="1" x14ac:dyDescent="0.15">
      <c r="FB609" s="53"/>
      <c r="FC609" s="54"/>
      <c r="FD609" s="54"/>
      <c r="FE609" s="54"/>
      <c r="FF609" s="54"/>
      <c r="FG609" s="54"/>
      <c r="FH609" s="54"/>
      <c r="FI609" s="54"/>
    </row>
    <row r="610" spans="158:165" ht="15" customHeight="1" x14ac:dyDescent="0.15">
      <c r="FB610" s="53"/>
      <c r="FC610" s="54"/>
      <c r="FD610" s="54"/>
      <c r="FE610" s="54"/>
      <c r="FF610" s="54"/>
      <c r="FG610" s="54"/>
      <c r="FH610" s="54"/>
      <c r="FI610" s="54"/>
    </row>
    <row r="611" spans="158:165" ht="15" customHeight="1" x14ac:dyDescent="0.15">
      <c r="FB611" s="53"/>
      <c r="FC611" s="54"/>
      <c r="FD611" s="54"/>
      <c r="FE611" s="54"/>
      <c r="FF611" s="54"/>
      <c r="FG611" s="54"/>
      <c r="FH611" s="54"/>
      <c r="FI611" s="54"/>
    </row>
    <row r="612" spans="158:165" ht="15" customHeight="1" x14ac:dyDescent="0.15">
      <c r="FB612" s="53"/>
      <c r="FC612" s="54"/>
      <c r="FD612" s="54"/>
      <c r="FE612" s="54"/>
      <c r="FF612" s="54"/>
      <c r="FG612" s="54"/>
      <c r="FH612" s="54"/>
      <c r="FI612" s="54"/>
    </row>
    <row r="613" spans="158:165" ht="15" customHeight="1" x14ac:dyDescent="0.15">
      <c r="FB613" s="53"/>
      <c r="FC613" s="54"/>
      <c r="FD613" s="54"/>
      <c r="FE613" s="54"/>
      <c r="FF613" s="54"/>
      <c r="FG613" s="54"/>
      <c r="FH613" s="54"/>
      <c r="FI613" s="54"/>
    </row>
    <row r="614" spans="158:165" ht="15" customHeight="1" x14ac:dyDescent="0.15">
      <c r="FB614" s="53"/>
      <c r="FC614" s="54"/>
      <c r="FD614" s="54"/>
      <c r="FE614" s="54"/>
      <c r="FF614" s="54"/>
      <c r="FG614" s="54"/>
      <c r="FH614" s="54"/>
      <c r="FI614" s="54"/>
    </row>
    <row r="615" spans="158:165" ht="15" customHeight="1" x14ac:dyDescent="0.15">
      <c r="FB615" s="53"/>
      <c r="FC615" s="54"/>
      <c r="FD615" s="54"/>
      <c r="FE615" s="54"/>
      <c r="FF615" s="54"/>
      <c r="FG615" s="54"/>
      <c r="FH615" s="54"/>
      <c r="FI615" s="54"/>
    </row>
    <row r="616" spans="158:165" ht="15" customHeight="1" x14ac:dyDescent="0.15">
      <c r="FB616" s="53"/>
      <c r="FC616" s="54"/>
      <c r="FD616" s="54"/>
      <c r="FE616" s="54"/>
      <c r="FF616" s="54"/>
      <c r="FG616" s="54"/>
      <c r="FH616" s="54"/>
      <c r="FI616" s="54"/>
    </row>
    <row r="617" spans="158:165" ht="15" customHeight="1" x14ac:dyDescent="0.15">
      <c r="FB617" s="53"/>
      <c r="FC617" s="54"/>
      <c r="FD617" s="54"/>
      <c r="FE617" s="54"/>
      <c r="FF617" s="54"/>
      <c r="FG617" s="54"/>
      <c r="FH617" s="54"/>
      <c r="FI617" s="54"/>
    </row>
    <row r="618" spans="158:165" ht="15" customHeight="1" x14ac:dyDescent="0.15">
      <c r="FB618" s="53"/>
      <c r="FC618" s="54"/>
      <c r="FD618" s="54"/>
      <c r="FE618" s="54"/>
      <c r="FF618" s="54"/>
      <c r="FG618" s="54"/>
      <c r="FH618" s="54"/>
      <c r="FI618" s="54"/>
    </row>
    <row r="619" spans="158:165" ht="15" customHeight="1" x14ac:dyDescent="0.15">
      <c r="FB619" s="53"/>
      <c r="FC619" s="54"/>
      <c r="FD619" s="54"/>
      <c r="FE619" s="54"/>
      <c r="FF619" s="54"/>
      <c r="FG619" s="54"/>
      <c r="FH619" s="54"/>
      <c r="FI619" s="54"/>
    </row>
    <row r="620" spans="158:165" ht="15" customHeight="1" x14ac:dyDescent="0.15">
      <c r="FB620" s="53"/>
      <c r="FC620" s="54"/>
      <c r="FD620" s="54"/>
      <c r="FE620" s="54"/>
      <c r="FF620" s="54"/>
      <c r="FG620" s="54"/>
      <c r="FH620" s="54"/>
      <c r="FI620" s="54"/>
    </row>
    <row r="621" spans="158:165" ht="15" customHeight="1" x14ac:dyDescent="0.15">
      <c r="FB621" s="53"/>
      <c r="FC621" s="54"/>
      <c r="FD621" s="54"/>
      <c r="FE621" s="54"/>
      <c r="FF621" s="54"/>
      <c r="FG621" s="54"/>
      <c r="FH621" s="54"/>
      <c r="FI621" s="54"/>
    </row>
    <row r="622" spans="158:165" ht="15" customHeight="1" x14ac:dyDescent="0.15">
      <c r="FB622" s="53"/>
      <c r="FC622" s="54"/>
      <c r="FD622" s="54"/>
      <c r="FE622" s="54"/>
      <c r="FF622" s="54"/>
      <c r="FG622" s="54"/>
      <c r="FH622" s="54"/>
      <c r="FI622" s="54"/>
    </row>
    <row r="623" spans="158:165" ht="15" customHeight="1" x14ac:dyDescent="0.15">
      <c r="FB623" s="53"/>
      <c r="FC623" s="54"/>
      <c r="FD623" s="54"/>
      <c r="FE623" s="54"/>
      <c r="FF623" s="54"/>
      <c r="FG623" s="54"/>
      <c r="FH623" s="54"/>
      <c r="FI623" s="54"/>
    </row>
    <row r="624" spans="158:165" ht="15" customHeight="1" x14ac:dyDescent="0.15">
      <c r="FB624" s="53"/>
      <c r="FC624" s="54"/>
      <c r="FD624" s="54"/>
      <c r="FE624" s="54"/>
      <c r="FF624" s="54"/>
      <c r="FG624" s="54"/>
      <c r="FH624" s="54"/>
      <c r="FI624" s="54"/>
    </row>
    <row r="625" spans="158:165" ht="15" customHeight="1" x14ac:dyDescent="0.15">
      <c r="FB625" s="53"/>
      <c r="FC625" s="54"/>
      <c r="FD625" s="54"/>
      <c r="FE625" s="54"/>
      <c r="FF625" s="54"/>
      <c r="FG625" s="54"/>
      <c r="FH625" s="54"/>
      <c r="FI625" s="54"/>
    </row>
    <row r="626" spans="158:165" ht="15" customHeight="1" x14ac:dyDescent="0.15">
      <c r="FB626" s="53"/>
      <c r="FC626" s="54"/>
      <c r="FD626" s="54"/>
      <c r="FE626" s="54"/>
      <c r="FF626" s="54"/>
      <c r="FG626" s="54"/>
      <c r="FH626" s="54"/>
      <c r="FI626" s="54"/>
    </row>
    <row r="627" spans="158:165" ht="15" customHeight="1" x14ac:dyDescent="0.15">
      <c r="FB627" s="53"/>
      <c r="FC627" s="54"/>
      <c r="FD627" s="54"/>
      <c r="FE627" s="54"/>
      <c r="FF627" s="54"/>
      <c r="FG627" s="54"/>
      <c r="FH627" s="54"/>
      <c r="FI627" s="54"/>
    </row>
    <row r="628" spans="158:165" ht="15" customHeight="1" x14ac:dyDescent="0.15">
      <c r="FB628" s="53"/>
      <c r="FC628" s="54"/>
      <c r="FD628" s="54"/>
      <c r="FE628" s="54"/>
      <c r="FF628" s="54"/>
      <c r="FG628" s="54"/>
      <c r="FH628" s="54"/>
      <c r="FI628" s="54"/>
    </row>
    <row r="629" spans="158:165" ht="15" customHeight="1" x14ac:dyDescent="0.15">
      <c r="FB629" s="53"/>
      <c r="FC629" s="54"/>
      <c r="FD629" s="54"/>
      <c r="FE629" s="54"/>
      <c r="FF629" s="54"/>
      <c r="FG629" s="54"/>
      <c r="FH629" s="54"/>
      <c r="FI629" s="54"/>
    </row>
    <row r="630" spans="158:165" ht="15" customHeight="1" x14ac:dyDescent="0.15">
      <c r="FB630" s="53"/>
      <c r="FC630" s="54"/>
      <c r="FD630" s="54"/>
      <c r="FE630" s="54"/>
      <c r="FF630" s="54"/>
      <c r="FG630" s="54"/>
      <c r="FH630" s="54"/>
      <c r="FI630" s="54"/>
    </row>
    <row r="631" spans="158:165" ht="15" customHeight="1" x14ac:dyDescent="0.15">
      <c r="FB631" s="53"/>
      <c r="FC631" s="54"/>
      <c r="FD631" s="54"/>
      <c r="FE631" s="54"/>
      <c r="FF631" s="54"/>
      <c r="FG631" s="54"/>
      <c r="FH631" s="54"/>
      <c r="FI631" s="54"/>
    </row>
    <row r="632" spans="158:165" ht="15" customHeight="1" x14ac:dyDescent="0.15">
      <c r="FB632" s="53"/>
      <c r="FC632" s="54"/>
      <c r="FD632" s="54"/>
      <c r="FE632" s="54"/>
      <c r="FF632" s="54"/>
      <c r="FG632" s="54"/>
      <c r="FH632" s="54"/>
      <c r="FI632" s="54"/>
    </row>
    <row r="633" spans="158:165" ht="15" customHeight="1" x14ac:dyDescent="0.15">
      <c r="FB633" s="53"/>
      <c r="FC633" s="54"/>
      <c r="FD633" s="54"/>
      <c r="FE633" s="54"/>
      <c r="FF633" s="54"/>
      <c r="FG633" s="54"/>
      <c r="FH633" s="54"/>
      <c r="FI633" s="54"/>
    </row>
    <row r="634" spans="158:165" ht="15" customHeight="1" x14ac:dyDescent="0.15">
      <c r="FB634" s="53"/>
      <c r="FC634" s="54"/>
      <c r="FD634" s="54"/>
      <c r="FE634" s="54"/>
      <c r="FF634" s="54"/>
      <c r="FG634" s="54"/>
      <c r="FH634" s="54"/>
      <c r="FI634" s="54"/>
    </row>
    <row r="635" spans="158:165" ht="15" customHeight="1" x14ac:dyDescent="0.15">
      <c r="FB635" s="53"/>
      <c r="FC635" s="54"/>
      <c r="FD635" s="54"/>
      <c r="FE635" s="54"/>
      <c r="FF635" s="54"/>
      <c r="FG635" s="54"/>
      <c r="FH635" s="54"/>
      <c r="FI635" s="54"/>
    </row>
    <row r="636" spans="158:165" ht="15" customHeight="1" x14ac:dyDescent="0.15">
      <c r="FB636" s="53"/>
      <c r="FC636" s="54"/>
      <c r="FD636" s="54"/>
      <c r="FE636" s="54"/>
      <c r="FF636" s="54"/>
      <c r="FG636" s="54"/>
      <c r="FH636" s="54"/>
      <c r="FI636" s="54"/>
    </row>
    <row r="637" spans="158:165" ht="15" customHeight="1" x14ac:dyDescent="0.15">
      <c r="FB637" s="53"/>
      <c r="FC637" s="54"/>
      <c r="FD637" s="54"/>
      <c r="FE637" s="54"/>
      <c r="FF637" s="54"/>
      <c r="FG637" s="54"/>
      <c r="FH637" s="54"/>
      <c r="FI637" s="54"/>
    </row>
    <row r="638" spans="158:165" ht="15" customHeight="1" x14ac:dyDescent="0.15">
      <c r="FB638" s="53"/>
      <c r="FC638" s="54"/>
      <c r="FD638" s="54"/>
      <c r="FE638" s="54"/>
      <c r="FF638" s="54"/>
      <c r="FG638" s="54"/>
      <c r="FH638" s="54"/>
      <c r="FI638" s="54"/>
    </row>
    <row r="639" spans="158:165" ht="15" customHeight="1" x14ac:dyDescent="0.15">
      <c r="FB639" s="53"/>
      <c r="FC639" s="54"/>
      <c r="FD639" s="54"/>
      <c r="FE639" s="54"/>
      <c r="FF639" s="54"/>
      <c r="FG639" s="54"/>
      <c r="FH639" s="54"/>
      <c r="FI639" s="54"/>
    </row>
    <row r="640" spans="158:165" ht="15" customHeight="1" x14ac:dyDescent="0.15">
      <c r="FB640" s="53"/>
      <c r="FC640" s="54"/>
      <c r="FD640" s="54"/>
      <c r="FE640" s="54"/>
      <c r="FF640" s="54"/>
      <c r="FG640" s="54"/>
      <c r="FH640" s="54"/>
      <c r="FI640" s="54"/>
    </row>
    <row r="641" spans="158:165" ht="15" customHeight="1" x14ac:dyDescent="0.15">
      <c r="FB641" s="53"/>
      <c r="FC641" s="54"/>
      <c r="FD641" s="54"/>
      <c r="FE641" s="54"/>
      <c r="FF641" s="54"/>
      <c r="FG641" s="54"/>
      <c r="FH641" s="54"/>
      <c r="FI641" s="54"/>
    </row>
    <row r="642" spans="158:165" ht="15" customHeight="1" x14ac:dyDescent="0.15">
      <c r="FB642" s="53"/>
      <c r="FC642" s="54"/>
      <c r="FD642" s="54"/>
      <c r="FE642" s="54"/>
      <c r="FF642" s="54"/>
      <c r="FG642" s="54"/>
      <c r="FH642" s="54"/>
      <c r="FI642" s="54"/>
    </row>
    <row r="643" spans="158:165" ht="15" customHeight="1" x14ac:dyDescent="0.15">
      <c r="FB643" s="53"/>
      <c r="FC643" s="54"/>
      <c r="FD643" s="54"/>
      <c r="FE643" s="54"/>
      <c r="FF643" s="54"/>
      <c r="FG643" s="54"/>
      <c r="FH643" s="54"/>
      <c r="FI643" s="54"/>
    </row>
    <row r="644" spans="158:165" ht="15" customHeight="1" x14ac:dyDescent="0.15">
      <c r="FB644" s="53"/>
      <c r="FC644" s="54"/>
      <c r="FD644" s="54"/>
      <c r="FE644" s="54"/>
      <c r="FF644" s="54"/>
      <c r="FG644" s="54"/>
      <c r="FH644" s="54"/>
      <c r="FI644" s="54"/>
    </row>
    <row r="645" spans="158:165" ht="15" customHeight="1" x14ac:dyDescent="0.15">
      <c r="FB645" s="53"/>
      <c r="FC645" s="54"/>
      <c r="FD645" s="54"/>
      <c r="FE645" s="54"/>
      <c r="FF645" s="54"/>
      <c r="FG645" s="54"/>
      <c r="FH645" s="54"/>
      <c r="FI645" s="54"/>
    </row>
    <row r="646" spans="158:165" ht="15" customHeight="1" x14ac:dyDescent="0.15">
      <c r="FB646" s="53"/>
      <c r="FC646" s="54"/>
      <c r="FD646" s="54"/>
      <c r="FE646" s="54"/>
      <c r="FF646" s="54"/>
      <c r="FG646" s="54"/>
      <c r="FH646" s="54"/>
      <c r="FI646" s="54"/>
    </row>
    <row r="647" spans="158:165" ht="15" customHeight="1" x14ac:dyDescent="0.15">
      <c r="FB647" s="53"/>
      <c r="FC647" s="54"/>
      <c r="FD647" s="54"/>
      <c r="FE647" s="54"/>
      <c r="FF647" s="54"/>
      <c r="FG647" s="54"/>
      <c r="FH647" s="54"/>
      <c r="FI647" s="54"/>
    </row>
    <row r="648" spans="158:165" ht="15" customHeight="1" x14ac:dyDescent="0.15">
      <c r="FB648" s="53"/>
      <c r="FC648" s="54"/>
      <c r="FD648" s="54"/>
      <c r="FE648" s="54"/>
      <c r="FF648" s="54"/>
      <c r="FG648" s="54"/>
      <c r="FH648" s="54"/>
      <c r="FI648" s="54"/>
    </row>
    <row r="649" spans="158:165" ht="15" customHeight="1" x14ac:dyDescent="0.15">
      <c r="FB649" s="53"/>
      <c r="FC649" s="54"/>
      <c r="FD649" s="54"/>
      <c r="FE649" s="54"/>
      <c r="FF649" s="54"/>
      <c r="FG649" s="54"/>
      <c r="FH649" s="54"/>
      <c r="FI649" s="54"/>
    </row>
    <row r="650" spans="158:165" ht="15" customHeight="1" x14ac:dyDescent="0.15">
      <c r="FB650" s="53"/>
      <c r="FC650" s="54"/>
      <c r="FD650" s="54"/>
      <c r="FE650" s="54"/>
      <c r="FF650" s="54"/>
      <c r="FG650" s="54"/>
      <c r="FH650" s="54"/>
      <c r="FI650" s="54"/>
    </row>
    <row r="651" spans="158:165" ht="15" customHeight="1" x14ac:dyDescent="0.15">
      <c r="FB651" s="53"/>
      <c r="FC651" s="54"/>
      <c r="FD651" s="54"/>
      <c r="FE651" s="54"/>
      <c r="FF651" s="54"/>
      <c r="FG651" s="54"/>
      <c r="FH651" s="54"/>
      <c r="FI651" s="54"/>
    </row>
    <row r="652" spans="158:165" ht="15" customHeight="1" x14ac:dyDescent="0.15">
      <c r="FB652" s="53"/>
      <c r="FC652" s="54"/>
      <c r="FD652" s="54"/>
      <c r="FE652" s="54"/>
      <c r="FF652" s="54"/>
      <c r="FG652" s="54"/>
      <c r="FH652" s="54"/>
      <c r="FI652" s="54"/>
    </row>
    <row r="653" spans="158:165" ht="15" customHeight="1" x14ac:dyDescent="0.15">
      <c r="FB653" s="53"/>
      <c r="FC653" s="54"/>
      <c r="FD653" s="54"/>
      <c r="FE653" s="54"/>
      <c r="FF653" s="54"/>
      <c r="FG653" s="54"/>
      <c r="FH653" s="54"/>
      <c r="FI653" s="54"/>
    </row>
    <row r="654" spans="158:165" ht="15" customHeight="1" x14ac:dyDescent="0.15">
      <c r="FB654" s="53"/>
      <c r="FC654" s="53"/>
      <c r="FD654" s="53"/>
      <c r="FE654" s="53"/>
      <c r="FF654" s="53"/>
      <c r="FG654" s="53"/>
      <c r="FH654" s="53"/>
      <c r="FI654" s="53"/>
    </row>
  </sheetData>
  <mergeCells count="301"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8:S38"/>
    <mergeCell ref="T38:W38"/>
    <mergeCell ref="X38:Z38"/>
    <mergeCell ref="AA38:AE38"/>
    <mergeCell ref="AF38:AL38"/>
    <mergeCell ref="AM38:AS38"/>
    <mergeCell ref="B37:S37"/>
    <mergeCell ref="T37:W37"/>
    <mergeCell ref="X37:Z37"/>
    <mergeCell ref="AA37:AE37"/>
    <mergeCell ref="AF37:AL37"/>
    <mergeCell ref="AM37:AS37"/>
    <mergeCell ref="B40:S40"/>
    <mergeCell ref="T40:W40"/>
    <mergeCell ref="X40:Z40"/>
    <mergeCell ref="AA40:AE40"/>
    <mergeCell ref="AF40:AL40"/>
    <mergeCell ref="AM40:AS40"/>
    <mergeCell ref="B39:S39"/>
    <mergeCell ref="T39:W39"/>
    <mergeCell ref="X39:Z39"/>
    <mergeCell ref="AA39:AE39"/>
    <mergeCell ref="AF39:AL39"/>
    <mergeCell ref="AM39:AS39"/>
    <mergeCell ref="B42:S42"/>
    <mergeCell ref="T42:W42"/>
    <mergeCell ref="X42:Z42"/>
    <mergeCell ref="AA42:AE42"/>
    <mergeCell ref="AF42:AL42"/>
    <mergeCell ref="AM42:AS42"/>
    <mergeCell ref="B41:S41"/>
    <mergeCell ref="T41:W41"/>
    <mergeCell ref="X41:Z41"/>
    <mergeCell ref="AA41:AE41"/>
    <mergeCell ref="AF41:AL41"/>
    <mergeCell ref="AM41:AS41"/>
    <mergeCell ref="B44:S44"/>
    <mergeCell ref="T44:W44"/>
    <mergeCell ref="X44:Z44"/>
    <mergeCell ref="AA44:AE44"/>
    <mergeCell ref="AF44:AL44"/>
    <mergeCell ref="AM44:AS44"/>
    <mergeCell ref="B43:S43"/>
    <mergeCell ref="T43:W43"/>
    <mergeCell ref="X43:Z43"/>
    <mergeCell ref="AA43:AE43"/>
    <mergeCell ref="AF43:AL43"/>
    <mergeCell ref="AM43:AS43"/>
    <mergeCell ref="B46:S46"/>
    <mergeCell ref="T46:W46"/>
    <mergeCell ref="X46:Z46"/>
    <mergeCell ref="AA46:AE46"/>
    <mergeCell ref="AF46:AL46"/>
    <mergeCell ref="AM46:AS46"/>
    <mergeCell ref="B45:S45"/>
    <mergeCell ref="T45:W45"/>
    <mergeCell ref="X45:Z45"/>
    <mergeCell ref="AA45:AE45"/>
    <mergeCell ref="AF45:AL45"/>
    <mergeCell ref="AM45:AS45"/>
    <mergeCell ref="B48:S48"/>
    <mergeCell ref="T48:W48"/>
    <mergeCell ref="X48:Z48"/>
    <mergeCell ref="AA48:AE48"/>
    <mergeCell ref="AF48:AL48"/>
    <mergeCell ref="AM48:AS48"/>
    <mergeCell ref="B47:S47"/>
    <mergeCell ref="T47:W47"/>
    <mergeCell ref="X47:Z47"/>
    <mergeCell ref="AA47:AE47"/>
    <mergeCell ref="AF47:AL47"/>
    <mergeCell ref="AM47:AS47"/>
    <mergeCell ref="B50:G50"/>
    <mergeCell ref="H50:S50"/>
    <mergeCell ref="T50:Z50"/>
    <mergeCell ref="AA50:AL50"/>
    <mergeCell ref="AM50:AS50"/>
    <mergeCell ref="B51:G51"/>
    <mergeCell ref="H51:AL51"/>
    <mergeCell ref="AM51:AS51"/>
    <mergeCell ref="B49:S49"/>
    <mergeCell ref="T49:W49"/>
    <mergeCell ref="X49:Z49"/>
    <mergeCell ref="AA49:AE49"/>
    <mergeCell ref="AF49:AL49"/>
    <mergeCell ref="AM49:AS49"/>
    <mergeCell ref="N57:O57"/>
    <mergeCell ref="P57:V57"/>
    <mergeCell ref="AB57:AC57"/>
    <mergeCell ref="N58:O58"/>
    <mergeCell ref="P58:V58"/>
    <mergeCell ref="N59:O59"/>
    <mergeCell ref="P59:V59"/>
    <mergeCell ref="AA59:AE59"/>
    <mergeCell ref="B52:D52"/>
    <mergeCell ref="E52:AS52"/>
    <mergeCell ref="B53:AS53"/>
    <mergeCell ref="B54:AS54"/>
    <mergeCell ref="N56:V56"/>
    <mergeCell ref="AB56:AD56"/>
    <mergeCell ref="N62:O62"/>
    <mergeCell ref="P62:V62"/>
    <mergeCell ref="N63:O63"/>
    <mergeCell ref="P63:V63"/>
    <mergeCell ref="AA63:AI63"/>
    <mergeCell ref="AJ63:AP63"/>
    <mergeCell ref="N60:O60"/>
    <mergeCell ref="P60:V60"/>
    <mergeCell ref="AB60:AD60"/>
    <mergeCell ref="N61:O61"/>
    <mergeCell ref="P61:V61"/>
    <mergeCell ref="AB61:AD61"/>
    <mergeCell ref="N64:O64"/>
    <mergeCell ref="P64:V64"/>
    <mergeCell ref="AB64:AI64"/>
    <mergeCell ref="AJ64:AP64"/>
    <mergeCell ref="AW64:BH64"/>
    <mergeCell ref="N65:O65"/>
    <mergeCell ref="P65:V65"/>
    <mergeCell ref="AB65:AI65"/>
    <mergeCell ref="AJ65:AP65"/>
    <mergeCell ref="AW65:BH65"/>
    <mergeCell ref="N68:O68"/>
    <mergeCell ref="P68:V68"/>
    <mergeCell ref="AB68:AI68"/>
    <mergeCell ref="AJ68:AP68"/>
    <mergeCell ref="AW68:BH68"/>
    <mergeCell ref="AW69:BH69"/>
    <mergeCell ref="N66:O66"/>
    <mergeCell ref="P66:V66"/>
    <mergeCell ref="AB66:AI66"/>
    <mergeCell ref="AJ66:AP66"/>
    <mergeCell ref="AW66:BH66"/>
    <mergeCell ref="N67:O67"/>
    <mergeCell ref="P67:V67"/>
    <mergeCell ref="AB67:AI67"/>
    <mergeCell ref="AJ67:AP67"/>
    <mergeCell ref="AW67:BH67"/>
    <mergeCell ref="CI116:CJ116"/>
    <mergeCell ref="CK116:CQ116"/>
    <mergeCell ref="CW116:CX116"/>
    <mergeCell ref="DM116:DR116"/>
    <mergeCell ref="CI117:CJ117"/>
    <mergeCell ref="CK117:CQ117"/>
    <mergeCell ref="N72:Q72"/>
    <mergeCell ref="R72:AP72"/>
    <mergeCell ref="AR72:AS72"/>
    <mergeCell ref="CI115:CQ115"/>
    <mergeCell ref="CW115:CY115"/>
    <mergeCell ref="DM115:DR115"/>
    <mergeCell ref="CI120:CJ120"/>
    <mergeCell ref="CK120:CQ120"/>
    <mergeCell ref="CW120:CY120"/>
    <mergeCell ref="DM120:DR120"/>
    <mergeCell ref="CI121:CJ121"/>
    <mergeCell ref="CK121:CQ121"/>
    <mergeCell ref="DM121:DR121"/>
    <mergeCell ref="CI118:CJ118"/>
    <mergeCell ref="CK118:CQ118"/>
    <mergeCell ref="CV118:CZ118"/>
    <mergeCell ref="DM118:DR118"/>
    <mergeCell ref="CI119:CJ119"/>
    <mergeCell ref="CK119:CQ119"/>
    <mergeCell ref="CW119:CY119"/>
    <mergeCell ref="DM119:DR119"/>
    <mergeCell ref="CI122:CJ122"/>
    <mergeCell ref="CK122:CQ122"/>
    <mergeCell ref="CV122:DD122"/>
    <mergeCell ref="DE122:DK122"/>
    <mergeCell ref="DR122:EC122"/>
    <mergeCell ref="CI123:CJ123"/>
    <mergeCell ref="CK123:CQ123"/>
    <mergeCell ref="CW123:DD123"/>
    <mergeCell ref="DE123:DK123"/>
    <mergeCell ref="DR123:EC123"/>
    <mergeCell ref="CI124:CJ124"/>
    <mergeCell ref="CK124:CQ124"/>
    <mergeCell ref="CW124:DD124"/>
    <mergeCell ref="DE124:DK124"/>
    <mergeCell ref="DR124:EC124"/>
    <mergeCell ref="CI125:CJ125"/>
    <mergeCell ref="CK125:CQ125"/>
    <mergeCell ref="CW125:DD125"/>
    <mergeCell ref="DE125:DK125"/>
    <mergeCell ref="DR125:EC125"/>
    <mergeCell ref="CI131:CL131"/>
    <mergeCell ref="CM131:DK131"/>
    <mergeCell ref="DM131:DN131"/>
    <mergeCell ref="DO131:DU131"/>
    <mergeCell ref="CI132:CL132"/>
    <mergeCell ref="CM132:DK132"/>
    <mergeCell ref="CI126:CJ126"/>
    <mergeCell ref="CK126:CQ126"/>
    <mergeCell ref="CW126:DD126"/>
    <mergeCell ref="DE126:DK126"/>
    <mergeCell ref="DR126:EC126"/>
    <mergeCell ref="CI127:CJ127"/>
    <mergeCell ref="CK127:CQ127"/>
    <mergeCell ref="CW127:DD127"/>
    <mergeCell ref="DE127:DK127"/>
    <mergeCell ref="DR127:EC127"/>
  </mergeCells>
  <phoneticPr fontId="3"/>
  <dataValidations count="24">
    <dataValidation imeMode="hiragana" allowBlank="1" showInputMessage="1" showErrorMessage="1" prompt="取引方法を入力_x000a_例：従来通り" sqref="I15:T15" xr:uid="{F15613CD-6338-489B-A841-CC93D2762F8D}"/>
    <dataValidation allowBlank="1" showInputMessage="1" showErrorMessage="1" promptTitle="明細書01の状態" prompt="明細書01が表示されているときは 0_x000a_明細書01が非表示のときは 1" sqref="CE119" xr:uid="{B3AD02C3-92F1-43F9-9166-731F1787A537}"/>
    <dataValidation allowBlank="1" showInputMessage="1" showErrorMessage="1" promptTitle="シート数を入力" prompt="明細書が出ていない状態でシート枚数を表示" sqref="CE118" xr:uid="{485929BF-1654-4E82-9A38-F40CBA676C1E}"/>
    <dataValidation type="list" allowBlank="1" showInputMessage="1" showErrorMessage="1" sqref="DM116:DR116" xr:uid="{7EC0CA9E-E82C-44D9-9D7C-7A12265DA823}">
      <formula1>$EM$114:$EM$115</formula1>
    </dataValidation>
    <dataValidation type="list" allowBlank="1" showInputMessage="1" showErrorMessage="1" sqref="T7:V8" xr:uid="{7349891D-3DBC-4BA4-A985-C457A171613D}">
      <formula1>$CE$121:$CE$123</formula1>
    </dataValidation>
    <dataValidation type="list" imeMode="hiragana" allowBlank="1" showInputMessage="1" showErrorMessage="1" prompt="ボタンを押し単位を入力" sqref="X38:Z49" xr:uid="{2FB984FE-3846-4E33-AF3A-B4C09A36653C}">
      <formula1>$CS$116:$CS$128</formula1>
    </dataValidation>
    <dataValidation type="list" allowBlank="1" showInputMessage="1" showErrorMessage="1" sqref="AA2:AJ3" xr:uid="{7D49D246-E4CC-4AE1-AAB0-20D190A7029A}">
      <formula1>$DD$116:$DD$120</formula1>
    </dataValidation>
    <dataValidation imeMode="hiragana" allowBlank="1" showInputMessage="1" showErrorMessage="1" prompt="備考があれば入力" sqref="AM26:AM49 AN47:AS49 AN35:AS37" xr:uid="{9628DA43-2B50-4F56-B442-A3693D0E6068}"/>
    <dataValidation imeMode="off" allowBlank="1" showInputMessage="1" showErrorMessage="1" prompt="単価を入力" sqref="AA26:AE49" xr:uid="{029FE636-5ED4-4414-B8C3-84468813DB0C}"/>
    <dataValidation imeMode="off" allowBlank="1" showInputMessage="1" showErrorMessage="1" prompt="数量を入力" sqref="T26:W49" xr:uid="{2350C8D8-89AB-4626-9572-E754539F0339}"/>
    <dataValidation imeMode="hiragana" allowBlank="1" showInputMessage="1" showErrorMessage="1" prompt="品名を入力" sqref="B26:S49" xr:uid="{1C450349-6844-468B-A0B1-15D3E8239D31}"/>
    <dataValidation imeMode="hiragana" allowBlank="1" showInputMessage="1" showErrorMessage="1" prompt="担当者を入力" sqref="AF17:AL17" xr:uid="{BDE9898D-C773-4B6A-8E70-962EA107B67D}"/>
    <dataValidation imeMode="hiragana" allowBlank="1" showInputMessage="1" showErrorMessage="1" prompt="受渡場所を入力_x000a_例：貴社指定場所" sqref="H13:T13" xr:uid="{15D26811-B95E-45E8-8E1B-E3F8F43EEA3A}"/>
    <dataValidation imeMode="off" allowBlank="1" showInputMessage="1" showErrorMessage="1" prompt="年を入力" sqref="J17:L17" xr:uid="{02D38350-4A4F-4162-A264-ACD57B4D276C}"/>
    <dataValidation imeMode="hiragana" allowBlank="1" showInputMessage="1" showErrorMessage="1" sqref="AB9:AS9 B53:AS54 E52:AS52" xr:uid="{93E3E5E8-6042-4A7C-A19C-C23782BD0EF4}"/>
    <dataValidation allowBlank="1" showInputMessage="1" showErrorMessage="1" prompt="見積書NOを入力" sqref="AN3:AR3" xr:uid="{FD2CCCFD-22C9-4FEB-BFC1-2EDC2083F549}"/>
    <dataValidation imeMode="hiragana" allowBlank="1" showInputMessage="1" showErrorMessage="1" prompt="お客様名を入力" sqref="D7:S8" xr:uid="{95402519-07C4-40F0-BE81-7BD8959FE493}"/>
    <dataValidation imeMode="hiragana" allowBlank="1" showInputMessage="1" showErrorMessage="1" prompt="お客様の住所でビル名番地など入力" sqref="D5:R5" xr:uid="{441777B2-DC27-45C9-809A-0D9E1EFF9551}"/>
    <dataValidation imeMode="hiragana" allowBlank="1" showInputMessage="1" showErrorMessage="1" prompt="お客様の住所を入力" sqref="D4" xr:uid="{E4793149-28FD-45EF-9F87-7FB07BC4CAA7}"/>
    <dataValidation imeMode="off" allowBlank="1" showInputMessage="1" showErrorMessage="1" prompt="お客様の郵便番号を入力" sqref="E3:H3" xr:uid="{8F51CF1B-AE1D-4545-9EF6-77AB1598B2CD}"/>
    <dataValidation imeMode="off" allowBlank="1" showInputMessage="1" showErrorMessage="1" prompt="日を入力" sqref="AP6:AQ6 Q17:R17" xr:uid="{F27F123F-8E5E-4258-A954-B0F9D397C7A2}"/>
    <dataValidation imeMode="off" allowBlank="1" showInputMessage="1" showErrorMessage="1" prompt="月を入力" sqref="AM6:AN6 N17:O17" xr:uid="{37BC3637-9260-495F-AD6F-A18BC0832F53}"/>
    <dataValidation imeMode="off" allowBlank="1" showInputMessage="1" showErrorMessage="1" prompt="年を入力  西暦表示の場合、平成を消してください" sqref="AI6:AK6" xr:uid="{B0F76E7D-74D6-489D-9393-BD9C2083F4E6}"/>
    <dataValidation type="list" imeMode="hiragana" allowBlank="1" showInputMessage="1" showErrorMessage="1" prompt="ボタンを押し単位を入力" sqref="X26:Z37" xr:uid="{AA9325B2-1C48-47AA-AC92-DE831889844B}">
      <formula1>$CS$104:$CS$116</formula1>
    </dataValidation>
  </dataValidations>
  <printOptions horizontalCentered="1" verticalCentered="1"/>
  <pageMargins left="0.43307086614173229" right="0.47244094488188981" top="0.39370078740157483" bottom="0.47244094488188981" header="0.39370078740157483" footer="0.31496062992125984"/>
  <pageSetup paperSize="9" scale="91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110</xdr:row>
                    <xdr:rowOff>66675</xdr:rowOff>
                  </from>
                  <to>
                    <xdr:col>82</xdr:col>
                    <xdr:colOff>57150</xdr:colOff>
                    <xdr:row>111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412</xdr:row>
                    <xdr:rowOff>104775</xdr:rowOff>
                  </from>
                  <to>
                    <xdr:col>156</xdr:col>
                    <xdr:colOff>38100</xdr:colOff>
                    <xdr:row>413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415</xdr:row>
                    <xdr:rowOff>104775</xdr:rowOff>
                  </from>
                  <to>
                    <xdr:col>156</xdr:col>
                    <xdr:colOff>38100</xdr:colOff>
                    <xdr:row>416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414</xdr:row>
                    <xdr:rowOff>19050</xdr:rowOff>
                  </from>
                  <to>
                    <xdr:col>156</xdr:col>
                    <xdr:colOff>38100</xdr:colOff>
                    <xdr:row>415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411</xdr:row>
                    <xdr:rowOff>0</xdr:rowOff>
                  </from>
                  <to>
                    <xdr:col>156</xdr:col>
                    <xdr:colOff>38100</xdr:colOff>
                    <xdr:row>412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110</xdr:row>
                    <xdr:rowOff>66675</xdr:rowOff>
                  </from>
                  <to>
                    <xdr:col>88</xdr:col>
                    <xdr:colOff>133350</xdr:colOff>
                    <xdr:row>111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130</xdr:row>
                    <xdr:rowOff>9525</xdr:rowOff>
                  </from>
                  <to>
                    <xdr:col>115</xdr:col>
                    <xdr:colOff>447675</xdr:colOff>
                    <xdr:row>130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131</xdr:row>
                    <xdr:rowOff>19050</xdr:rowOff>
                  </from>
                  <to>
                    <xdr:col>115</xdr:col>
                    <xdr:colOff>447675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110</xdr:row>
                    <xdr:rowOff>57150</xdr:rowOff>
                  </from>
                  <to>
                    <xdr:col>91</xdr:col>
                    <xdr:colOff>142875</xdr:colOff>
                    <xdr:row>111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110</xdr:row>
                    <xdr:rowOff>57150</xdr:rowOff>
                  </from>
                  <to>
                    <xdr:col>97</xdr:col>
                    <xdr:colOff>85725</xdr:colOff>
                    <xdr:row>111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12" activePane="bottomRight" state="frozen"/>
      <selection pane="topRight" activeCell="U30" sqref="U30:AA30"/>
      <selection pane="bottomLeft" activeCell="U30" sqref="U30:AA30"/>
      <selection pane="bottomRight" activeCell="AB27" sqref="AB27:AF2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1" t="s">
        <v>132</v>
      </c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AL3" s="5" t="s">
        <v>3</v>
      </c>
      <c r="AM3" s="5"/>
      <c r="AN3" s="224"/>
      <c r="AO3" s="224"/>
      <c r="AP3" s="224"/>
      <c r="AQ3" s="224"/>
      <c r="AR3" s="224"/>
      <c r="AS3" s="74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8" t="s">
        <v>133</v>
      </c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60"/>
      <c r="U5" s="150" t="s">
        <v>26</v>
      </c>
      <c r="V5" s="151"/>
      <c r="W5" s="151"/>
      <c r="X5" s="151"/>
      <c r="Y5" s="151"/>
      <c r="Z5" s="151"/>
      <c r="AA5" s="156"/>
      <c r="AB5" s="150" t="s">
        <v>134</v>
      </c>
      <c r="AC5" s="151"/>
      <c r="AD5" s="151"/>
      <c r="AE5" s="151"/>
      <c r="AF5" s="151"/>
      <c r="AG5" s="150" t="s">
        <v>28</v>
      </c>
      <c r="AH5" s="151"/>
      <c r="AI5" s="151"/>
      <c r="AJ5" s="151"/>
      <c r="AK5" s="151"/>
      <c r="AL5" s="151"/>
      <c r="AM5" s="156"/>
      <c r="AN5" s="150" t="s">
        <v>29</v>
      </c>
      <c r="AO5" s="151"/>
      <c r="AP5" s="151"/>
      <c r="AQ5" s="151"/>
      <c r="AR5" s="151"/>
      <c r="AS5" s="151"/>
      <c r="AT5" s="154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1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3"/>
      <c r="U6" s="152"/>
      <c r="V6" s="153"/>
      <c r="W6" s="153"/>
      <c r="X6" s="153"/>
      <c r="Y6" s="153"/>
      <c r="Z6" s="153"/>
      <c r="AA6" s="157"/>
      <c r="AB6" s="152"/>
      <c r="AC6" s="153"/>
      <c r="AD6" s="153"/>
      <c r="AE6" s="153"/>
      <c r="AF6" s="153"/>
      <c r="AG6" s="152"/>
      <c r="AH6" s="153"/>
      <c r="AI6" s="153"/>
      <c r="AJ6" s="153"/>
      <c r="AK6" s="153"/>
      <c r="AL6" s="153"/>
      <c r="AM6" s="157"/>
      <c r="AN6" s="152"/>
      <c r="AO6" s="153"/>
      <c r="AP6" s="153"/>
      <c r="AQ6" s="153"/>
      <c r="AR6" s="153"/>
      <c r="AS6" s="153"/>
      <c r="AT6" s="15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78"/>
      <c r="BM6" s="1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5" t="s">
        <v>135</v>
      </c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7"/>
      <c r="U7" s="84">
        <v>1</v>
      </c>
      <c r="V7" s="85"/>
      <c r="W7" s="85"/>
      <c r="X7" s="85"/>
      <c r="Y7" s="86" t="s">
        <v>136</v>
      </c>
      <c r="Z7" s="86"/>
      <c r="AA7" s="87"/>
      <c r="AB7" s="84">
        <v>13200</v>
      </c>
      <c r="AC7" s="85"/>
      <c r="AD7" s="85"/>
      <c r="AE7" s="85"/>
      <c r="AF7" s="88"/>
      <c r="AG7" s="84">
        <f>IF(U7="",1*AB7,U7*AB7)</f>
        <v>13200</v>
      </c>
      <c r="AH7" s="85"/>
      <c r="AI7" s="85"/>
      <c r="AJ7" s="85"/>
      <c r="AK7" s="85"/>
      <c r="AL7" s="85"/>
      <c r="AM7" s="88"/>
      <c r="AN7" s="218"/>
      <c r="AO7" s="219"/>
      <c r="AP7" s="219"/>
      <c r="AQ7" s="219"/>
      <c r="AR7" s="219"/>
      <c r="AS7" s="219"/>
      <c r="AT7" s="220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45"/>
      <c r="BM7" s="46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5" t="s">
        <v>137</v>
      </c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7"/>
      <c r="U8" s="84">
        <v>1</v>
      </c>
      <c r="V8" s="85"/>
      <c r="W8" s="85"/>
      <c r="X8" s="85"/>
      <c r="Y8" s="86" t="s">
        <v>136</v>
      </c>
      <c r="Z8" s="86"/>
      <c r="AA8" s="87"/>
      <c r="AB8" s="84">
        <v>10340</v>
      </c>
      <c r="AC8" s="85"/>
      <c r="AD8" s="85"/>
      <c r="AE8" s="85"/>
      <c r="AF8" s="88"/>
      <c r="AG8" s="84">
        <f t="shared" ref="AG8:AG29" si="0">IF(U8="",1*AB8,U8*AB8)</f>
        <v>10340</v>
      </c>
      <c r="AH8" s="85"/>
      <c r="AI8" s="85"/>
      <c r="AJ8" s="85"/>
      <c r="AK8" s="85"/>
      <c r="AL8" s="85"/>
      <c r="AM8" s="88"/>
      <c r="AN8" s="218"/>
      <c r="AO8" s="219"/>
      <c r="AP8" s="219"/>
      <c r="AQ8" s="219"/>
      <c r="AR8" s="219"/>
      <c r="AS8" s="219"/>
      <c r="AT8" s="220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45"/>
      <c r="BM8" s="46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5" t="s">
        <v>138</v>
      </c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7"/>
      <c r="U9" s="84">
        <v>1</v>
      </c>
      <c r="V9" s="85"/>
      <c r="W9" s="85"/>
      <c r="X9" s="85"/>
      <c r="Y9" s="86" t="s">
        <v>136</v>
      </c>
      <c r="Z9" s="86"/>
      <c r="AA9" s="87"/>
      <c r="AB9" s="84">
        <v>18400</v>
      </c>
      <c r="AC9" s="85"/>
      <c r="AD9" s="85"/>
      <c r="AE9" s="85"/>
      <c r="AF9" s="88"/>
      <c r="AG9" s="84">
        <f t="shared" si="0"/>
        <v>18400</v>
      </c>
      <c r="AH9" s="85"/>
      <c r="AI9" s="85"/>
      <c r="AJ9" s="85"/>
      <c r="AK9" s="85"/>
      <c r="AL9" s="85"/>
      <c r="AM9" s="88"/>
      <c r="AN9" s="218"/>
      <c r="AO9" s="219"/>
      <c r="AP9" s="219"/>
      <c r="AQ9" s="219"/>
      <c r="AR9" s="219"/>
      <c r="AS9" s="219"/>
      <c r="AT9" s="220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45"/>
      <c r="BM9" s="46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5" t="s">
        <v>139</v>
      </c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84">
        <v>1</v>
      </c>
      <c r="V10" s="85"/>
      <c r="W10" s="85"/>
      <c r="X10" s="85"/>
      <c r="Y10" s="86" t="s">
        <v>136</v>
      </c>
      <c r="Z10" s="86"/>
      <c r="AA10" s="87"/>
      <c r="AB10" s="84">
        <v>18400</v>
      </c>
      <c r="AC10" s="85"/>
      <c r="AD10" s="85"/>
      <c r="AE10" s="85"/>
      <c r="AF10" s="88"/>
      <c r="AG10" s="84">
        <f t="shared" si="0"/>
        <v>18400</v>
      </c>
      <c r="AH10" s="85"/>
      <c r="AI10" s="85"/>
      <c r="AJ10" s="85"/>
      <c r="AK10" s="85"/>
      <c r="AL10" s="85"/>
      <c r="AM10" s="88"/>
      <c r="AN10" s="218"/>
      <c r="AO10" s="219"/>
      <c r="AP10" s="219"/>
      <c r="AQ10" s="219"/>
      <c r="AR10" s="219"/>
      <c r="AS10" s="219"/>
      <c r="AT10" s="220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45"/>
      <c r="BM10" s="46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5" t="s">
        <v>140</v>
      </c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7"/>
      <c r="U11" s="84">
        <v>1</v>
      </c>
      <c r="V11" s="85"/>
      <c r="W11" s="85"/>
      <c r="X11" s="85"/>
      <c r="Y11" s="86" t="s">
        <v>136</v>
      </c>
      <c r="Z11" s="86"/>
      <c r="AA11" s="87"/>
      <c r="AB11" s="84">
        <v>3960</v>
      </c>
      <c r="AC11" s="85"/>
      <c r="AD11" s="85"/>
      <c r="AE11" s="85"/>
      <c r="AF11" s="88"/>
      <c r="AG11" s="84">
        <f t="shared" si="0"/>
        <v>3960</v>
      </c>
      <c r="AH11" s="85"/>
      <c r="AI11" s="85"/>
      <c r="AJ11" s="85"/>
      <c r="AK11" s="85"/>
      <c r="AL11" s="85"/>
      <c r="AM11" s="88"/>
      <c r="AN11" s="218"/>
      <c r="AO11" s="219"/>
      <c r="AP11" s="219"/>
      <c r="AQ11" s="219"/>
      <c r="AR11" s="219"/>
      <c r="AS11" s="219"/>
      <c r="AT11" s="220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45"/>
      <c r="BM11" s="46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5" t="s">
        <v>141</v>
      </c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7"/>
      <c r="U12" s="84">
        <v>10</v>
      </c>
      <c r="V12" s="85"/>
      <c r="W12" s="85"/>
      <c r="X12" s="85"/>
      <c r="Y12" s="86" t="s">
        <v>136</v>
      </c>
      <c r="Z12" s="86"/>
      <c r="AA12" s="87"/>
      <c r="AB12" s="84">
        <v>1200</v>
      </c>
      <c r="AC12" s="85"/>
      <c r="AD12" s="85"/>
      <c r="AE12" s="85"/>
      <c r="AF12" s="88"/>
      <c r="AG12" s="84">
        <f t="shared" si="0"/>
        <v>12000</v>
      </c>
      <c r="AH12" s="85"/>
      <c r="AI12" s="85"/>
      <c r="AJ12" s="85"/>
      <c r="AK12" s="85"/>
      <c r="AL12" s="85"/>
      <c r="AM12" s="88"/>
      <c r="AN12" s="218"/>
      <c r="AO12" s="219"/>
      <c r="AP12" s="219"/>
      <c r="AQ12" s="219"/>
      <c r="AR12" s="219"/>
      <c r="AS12" s="219"/>
      <c r="AT12" s="220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45"/>
      <c r="BM12" s="45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5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7"/>
      <c r="U13" s="84"/>
      <c r="V13" s="85"/>
      <c r="W13" s="85"/>
      <c r="X13" s="85"/>
      <c r="Y13" s="86"/>
      <c r="Z13" s="86"/>
      <c r="AA13" s="87"/>
      <c r="AB13" s="84"/>
      <c r="AC13" s="85"/>
      <c r="AD13" s="85"/>
      <c r="AE13" s="85"/>
      <c r="AF13" s="88"/>
      <c r="AG13" s="84">
        <f t="shared" si="0"/>
        <v>0</v>
      </c>
      <c r="AH13" s="85"/>
      <c r="AI13" s="85"/>
      <c r="AJ13" s="85"/>
      <c r="AK13" s="85"/>
      <c r="AL13" s="85"/>
      <c r="AM13" s="88"/>
      <c r="AN13" s="218"/>
      <c r="AO13" s="219"/>
      <c r="AP13" s="219"/>
      <c r="AQ13" s="219"/>
      <c r="AR13" s="219"/>
      <c r="AS13" s="219"/>
      <c r="AT13" s="22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45"/>
      <c r="BM13" s="45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5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7"/>
      <c r="U14" s="84"/>
      <c r="V14" s="85"/>
      <c r="W14" s="85"/>
      <c r="X14" s="85"/>
      <c r="Y14" s="86"/>
      <c r="Z14" s="86"/>
      <c r="AA14" s="87"/>
      <c r="AB14" s="84"/>
      <c r="AC14" s="85"/>
      <c r="AD14" s="85"/>
      <c r="AE14" s="85"/>
      <c r="AF14" s="88"/>
      <c r="AG14" s="84">
        <f t="shared" si="0"/>
        <v>0</v>
      </c>
      <c r="AH14" s="85"/>
      <c r="AI14" s="85"/>
      <c r="AJ14" s="85"/>
      <c r="AK14" s="85"/>
      <c r="AL14" s="85"/>
      <c r="AM14" s="88"/>
      <c r="AN14" s="218"/>
      <c r="AO14" s="219"/>
      <c r="AP14" s="219"/>
      <c r="AQ14" s="219"/>
      <c r="AR14" s="219"/>
      <c r="AS14" s="219"/>
      <c r="AT14" s="22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45"/>
      <c r="BM14" s="46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5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7"/>
      <c r="U15" s="84"/>
      <c r="V15" s="85"/>
      <c r="W15" s="85"/>
      <c r="X15" s="85"/>
      <c r="Y15" s="86"/>
      <c r="Z15" s="86"/>
      <c r="AA15" s="87"/>
      <c r="AB15" s="84"/>
      <c r="AC15" s="85"/>
      <c r="AD15" s="85"/>
      <c r="AE15" s="85"/>
      <c r="AF15" s="88"/>
      <c r="AG15" s="84">
        <f t="shared" si="0"/>
        <v>0</v>
      </c>
      <c r="AH15" s="85"/>
      <c r="AI15" s="85"/>
      <c r="AJ15" s="85"/>
      <c r="AK15" s="85"/>
      <c r="AL15" s="85"/>
      <c r="AM15" s="88"/>
      <c r="AN15" s="218"/>
      <c r="AO15" s="219"/>
      <c r="AP15" s="219"/>
      <c r="AQ15" s="219"/>
      <c r="AR15" s="219"/>
      <c r="AS15" s="219"/>
      <c r="AT15" s="22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45"/>
      <c r="BM15" s="46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5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7"/>
      <c r="U16" s="84"/>
      <c r="V16" s="85"/>
      <c r="W16" s="85"/>
      <c r="X16" s="85"/>
      <c r="Y16" s="86"/>
      <c r="Z16" s="86"/>
      <c r="AA16" s="87"/>
      <c r="AB16" s="84"/>
      <c r="AC16" s="85"/>
      <c r="AD16" s="85"/>
      <c r="AE16" s="85"/>
      <c r="AF16" s="88"/>
      <c r="AG16" s="84">
        <f t="shared" si="0"/>
        <v>0</v>
      </c>
      <c r="AH16" s="85"/>
      <c r="AI16" s="85"/>
      <c r="AJ16" s="85"/>
      <c r="AK16" s="85"/>
      <c r="AL16" s="85"/>
      <c r="AM16" s="88"/>
      <c r="AN16" s="218"/>
      <c r="AO16" s="219"/>
      <c r="AP16" s="219"/>
      <c r="AQ16" s="219"/>
      <c r="AR16" s="219"/>
      <c r="AS16" s="219"/>
      <c r="AT16" s="22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45"/>
      <c r="BM16" s="46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5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7"/>
      <c r="U17" s="84"/>
      <c r="V17" s="85"/>
      <c r="W17" s="85"/>
      <c r="X17" s="85"/>
      <c r="Y17" s="86"/>
      <c r="Z17" s="86"/>
      <c r="AA17" s="87"/>
      <c r="AB17" s="84"/>
      <c r="AC17" s="85"/>
      <c r="AD17" s="85"/>
      <c r="AE17" s="85"/>
      <c r="AF17" s="88"/>
      <c r="AG17" s="84">
        <f t="shared" si="0"/>
        <v>0</v>
      </c>
      <c r="AH17" s="85"/>
      <c r="AI17" s="85"/>
      <c r="AJ17" s="85"/>
      <c r="AK17" s="85"/>
      <c r="AL17" s="85"/>
      <c r="AM17" s="88"/>
      <c r="AN17" s="218"/>
      <c r="AO17" s="219"/>
      <c r="AP17" s="219"/>
      <c r="AQ17" s="219"/>
      <c r="AR17" s="219"/>
      <c r="AS17" s="219"/>
      <c r="AT17" s="22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45"/>
      <c r="BM17" s="46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5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7"/>
      <c r="U18" s="84"/>
      <c r="V18" s="85"/>
      <c r="W18" s="85"/>
      <c r="X18" s="85"/>
      <c r="Y18" s="86"/>
      <c r="Z18" s="86"/>
      <c r="AA18" s="87"/>
      <c r="AB18" s="84"/>
      <c r="AC18" s="85"/>
      <c r="AD18" s="85"/>
      <c r="AE18" s="85"/>
      <c r="AF18" s="88"/>
      <c r="AG18" s="84">
        <f t="shared" si="0"/>
        <v>0</v>
      </c>
      <c r="AH18" s="85"/>
      <c r="AI18" s="85"/>
      <c r="AJ18" s="85"/>
      <c r="AK18" s="85"/>
      <c r="AL18" s="85"/>
      <c r="AM18" s="88"/>
      <c r="AN18" s="218"/>
      <c r="AO18" s="219"/>
      <c r="AP18" s="219"/>
      <c r="AQ18" s="219"/>
      <c r="AR18" s="219"/>
      <c r="AS18" s="219"/>
      <c r="AT18" s="22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45"/>
      <c r="BM18" s="46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5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7"/>
      <c r="U19" s="84"/>
      <c r="V19" s="85"/>
      <c r="W19" s="85"/>
      <c r="X19" s="85"/>
      <c r="Y19" s="86"/>
      <c r="Z19" s="86"/>
      <c r="AA19" s="87"/>
      <c r="AB19" s="84"/>
      <c r="AC19" s="85"/>
      <c r="AD19" s="85"/>
      <c r="AE19" s="85"/>
      <c r="AF19" s="88"/>
      <c r="AG19" s="84">
        <f t="shared" si="0"/>
        <v>0</v>
      </c>
      <c r="AH19" s="85"/>
      <c r="AI19" s="85"/>
      <c r="AJ19" s="85"/>
      <c r="AK19" s="85"/>
      <c r="AL19" s="85"/>
      <c r="AM19" s="88"/>
      <c r="AN19" s="218"/>
      <c r="AO19" s="219"/>
      <c r="AP19" s="219"/>
      <c r="AQ19" s="219"/>
      <c r="AR19" s="219"/>
      <c r="AS19" s="219"/>
      <c r="AT19" s="22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45"/>
      <c r="BM19" s="46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81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7"/>
      <c r="U20" s="84"/>
      <c r="V20" s="85"/>
      <c r="W20" s="85"/>
      <c r="X20" s="85"/>
      <c r="Y20" s="86"/>
      <c r="Z20" s="86"/>
      <c r="AA20" s="87"/>
      <c r="AB20" s="84"/>
      <c r="AC20" s="85"/>
      <c r="AD20" s="85"/>
      <c r="AE20" s="85"/>
      <c r="AF20" s="88"/>
      <c r="AG20" s="84">
        <f t="shared" si="0"/>
        <v>0</v>
      </c>
      <c r="AH20" s="85"/>
      <c r="AI20" s="85"/>
      <c r="AJ20" s="85"/>
      <c r="AK20" s="85"/>
      <c r="AL20" s="85"/>
      <c r="AM20" s="88"/>
      <c r="AN20" s="218"/>
      <c r="AO20" s="219"/>
      <c r="AP20" s="219"/>
      <c r="AQ20" s="219"/>
      <c r="AR20" s="219"/>
      <c r="AS20" s="219"/>
      <c r="AT20" s="22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81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3"/>
      <c r="U21" s="84"/>
      <c r="V21" s="85"/>
      <c r="W21" s="85"/>
      <c r="X21" s="85"/>
      <c r="Y21" s="86"/>
      <c r="Z21" s="86"/>
      <c r="AA21" s="87"/>
      <c r="AB21" s="84"/>
      <c r="AC21" s="85"/>
      <c r="AD21" s="85"/>
      <c r="AE21" s="85"/>
      <c r="AF21" s="88"/>
      <c r="AG21" s="84">
        <f t="shared" si="0"/>
        <v>0</v>
      </c>
      <c r="AH21" s="85"/>
      <c r="AI21" s="85"/>
      <c r="AJ21" s="85"/>
      <c r="AK21" s="85"/>
      <c r="AL21" s="85"/>
      <c r="AM21" s="88"/>
      <c r="AN21" s="218"/>
      <c r="AO21" s="219"/>
      <c r="AP21" s="219"/>
      <c r="AQ21" s="219"/>
      <c r="AR21" s="219"/>
      <c r="AS21" s="219"/>
      <c r="AT21" s="22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8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3"/>
      <c r="U22" s="84"/>
      <c r="V22" s="85"/>
      <c r="W22" s="85"/>
      <c r="X22" s="85"/>
      <c r="Y22" s="86"/>
      <c r="Z22" s="86"/>
      <c r="AA22" s="87"/>
      <c r="AB22" s="84"/>
      <c r="AC22" s="85"/>
      <c r="AD22" s="85"/>
      <c r="AE22" s="85"/>
      <c r="AF22" s="88"/>
      <c r="AG22" s="84">
        <f t="shared" si="0"/>
        <v>0</v>
      </c>
      <c r="AH22" s="85"/>
      <c r="AI22" s="85"/>
      <c r="AJ22" s="85"/>
      <c r="AK22" s="85"/>
      <c r="AL22" s="85"/>
      <c r="AM22" s="88"/>
      <c r="AN22" s="218"/>
      <c r="AO22" s="219"/>
      <c r="AP22" s="219"/>
      <c r="AQ22" s="219"/>
      <c r="AR22" s="219"/>
      <c r="AS22" s="219"/>
      <c r="AT22" s="22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5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7"/>
      <c r="U23" s="84"/>
      <c r="V23" s="85"/>
      <c r="W23" s="85"/>
      <c r="X23" s="85"/>
      <c r="Y23" s="86"/>
      <c r="Z23" s="86"/>
      <c r="AA23" s="87"/>
      <c r="AB23" s="84"/>
      <c r="AC23" s="85"/>
      <c r="AD23" s="85"/>
      <c r="AE23" s="85"/>
      <c r="AF23" s="88"/>
      <c r="AG23" s="84">
        <f t="shared" si="0"/>
        <v>0</v>
      </c>
      <c r="AH23" s="85"/>
      <c r="AI23" s="85"/>
      <c r="AJ23" s="85"/>
      <c r="AK23" s="85"/>
      <c r="AL23" s="85"/>
      <c r="AM23" s="88"/>
      <c r="AN23" s="218"/>
      <c r="AO23" s="219"/>
      <c r="AP23" s="219"/>
      <c r="AQ23" s="219"/>
      <c r="AR23" s="219"/>
      <c r="AS23" s="219"/>
      <c r="AT23" s="22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5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7"/>
      <c r="U24" s="84"/>
      <c r="V24" s="85"/>
      <c r="W24" s="85"/>
      <c r="X24" s="85"/>
      <c r="Y24" s="86"/>
      <c r="Z24" s="86"/>
      <c r="AA24" s="87"/>
      <c r="AB24" s="84"/>
      <c r="AC24" s="85"/>
      <c r="AD24" s="85"/>
      <c r="AE24" s="85"/>
      <c r="AF24" s="88"/>
      <c r="AG24" s="84">
        <f t="shared" si="0"/>
        <v>0</v>
      </c>
      <c r="AH24" s="85"/>
      <c r="AI24" s="85"/>
      <c r="AJ24" s="85"/>
      <c r="AK24" s="85"/>
      <c r="AL24" s="85"/>
      <c r="AM24" s="88"/>
      <c r="AN24" s="218"/>
      <c r="AO24" s="219"/>
      <c r="AP24" s="219"/>
      <c r="AQ24" s="219"/>
      <c r="AR24" s="219"/>
      <c r="AS24" s="219"/>
      <c r="AT24" s="22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5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7"/>
      <c r="U25" s="84"/>
      <c r="V25" s="85"/>
      <c r="W25" s="85"/>
      <c r="X25" s="85"/>
      <c r="Y25" s="86"/>
      <c r="Z25" s="86"/>
      <c r="AA25" s="87"/>
      <c r="AB25" s="84"/>
      <c r="AC25" s="85"/>
      <c r="AD25" s="85"/>
      <c r="AE25" s="85"/>
      <c r="AF25" s="88"/>
      <c r="AG25" s="84">
        <f t="shared" si="0"/>
        <v>0</v>
      </c>
      <c r="AH25" s="85"/>
      <c r="AI25" s="85"/>
      <c r="AJ25" s="85"/>
      <c r="AK25" s="85"/>
      <c r="AL25" s="85"/>
      <c r="AM25" s="88"/>
      <c r="AN25" s="218"/>
      <c r="AO25" s="219"/>
      <c r="AP25" s="219"/>
      <c r="AQ25" s="219"/>
      <c r="AR25" s="219"/>
      <c r="AS25" s="219"/>
      <c r="AT25" s="22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5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7"/>
      <c r="U26" s="84"/>
      <c r="V26" s="85"/>
      <c r="W26" s="85"/>
      <c r="X26" s="85"/>
      <c r="Y26" s="86"/>
      <c r="Z26" s="86"/>
      <c r="AA26" s="87"/>
      <c r="AB26" s="84"/>
      <c r="AC26" s="85"/>
      <c r="AD26" s="85"/>
      <c r="AE26" s="85"/>
      <c r="AF26" s="88"/>
      <c r="AG26" s="84">
        <f t="shared" si="0"/>
        <v>0</v>
      </c>
      <c r="AH26" s="85"/>
      <c r="AI26" s="85"/>
      <c r="AJ26" s="85"/>
      <c r="AK26" s="85"/>
      <c r="AL26" s="85"/>
      <c r="AM26" s="88"/>
      <c r="AN26" s="218"/>
      <c r="AO26" s="219"/>
      <c r="AP26" s="219"/>
      <c r="AQ26" s="219"/>
      <c r="AR26" s="219"/>
      <c r="AS26" s="219"/>
      <c r="AT26" s="22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5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7"/>
      <c r="U27" s="84"/>
      <c r="V27" s="85"/>
      <c r="W27" s="85"/>
      <c r="X27" s="85"/>
      <c r="Y27" s="86"/>
      <c r="Z27" s="86"/>
      <c r="AA27" s="87"/>
      <c r="AB27" s="84"/>
      <c r="AC27" s="85"/>
      <c r="AD27" s="85"/>
      <c r="AE27" s="85"/>
      <c r="AF27" s="88"/>
      <c r="AG27" s="84">
        <f t="shared" si="0"/>
        <v>0</v>
      </c>
      <c r="AH27" s="85"/>
      <c r="AI27" s="85"/>
      <c r="AJ27" s="85"/>
      <c r="AK27" s="85"/>
      <c r="AL27" s="85"/>
      <c r="AM27" s="88"/>
      <c r="AN27" s="218"/>
      <c r="AO27" s="219"/>
      <c r="AP27" s="219"/>
      <c r="AQ27" s="219"/>
      <c r="AR27" s="219"/>
      <c r="AS27" s="219"/>
      <c r="AT27" s="22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5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7"/>
      <c r="U28" s="84"/>
      <c r="V28" s="85"/>
      <c r="W28" s="85"/>
      <c r="X28" s="85"/>
      <c r="Y28" s="86"/>
      <c r="Z28" s="86"/>
      <c r="AA28" s="87"/>
      <c r="AB28" s="84"/>
      <c r="AC28" s="85"/>
      <c r="AD28" s="85"/>
      <c r="AE28" s="85"/>
      <c r="AF28" s="88"/>
      <c r="AG28" s="84">
        <f t="shared" si="0"/>
        <v>0</v>
      </c>
      <c r="AH28" s="85"/>
      <c r="AI28" s="85"/>
      <c r="AJ28" s="85"/>
      <c r="AK28" s="85"/>
      <c r="AL28" s="85"/>
      <c r="AM28" s="88"/>
      <c r="AN28" s="218"/>
      <c r="AO28" s="219"/>
      <c r="AP28" s="219"/>
      <c r="AQ28" s="219"/>
      <c r="AR28" s="219"/>
      <c r="AS28" s="219"/>
      <c r="AT28" s="22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142</v>
      </c>
      <c r="C29" s="215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7"/>
      <c r="U29" s="84"/>
      <c r="V29" s="85"/>
      <c r="W29" s="85"/>
      <c r="X29" s="85"/>
      <c r="Y29" s="86"/>
      <c r="Z29" s="86"/>
      <c r="AA29" s="87"/>
      <c r="AB29" s="91"/>
      <c r="AC29" s="92"/>
      <c r="AD29" s="92"/>
      <c r="AE29" s="92"/>
      <c r="AF29" s="95"/>
      <c r="AG29" s="91">
        <f t="shared" si="0"/>
        <v>0</v>
      </c>
      <c r="AH29" s="92"/>
      <c r="AI29" s="92"/>
      <c r="AJ29" s="92"/>
      <c r="AK29" s="92"/>
      <c r="AL29" s="92"/>
      <c r="AM29" s="95"/>
      <c r="AN29" s="218"/>
      <c r="AO29" s="219"/>
      <c r="AP29" s="219"/>
      <c r="AQ29" s="219"/>
      <c r="AR29" s="219"/>
      <c r="AS29" s="219"/>
      <c r="AT29" s="220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205" t="s">
        <v>143</v>
      </c>
      <c r="V30" s="206"/>
      <c r="W30" s="206"/>
      <c r="X30" s="206"/>
      <c r="Y30" s="206"/>
      <c r="Z30" s="206"/>
      <c r="AA30" s="207"/>
      <c r="AB30" s="208">
        <f>SUM(AG7:AG29)</f>
        <v>76300</v>
      </c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10"/>
      <c r="AO30" s="211"/>
      <c r="AP30" s="211"/>
      <c r="AQ30" s="211"/>
      <c r="AR30" s="211"/>
      <c r="AS30" s="211"/>
      <c r="AT30" s="21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0" t="s">
        <v>59</v>
      </c>
      <c r="CT103" s="9"/>
    </row>
    <row r="104" spans="97:98" ht="13.5" customHeight="1" x14ac:dyDescent="0.15">
      <c r="CS104" s="49" t="str">
        <f>出張デモ1!CS116</f>
        <v>台</v>
      </c>
      <c r="CT104" s="13"/>
    </row>
    <row r="105" spans="97:98" ht="13.5" customHeight="1" x14ac:dyDescent="0.15">
      <c r="CS105" s="49" t="str">
        <f>出張デモ1!CS117</f>
        <v>個</v>
      </c>
      <c r="CT105" s="13"/>
    </row>
    <row r="106" spans="97:98" ht="13.5" customHeight="1" x14ac:dyDescent="0.15">
      <c r="CS106" s="49" t="str">
        <f>出張デモ1!CS118</f>
        <v>一式</v>
      </c>
      <c r="CT106" s="16"/>
    </row>
    <row r="107" spans="97:98" ht="13.5" customHeight="1" x14ac:dyDescent="0.15">
      <c r="CS107" s="49" t="str">
        <f>出張デモ1!CS119</f>
        <v>冊</v>
      </c>
      <c r="CT107" s="13"/>
    </row>
    <row r="108" spans="97:98" ht="13.5" customHeight="1" x14ac:dyDescent="0.15">
      <c r="CS108" s="49" t="str">
        <f>出張デモ1!CS120</f>
        <v>箱</v>
      </c>
      <c r="CT108" s="13"/>
    </row>
    <row r="109" spans="97:98" ht="13.5" customHeight="1" x14ac:dyDescent="0.15">
      <c r="CS109" s="49" t="str">
        <f>出張デモ1!CS121</f>
        <v>C/S</v>
      </c>
      <c r="CT109" s="15"/>
    </row>
    <row r="110" spans="97:98" ht="13.5" customHeight="1" x14ac:dyDescent="0.15">
      <c r="CS110" s="49" t="str">
        <f>出張デモ1!CS122</f>
        <v>SET</v>
      </c>
      <c r="CT110" s="15"/>
    </row>
    <row r="111" spans="97:98" ht="13.5" customHeight="1" x14ac:dyDescent="0.15">
      <c r="CS111" s="49" t="str">
        <f>出張デモ1!CS123</f>
        <v>本</v>
      </c>
      <c r="CT111" s="13"/>
    </row>
    <row r="112" spans="97:98" ht="13.5" customHeight="1" x14ac:dyDescent="0.15">
      <c r="CS112" s="49" t="str">
        <f>出張デモ1!CS124</f>
        <v>束</v>
      </c>
      <c r="CT112" s="13"/>
    </row>
    <row r="113" spans="87:125" ht="13.5" customHeight="1" x14ac:dyDescent="0.15">
      <c r="CS113" s="49" t="str">
        <f>出張デモ1!CS125</f>
        <v>枚</v>
      </c>
      <c r="CT113" s="13"/>
    </row>
    <row r="114" spans="87:125" ht="13.5" customHeight="1" x14ac:dyDescent="0.15">
      <c r="CS114" s="49" t="str">
        <f>出張デモ1!CS126</f>
        <v>ﾊﾟｯｸ</v>
      </c>
      <c r="CT114" s="16"/>
    </row>
    <row r="115" spans="87:125" ht="13.5" customHeight="1" x14ac:dyDescent="0.15">
      <c r="CS115" s="49" t="str">
        <f>出張デモ1!CS127</f>
        <v>ｷｯﾄ</v>
      </c>
      <c r="CT115" s="13"/>
    </row>
    <row r="116" spans="87:125" ht="13.5" customHeight="1" x14ac:dyDescent="0.15">
      <c r="CS116" s="49">
        <f>出張デモ1!CS128</f>
        <v>0</v>
      </c>
      <c r="CT116" s="13"/>
    </row>
    <row r="119" spans="87:125" ht="13.5" customHeight="1" x14ac:dyDescent="0.15">
      <c r="CI119" s="102" t="s">
        <v>112</v>
      </c>
      <c r="CJ119" s="102"/>
      <c r="CK119" s="102"/>
      <c r="CL119" s="102"/>
      <c r="CM119" s="213" t="str">
        <f>出張デモ1!CM131</f>
        <v>C:\Documents and Settings\sato\My Documents\シンプル見積書\</v>
      </c>
      <c r="CN119" s="214"/>
      <c r="CO119" s="214"/>
      <c r="CP119" s="214"/>
      <c r="CQ119" s="214"/>
      <c r="CR119" s="214"/>
      <c r="CS119" s="214"/>
      <c r="CT119" s="214"/>
      <c r="CU119" s="214"/>
      <c r="CV119" s="214"/>
      <c r="CW119" s="214"/>
      <c r="CX119" s="214"/>
      <c r="CY119" s="214"/>
      <c r="CZ119" s="214"/>
      <c r="DA119" s="214"/>
      <c r="DB119" s="214"/>
      <c r="DC119" s="214"/>
      <c r="DD119" s="214"/>
      <c r="DE119" s="214"/>
      <c r="DF119" s="214"/>
      <c r="DG119" s="214"/>
      <c r="DH119" s="214"/>
      <c r="DI119" s="214"/>
      <c r="DJ119" s="214"/>
      <c r="DK119" s="214"/>
      <c r="DO119" s="57" t="str">
        <f>出張デモ1!$DO$131</f>
        <v>マスタ 1.xls</v>
      </c>
      <c r="DP119" s="58"/>
      <c r="DQ119" s="58"/>
      <c r="DR119" s="58"/>
      <c r="DS119" s="58"/>
      <c r="DT119" s="58"/>
      <c r="DU119" s="59"/>
    </row>
    <row r="120" spans="87:125" ht="13.5" customHeight="1" x14ac:dyDescent="0.15">
      <c r="CI120" s="102" t="s">
        <v>144</v>
      </c>
      <c r="CJ120" s="102"/>
      <c r="CK120" s="102"/>
      <c r="CL120" s="102"/>
      <c r="CM120" s="213">
        <f>出張デモ1!CM132</f>
        <v>0</v>
      </c>
      <c r="CN120" s="214"/>
      <c r="CO120" s="214"/>
      <c r="CP120" s="214"/>
      <c r="CQ120" s="214"/>
      <c r="CR120" s="214"/>
      <c r="CS120" s="214"/>
      <c r="CT120" s="214"/>
      <c r="CU120" s="214"/>
      <c r="CV120" s="214"/>
      <c r="CW120" s="214"/>
      <c r="CX120" s="214"/>
      <c r="CY120" s="214"/>
      <c r="CZ120" s="214"/>
      <c r="DA120" s="214"/>
      <c r="DB120" s="214"/>
      <c r="DC120" s="214"/>
      <c r="DD120" s="214"/>
      <c r="DE120" s="214"/>
      <c r="DF120" s="214"/>
      <c r="DG120" s="214"/>
      <c r="DH120" s="214"/>
      <c r="DI120" s="214"/>
      <c r="DJ120" s="214"/>
      <c r="DK120" s="214"/>
    </row>
    <row r="178" spans="16:16" ht="13.5" customHeight="1" x14ac:dyDescent="0.15">
      <c r="P178" s="22">
        <f>出張デモ1!P189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3"/>
  <dataValidations count="5">
    <dataValidation type="list" imeMode="hiragana" allowBlank="1" showInputMessage="1" showErrorMessage="1" prompt="ボタンを押し単位を入力" sqref="Y7:AA29" xr:uid="{AF7D5CD8-36B2-44AB-AAC6-A4C63EFFA3C2}">
      <formula1>$CS$104:$CS$116</formula1>
    </dataValidation>
    <dataValidation imeMode="hiragana" allowBlank="1" showInputMessage="1" showErrorMessage="1" prompt="備考があれば入力" sqref="AN7:AT29" xr:uid="{00000000-0002-0000-0100-000001000000}"/>
    <dataValidation imeMode="off" allowBlank="1" showInputMessage="1" showErrorMessage="1" prompt="単価を入力" sqref="AB7:AF29" xr:uid="{AC45B850-A731-457B-A37A-1659D5481FC3}"/>
    <dataValidation imeMode="off" allowBlank="1" showInputMessage="1" showErrorMessage="1" prompt="数量を入力" sqref="U7:X29" xr:uid="{7B15A2A5-A647-405C-BB89-176B89B43535}"/>
    <dataValidation imeMode="hiragana" allowBlank="1" showInputMessage="1" showErrorMessage="1" prompt="品名を入力" sqref="D7:T7 D19:T19 C7:C29 D23:T29" xr:uid="{629D10B3-9A25-4A49-8B38-0FF6D3D5404F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78"/>
  <sheetViews>
    <sheetView showGridLines="0" showRowColHeaders="0" workbookViewId="0">
      <pane xSplit="1" ySplit="2" topLeftCell="B15" activePane="bottomRight" state="frozen"/>
      <selection pane="topRight" activeCell="U30" sqref="U30:AA30"/>
      <selection pane="bottomLeft" activeCell="U30" sqref="U30:AA30"/>
      <selection pane="bottomRight" activeCell="A17" sqref="A1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1" t="s">
        <v>145</v>
      </c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AL3" s="5" t="s">
        <v>3</v>
      </c>
      <c r="AM3" s="5"/>
      <c r="AN3" s="224"/>
      <c r="AO3" s="224"/>
      <c r="AP3" s="224"/>
      <c r="AQ3" s="224"/>
      <c r="AR3" s="224"/>
      <c r="AS3" s="74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8" t="s">
        <v>133</v>
      </c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60"/>
      <c r="U5" s="150" t="s">
        <v>26</v>
      </c>
      <c r="V5" s="151"/>
      <c r="W5" s="151"/>
      <c r="X5" s="151"/>
      <c r="Y5" s="151"/>
      <c r="Z5" s="151"/>
      <c r="AA5" s="156"/>
      <c r="AB5" s="150" t="s">
        <v>134</v>
      </c>
      <c r="AC5" s="151"/>
      <c r="AD5" s="151"/>
      <c r="AE5" s="151"/>
      <c r="AF5" s="151"/>
      <c r="AG5" s="150" t="s">
        <v>28</v>
      </c>
      <c r="AH5" s="151"/>
      <c r="AI5" s="151"/>
      <c r="AJ5" s="151"/>
      <c r="AK5" s="151"/>
      <c r="AL5" s="151"/>
      <c r="AM5" s="156"/>
      <c r="AN5" s="150" t="s">
        <v>29</v>
      </c>
      <c r="AO5" s="151"/>
      <c r="AP5" s="151"/>
      <c r="AQ5" s="151"/>
      <c r="AR5" s="151"/>
      <c r="AS5" s="151"/>
      <c r="AT5" s="154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1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3"/>
      <c r="U6" s="152"/>
      <c r="V6" s="153"/>
      <c r="W6" s="153"/>
      <c r="X6" s="153"/>
      <c r="Y6" s="153"/>
      <c r="Z6" s="153"/>
      <c r="AA6" s="157"/>
      <c r="AB6" s="152"/>
      <c r="AC6" s="153"/>
      <c r="AD6" s="153"/>
      <c r="AE6" s="153"/>
      <c r="AF6" s="153"/>
      <c r="AG6" s="152"/>
      <c r="AH6" s="153"/>
      <c r="AI6" s="153"/>
      <c r="AJ6" s="153"/>
      <c r="AK6" s="153"/>
      <c r="AL6" s="153"/>
      <c r="AM6" s="157"/>
      <c r="AN6" s="152"/>
      <c r="AO6" s="153"/>
      <c r="AP6" s="153"/>
      <c r="AQ6" s="153"/>
      <c r="AR6" s="153"/>
      <c r="AS6" s="153"/>
      <c r="AT6" s="15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78"/>
      <c r="BM6" s="1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5" t="s">
        <v>146</v>
      </c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7"/>
      <c r="U7" s="84">
        <v>1</v>
      </c>
      <c r="V7" s="85"/>
      <c r="W7" s="85"/>
      <c r="X7" s="85"/>
      <c r="Y7" s="86" t="s">
        <v>147</v>
      </c>
      <c r="Z7" s="86"/>
      <c r="AA7" s="87"/>
      <c r="AB7" s="84"/>
      <c r="AC7" s="85"/>
      <c r="AD7" s="85"/>
      <c r="AE7" s="85"/>
      <c r="AF7" s="88"/>
      <c r="AG7" s="84">
        <f>IF(U7="",1*AB7,U7*AB7)</f>
        <v>0</v>
      </c>
      <c r="AH7" s="85"/>
      <c r="AI7" s="85"/>
      <c r="AJ7" s="85"/>
      <c r="AK7" s="85"/>
      <c r="AL7" s="85"/>
      <c r="AM7" s="88"/>
      <c r="AN7" s="218"/>
      <c r="AO7" s="219"/>
      <c r="AP7" s="219"/>
      <c r="AQ7" s="219"/>
      <c r="AR7" s="219"/>
      <c r="AS7" s="219"/>
      <c r="AT7" s="220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45"/>
      <c r="BM7" s="46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5" t="s">
        <v>148</v>
      </c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7"/>
      <c r="U8" s="84">
        <v>1</v>
      </c>
      <c r="V8" s="85"/>
      <c r="W8" s="85"/>
      <c r="X8" s="85"/>
      <c r="Y8" s="86" t="s">
        <v>147</v>
      </c>
      <c r="Z8" s="86"/>
      <c r="AA8" s="87"/>
      <c r="AB8" s="84"/>
      <c r="AC8" s="85"/>
      <c r="AD8" s="85"/>
      <c r="AE8" s="85"/>
      <c r="AF8" s="88"/>
      <c r="AG8" s="84">
        <f t="shared" ref="AG8:AG29" si="0">IF(U8="",1*AB8,U8*AB8)</f>
        <v>0</v>
      </c>
      <c r="AH8" s="85"/>
      <c r="AI8" s="85"/>
      <c r="AJ8" s="85"/>
      <c r="AK8" s="85"/>
      <c r="AL8" s="85"/>
      <c r="AM8" s="88"/>
      <c r="AN8" s="218"/>
      <c r="AO8" s="219"/>
      <c r="AP8" s="219"/>
      <c r="AQ8" s="219"/>
      <c r="AR8" s="219"/>
      <c r="AS8" s="219"/>
      <c r="AT8" s="220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45"/>
      <c r="BM8" s="46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5" t="s">
        <v>149</v>
      </c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7"/>
      <c r="U9" s="84">
        <v>1</v>
      </c>
      <c r="V9" s="85"/>
      <c r="W9" s="85"/>
      <c r="X9" s="85"/>
      <c r="Y9" s="86" t="s">
        <v>147</v>
      </c>
      <c r="Z9" s="86"/>
      <c r="AA9" s="87"/>
      <c r="AB9" s="84"/>
      <c r="AC9" s="85"/>
      <c r="AD9" s="85"/>
      <c r="AE9" s="85"/>
      <c r="AF9" s="88"/>
      <c r="AG9" s="84"/>
      <c r="AH9" s="85"/>
      <c r="AI9" s="85"/>
      <c r="AJ9" s="85"/>
      <c r="AK9" s="85"/>
      <c r="AL9" s="85"/>
      <c r="AM9" s="88"/>
      <c r="AN9" s="218"/>
      <c r="AO9" s="219"/>
      <c r="AP9" s="219"/>
      <c r="AQ9" s="219"/>
      <c r="AR9" s="219"/>
      <c r="AS9" s="219"/>
      <c r="AT9" s="220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45"/>
      <c r="BM9" s="46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5" t="s">
        <v>150</v>
      </c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84">
        <v>1</v>
      </c>
      <c r="V10" s="85"/>
      <c r="W10" s="85"/>
      <c r="X10" s="85"/>
      <c r="Y10" s="86" t="s">
        <v>147</v>
      </c>
      <c r="Z10" s="86"/>
      <c r="AA10" s="87"/>
      <c r="AB10" s="84"/>
      <c r="AC10" s="85"/>
      <c r="AD10" s="85"/>
      <c r="AE10" s="85"/>
      <c r="AF10" s="88"/>
      <c r="AG10" s="84">
        <f t="shared" si="0"/>
        <v>0</v>
      </c>
      <c r="AH10" s="85"/>
      <c r="AI10" s="85"/>
      <c r="AJ10" s="85"/>
      <c r="AK10" s="85"/>
      <c r="AL10" s="85"/>
      <c r="AM10" s="88"/>
      <c r="AN10" s="218"/>
      <c r="AO10" s="219"/>
      <c r="AP10" s="219"/>
      <c r="AQ10" s="219"/>
      <c r="AR10" s="219"/>
      <c r="AS10" s="219"/>
      <c r="AT10" s="220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45"/>
      <c r="BM10" s="46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5" t="s">
        <v>151</v>
      </c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7"/>
      <c r="U11" s="84">
        <v>1</v>
      </c>
      <c r="V11" s="85"/>
      <c r="W11" s="85"/>
      <c r="X11" s="85"/>
      <c r="Y11" s="86" t="s">
        <v>147</v>
      </c>
      <c r="Z11" s="86"/>
      <c r="AA11" s="87"/>
      <c r="AB11" s="84"/>
      <c r="AC11" s="85"/>
      <c r="AD11" s="85"/>
      <c r="AE11" s="85"/>
      <c r="AF11" s="88"/>
      <c r="AG11" s="84">
        <f t="shared" si="0"/>
        <v>0</v>
      </c>
      <c r="AH11" s="85"/>
      <c r="AI11" s="85"/>
      <c r="AJ11" s="85"/>
      <c r="AK11" s="85"/>
      <c r="AL11" s="85"/>
      <c r="AM11" s="88"/>
      <c r="AN11" s="218"/>
      <c r="AO11" s="219"/>
      <c r="AP11" s="219"/>
      <c r="AQ11" s="219"/>
      <c r="AR11" s="219"/>
      <c r="AS11" s="219"/>
      <c r="AT11" s="220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45"/>
      <c r="BM11" s="46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5" t="s">
        <v>152</v>
      </c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7"/>
      <c r="U12" s="84">
        <v>1</v>
      </c>
      <c r="V12" s="85"/>
      <c r="W12" s="85"/>
      <c r="X12" s="85"/>
      <c r="Y12" s="86" t="s">
        <v>147</v>
      </c>
      <c r="Z12" s="86"/>
      <c r="AA12" s="87"/>
      <c r="AB12" s="84"/>
      <c r="AC12" s="85"/>
      <c r="AD12" s="85"/>
      <c r="AE12" s="85"/>
      <c r="AF12" s="88"/>
      <c r="AG12" s="84">
        <f t="shared" si="0"/>
        <v>0</v>
      </c>
      <c r="AH12" s="85"/>
      <c r="AI12" s="85"/>
      <c r="AJ12" s="85"/>
      <c r="AK12" s="85"/>
      <c r="AL12" s="85"/>
      <c r="AM12" s="88"/>
      <c r="AN12" s="218"/>
      <c r="AO12" s="219"/>
      <c r="AP12" s="219"/>
      <c r="AQ12" s="219"/>
      <c r="AR12" s="219"/>
      <c r="AS12" s="219"/>
      <c r="AT12" s="220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45"/>
      <c r="BM12" s="45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5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7"/>
      <c r="U13" s="84"/>
      <c r="V13" s="85"/>
      <c r="W13" s="85"/>
      <c r="X13" s="85"/>
      <c r="Y13" s="86"/>
      <c r="Z13" s="86"/>
      <c r="AA13" s="87"/>
      <c r="AB13" s="84"/>
      <c r="AC13" s="85"/>
      <c r="AD13" s="85"/>
      <c r="AE13" s="85"/>
      <c r="AF13" s="88"/>
      <c r="AG13" s="84">
        <f t="shared" si="0"/>
        <v>0</v>
      </c>
      <c r="AH13" s="85"/>
      <c r="AI13" s="85"/>
      <c r="AJ13" s="85"/>
      <c r="AK13" s="85"/>
      <c r="AL13" s="85"/>
      <c r="AM13" s="88"/>
      <c r="AN13" s="218"/>
      <c r="AO13" s="219"/>
      <c r="AP13" s="219"/>
      <c r="AQ13" s="219"/>
      <c r="AR13" s="219"/>
      <c r="AS13" s="219"/>
      <c r="AT13" s="22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45"/>
      <c r="BM13" s="45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5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7"/>
      <c r="U14" s="84"/>
      <c r="V14" s="85"/>
      <c r="W14" s="85"/>
      <c r="X14" s="85"/>
      <c r="Y14" s="86"/>
      <c r="Z14" s="86"/>
      <c r="AA14" s="87"/>
      <c r="AB14" s="84"/>
      <c r="AC14" s="85"/>
      <c r="AD14" s="85"/>
      <c r="AE14" s="85"/>
      <c r="AF14" s="88"/>
      <c r="AG14" s="84">
        <f t="shared" si="0"/>
        <v>0</v>
      </c>
      <c r="AH14" s="85"/>
      <c r="AI14" s="85"/>
      <c r="AJ14" s="85"/>
      <c r="AK14" s="85"/>
      <c r="AL14" s="85"/>
      <c r="AM14" s="88"/>
      <c r="AN14" s="218"/>
      <c r="AO14" s="219"/>
      <c r="AP14" s="219"/>
      <c r="AQ14" s="219"/>
      <c r="AR14" s="219"/>
      <c r="AS14" s="219"/>
      <c r="AT14" s="22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45"/>
      <c r="BM14" s="46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5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7"/>
      <c r="U15" s="84"/>
      <c r="V15" s="85"/>
      <c r="W15" s="85"/>
      <c r="X15" s="85"/>
      <c r="Y15" s="86"/>
      <c r="Z15" s="86"/>
      <c r="AA15" s="87"/>
      <c r="AB15" s="84"/>
      <c r="AC15" s="85"/>
      <c r="AD15" s="85"/>
      <c r="AE15" s="85"/>
      <c r="AF15" s="88"/>
      <c r="AG15" s="84">
        <f t="shared" si="0"/>
        <v>0</v>
      </c>
      <c r="AH15" s="85"/>
      <c r="AI15" s="85"/>
      <c r="AJ15" s="85"/>
      <c r="AK15" s="85"/>
      <c r="AL15" s="85"/>
      <c r="AM15" s="88"/>
      <c r="AN15" s="218"/>
      <c r="AO15" s="219"/>
      <c r="AP15" s="219"/>
      <c r="AQ15" s="219"/>
      <c r="AR15" s="219"/>
      <c r="AS15" s="219"/>
      <c r="AT15" s="22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45"/>
      <c r="BM15" s="46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5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7"/>
      <c r="U16" s="84"/>
      <c r="V16" s="85"/>
      <c r="W16" s="85"/>
      <c r="X16" s="85"/>
      <c r="Y16" s="86"/>
      <c r="Z16" s="86"/>
      <c r="AA16" s="87"/>
      <c r="AB16" s="84"/>
      <c r="AC16" s="85"/>
      <c r="AD16" s="85"/>
      <c r="AE16" s="85"/>
      <c r="AF16" s="88"/>
      <c r="AG16" s="84">
        <f t="shared" si="0"/>
        <v>0</v>
      </c>
      <c r="AH16" s="85"/>
      <c r="AI16" s="85"/>
      <c r="AJ16" s="85"/>
      <c r="AK16" s="85"/>
      <c r="AL16" s="85"/>
      <c r="AM16" s="88"/>
      <c r="AN16" s="218"/>
      <c r="AO16" s="219"/>
      <c r="AP16" s="219"/>
      <c r="AQ16" s="219"/>
      <c r="AR16" s="219"/>
      <c r="AS16" s="219"/>
      <c r="AT16" s="22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45"/>
      <c r="BM16" s="46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5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7"/>
      <c r="U17" s="84"/>
      <c r="V17" s="85"/>
      <c r="W17" s="85"/>
      <c r="X17" s="85"/>
      <c r="Y17" s="86"/>
      <c r="Z17" s="86"/>
      <c r="AA17" s="87"/>
      <c r="AB17" s="84"/>
      <c r="AC17" s="85"/>
      <c r="AD17" s="85"/>
      <c r="AE17" s="85"/>
      <c r="AF17" s="88"/>
      <c r="AG17" s="84">
        <f t="shared" si="0"/>
        <v>0</v>
      </c>
      <c r="AH17" s="85"/>
      <c r="AI17" s="85"/>
      <c r="AJ17" s="85"/>
      <c r="AK17" s="85"/>
      <c r="AL17" s="85"/>
      <c r="AM17" s="88"/>
      <c r="AN17" s="218"/>
      <c r="AO17" s="219"/>
      <c r="AP17" s="219"/>
      <c r="AQ17" s="219"/>
      <c r="AR17" s="219"/>
      <c r="AS17" s="219"/>
      <c r="AT17" s="22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45"/>
      <c r="BM17" s="46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5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7"/>
      <c r="U18" s="84"/>
      <c r="V18" s="85"/>
      <c r="W18" s="85"/>
      <c r="X18" s="85"/>
      <c r="Y18" s="86"/>
      <c r="Z18" s="86"/>
      <c r="AA18" s="87"/>
      <c r="AB18" s="84"/>
      <c r="AC18" s="85"/>
      <c r="AD18" s="85"/>
      <c r="AE18" s="85"/>
      <c r="AF18" s="88"/>
      <c r="AG18" s="84">
        <f t="shared" si="0"/>
        <v>0</v>
      </c>
      <c r="AH18" s="85"/>
      <c r="AI18" s="85"/>
      <c r="AJ18" s="85"/>
      <c r="AK18" s="85"/>
      <c r="AL18" s="85"/>
      <c r="AM18" s="88"/>
      <c r="AN18" s="218"/>
      <c r="AO18" s="219"/>
      <c r="AP18" s="219"/>
      <c r="AQ18" s="219"/>
      <c r="AR18" s="219"/>
      <c r="AS18" s="219"/>
      <c r="AT18" s="22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45"/>
      <c r="BM18" s="46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5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7"/>
      <c r="U19" s="84"/>
      <c r="V19" s="85"/>
      <c r="W19" s="85"/>
      <c r="X19" s="85"/>
      <c r="Y19" s="86"/>
      <c r="Z19" s="86"/>
      <c r="AA19" s="87"/>
      <c r="AB19" s="84"/>
      <c r="AC19" s="85"/>
      <c r="AD19" s="85"/>
      <c r="AE19" s="85"/>
      <c r="AF19" s="88"/>
      <c r="AG19" s="84">
        <f t="shared" si="0"/>
        <v>0</v>
      </c>
      <c r="AH19" s="85"/>
      <c r="AI19" s="85"/>
      <c r="AJ19" s="85"/>
      <c r="AK19" s="85"/>
      <c r="AL19" s="85"/>
      <c r="AM19" s="88"/>
      <c r="AN19" s="218"/>
      <c r="AO19" s="219"/>
      <c r="AP19" s="219"/>
      <c r="AQ19" s="219"/>
      <c r="AR19" s="219"/>
      <c r="AS19" s="219"/>
      <c r="AT19" s="22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45"/>
      <c r="BM19" s="46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5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7"/>
      <c r="U20" s="84"/>
      <c r="V20" s="85"/>
      <c r="W20" s="85"/>
      <c r="X20" s="85"/>
      <c r="Y20" s="86"/>
      <c r="Z20" s="86"/>
      <c r="AA20" s="87"/>
      <c r="AB20" s="84"/>
      <c r="AC20" s="85"/>
      <c r="AD20" s="85"/>
      <c r="AE20" s="85"/>
      <c r="AF20" s="88"/>
      <c r="AG20" s="84">
        <f t="shared" si="0"/>
        <v>0</v>
      </c>
      <c r="AH20" s="85"/>
      <c r="AI20" s="85"/>
      <c r="AJ20" s="85"/>
      <c r="AK20" s="85"/>
      <c r="AL20" s="85"/>
      <c r="AM20" s="88"/>
      <c r="AN20" s="218"/>
      <c r="AO20" s="219"/>
      <c r="AP20" s="219"/>
      <c r="AQ20" s="219"/>
      <c r="AR20" s="219"/>
      <c r="AS20" s="219"/>
      <c r="AT20" s="22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5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7"/>
      <c r="U21" s="84"/>
      <c r="V21" s="85"/>
      <c r="W21" s="85"/>
      <c r="X21" s="85"/>
      <c r="Y21" s="86"/>
      <c r="Z21" s="86"/>
      <c r="AA21" s="87"/>
      <c r="AB21" s="84"/>
      <c r="AC21" s="85"/>
      <c r="AD21" s="85"/>
      <c r="AE21" s="85"/>
      <c r="AF21" s="88"/>
      <c r="AG21" s="84">
        <f t="shared" si="0"/>
        <v>0</v>
      </c>
      <c r="AH21" s="85"/>
      <c r="AI21" s="85"/>
      <c r="AJ21" s="85"/>
      <c r="AK21" s="85"/>
      <c r="AL21" s="85"/>
      <c r="AM21" s="88"/>
      <c r="AN21" s="218"/>
      <c r="AO21" s="219"/>
      <c r="AP21" s="219"/>
      <c r="AQ21" s="219"/>
      <c r="AR21" s="219"/>
      <c r="AS21" s="219"/>
      <c r="AT21" s="22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5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7"/>
      <c r="U22" s="84"/>
      <c r="V22" s="85"/>
      <c r="W22" s="85"/>
      <c r="X22" s="85"/>
      <c r="Y22" s="86"/>
      <c r="Z22" s="86"/>
      <c r="AA22" s="87"/>
      <c r="AB22" s="84"/>
      <c r="AC22" s="85"/>
      <c r="AD22" s="85"/>
      <c r="AE22" s="85"/>
      <c r="AF22" s="88"/>
      <c r="AG22" s="84">
        <f t="shared" si="0"/>
        <v>0</v>
      </c>
      <c r="AH22" s="85"/>
      <c r="AI22" s="85"/>
      <c r="AJ22" s="85"/>
      <c r="AK22" s="85"/>
      <c r="AL22" s="85"/>
      <c r="AM22" s="88"/>
      <c r="AN22" s="225"/>
      <c r="AO22" s="226"/>
      <c r="AP22" s="226"/>
      <c r="AQ22" s="226"/>
      <c r="AR22" s="226"/>
      <c r="AS22" s="226"/>
      <c r="AT22" s="227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5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7"/>
      <c r="U23" s="84"/>
      <c r="V23" s="85"/>
      <c r="W23" s="85"/>
      <c r="X23" s="85"/>
      <c r="Y23" s="86"/>
      <c r="Z23" s="86"/>
      <c r="AA23" s="87"/>
      <c r="AB23" s="84"/>
      <c r="AC23" s="85"/>
      <c r="AD23" s="85"/>
      <c r="AE23" s="85"/>
      <c r="AF23" s="88"/>
      <c r="AG23" s="84">
        <f t="shared" si="0"/>
        <v>0</v>
      </c>
      <c r="AH23" s="85"/>
      <c r="AI23" s="85"/>
      <c r="AJ23" s="85"/>
      <c r="AK23" s="85"/>
      <c r="AL23" s="85"/>
      <c r="AM23" s="88"/>
      <c r="AN23" s="225"/>
      <c r="AO23" s="226"/>
      <c r="AP23" s="226"/>
      <c r="AQ23" s="226"/>
      <c r="AR23" s="226"/>
      <c r="AS23" s="226"/>
      <c r="AT23" s="227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5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7"/>
      <c r="U24" s="84"/>
      <c r="V24" s="85"/>
      <c r="W24" s="85"/>
      <c r="X24" s="85"/>
      <c r="Y24" s="86"/>
      <c r="Z24" s="86"/>
      <c r="AA24" s="87"/>
      <c r="AB24" s="84"/>
      <c r="AC24" s="85"/>
      <c r="AD24" s="85"/>
      <c r="AE24" s="85"/>
      <c r="AF24" s="88"/>
      <c r="AG24" s="84">
        <f t="shared" si="0"/>
        <v>0</v>
      </c>
      <c r="AH24" s="85"/>
      <c r="AI24" s="85"/>
      <c r="AJ24" s="85"/>
      <c r="AK24" s="85"/>
      <c r="AL24" s="85"/>
      <c r="AM24" s="88"/>
      <c r="AN24" s="225"/>
      <c r="AO24" s="226"/>
      <c r="AP24" s="226"/>
      <c r="AQ24" s="226"/>
      <c r="AR24" s="226"/>
      <c r="AS24" s="226"/>
      <c r="AT24" s="227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5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7"/>
      <c r="U25" s="84"/>
      <c r="V25" s="85"/>
      <c r="W25" s="85"/>
      <c r="X25" s="85"/>
      <c r="Y25" s="86"/>
      <c r="Z25" s="86"/>
      <c r="AA25" s="87"/>
      <c r="AB25" s="84"/>
      <c r="AC25" s="85"/>
      <c r="AD25" s="85"/>
      <c r="AE25" s="85"/>
      <c r="AF25" s="88"/>
      <c r="AG25" s="84">
        <f t="shared" si="0"/>
        <v>0</v>
      </c>
      <c r="AH25" s="85"/>
      <c r="AI25" s="85"/>
      <c r="AJ25" s="85"/>
      <c r="AK25" s="85"/>
      <c r="AL25" s="85"/>
      <c r="AM25" s="88"/>
      <c r="AN25" s="225"/>
      <c r="AO25" s="226"/>
      <c r="AP25" s="226"/>
      <c r="AQ25" s="226"/>
      <c r="AR25" s="226"/>
      <c r="AS25" s="226"/>
      <c r="AT25" s="227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5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7"/>
      <c r="U26" s="84"/>
      <c r="V26" s="85"/>
      <c r="W26" s="85"/>
      <c r="X26" s="85"/>
      <c r="Y26" s="86"/>
      <c r="Z26" s="86"/>
      <c r="AA26" s="87"/>
      <c r="AB26" s="84"/>
      <c r="AC26" s="85"/>
      <c r="AD26" s="85"/>
      <c r="AE26" s="85"/>
      <c r="AF26" s="88"/>
      <c r="AG26" s="84">
        <f t="shared" si="0"/>
        <v>0</v>
      </c>
      <c r="AH26" s="85"/>
      <c r="AI26" s="85"/>
      <c r="AJ26" s="85"/>
      <c r="AK26" s="85"/>
      <c r="AL26" s="85"/>
      <c r="AM26" s="88"/>
      <c r="AN26" s="225"/>
      <c r="AO26" s="226"/>
      <c r="AP26" s="226"/>
      <c r="AQ26" s="226"/>
      <c r="AR26" s="226"/>
      <c r="AS26" s="226"/>
      <c r="AT26" s="227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5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7"/>
      <c r="U27" s="84"/>
      <c r="V27" s="85"/>
      <c r="W27" s="85"/>
      <c r="X27" s="85"/>
      <c r="Y27" s="86"/>
      <c r="Z27" s="86"/>
      <c r="AA27" s="87"/>
      <c r="AB27" s="84"/>
      <c r="AC27" s="85"/>
      <c r="AD27" s="85"/>
      <c r="AE27" s="85"/>
      <c r="AF27" s="88"/>
      <c r="AG27" s="84">
        <f t="shared" si="0"/>
        <v>0</v>
      </c>
      <c r="AH27" s="85"/>
      <c r="AI27" s="85"/>
      <c r="AJ27" s="85"/>
      <c r="AK27" s="85"/>
      <c r="AL27" s="85"/>
      <c r="AM27" s="88"/>
      <c r="AN27" s="225"/>
      <c r="AO27" s="226"/>
      <c r="AP27" s="226"/>
      <c r="AQ27" s="226"/>
      <c r="AR27" s="226"/>
      <c r="AS27" s="226"/>
      <c r="AT27" s="227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5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7"/>
      <c r="U28" s="84"/>
      <c r="V28" s="85"/>
      <c r="W28" s="85"/>
      <c r="X28" s="85"/>
      <c r="Y28" s="86"/>
      <c r="Z28" s="86"/>
      <c r="AA28" s="87"/>
      <c r="AB28" s="84"/>
      <c r="AC28" s="85"/>
      <c r="AD28" s="85"/>
      <c r="AE28" s="85"/>
      <c r="AF28" s="88"/>
      <c r="AG28" s="84">
        <f t="shared" si="0"/>
        <v>0</v>
      </c>
      <c r="AH28" s="85"/>
      <c r="AI28" s="85"/>
      <c r="AJ28" s="85"/>
      <c r="AK28" s="85"/>
      <c r="AL28" s="85"/>
      <c r="AM28" s="88"/>
      <c r="AN28" s="225"/>
      <c r="AO28" s="226"/>
      <c r="AP28" s="226"/>
      <c r="AQ28" s="226"/>
      <c r="AR28" s="226"/>
      <c r="AS28" s="226"/>
      <c r="AT28" s="227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142</v>
      </c>
      <c r="C29" s="215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7"/>
      <c r="U29" s="84"/>
      <c r="V29" s="85"/>
      <c r="W29" s="85"/>
      <c r="X29" s="85"/>
      <c r="Y29" s="86"/>
      <c r="Z29" s="86"/>
      <c r="AA29" s="87"/>
      <c r="AB29" s="91"/>
      <c r="AC29" s="92"/>
      <c r="AD29" s="92"/>
      <c r="AE29" s="92"/>
      <c r="AF29" s="95"/>
      <c r="AG29" s="91">
        <f t="shared" si="0"/>
        <v>0</v>
      </c>
      <c r="AH29" s="92"/>
      <c r="AI29" s="92"/>
      <c r="AJ29" s="92"/>
      <c r="AK29" s="92"/>
      <c r="AL29" s="92"/>
      <c r="AM29" s="95"/>
      <c r="AN29" s="225"/>
      <c r="AO29" s="226"/>
      <c r="AP29" s="226"/>
      <c r="AQ29" s="226"/>
      <c r="AR29" s="226"/>
      <c r="AS29" s="226"/>
      <c r="AT29" s="227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27" t="s">
        <v>143</v>
      </c>
      <c r="V30" s="128"/>
      <c r="W30" s="128"/>
      <c r="X30" s="128"/>
      <c r="Y30" s="128"/>
      <c r="Z30" s="128"/>
      <c r="AA30" s="129"/>
      <c r="AB30" s="208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10"/>
      <c r="AO30" s="211"/>
      <c r="AP30" s="211"/>
      <c r="AQ30" s="211"/>
      <c r="AR30" s="211"/>
      <c r="AS30" s="211"/>
      <c r="AT30" s="21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0" t="s">
        <v>59</v>
      </c>
      <c r="CT103" s="9"/>
    </row>
    <row r="104" spans="97:98" ht="13.5" customHeight="1" x14ac:dyDescent="0.15">
      <c r="CS104" s="49" t="str">
        <f>出張デモ1!CS116</f>
        <v>台</v>
      </c>
      <c r="CT104" s="13"/>
    </row>
    <row r="105" spans="97:98" ht="13.5" customHeight="1" x14ac:dyDescent="0.15">
      <c r="CS105" s="49" t="str">
        <f>出張デモ1!CS117</f>
        <v>個</v>
      </c>
      <c r="CT105" s="13"/>
    </row>
    <row r="106" spans="97:98" ht="13.5" customHeight="1" x14ac:dyDescent="0.15">
      <c r="CS106" s="49" t="str">
        <f>出張デモ1!CS118</f>
        <v>一式</v>
      </c>
      <c r="CT106" s="16"/>
    </row>
    <row r="107" spans="97:98" ht="13.5" customHeight="1" x14ac:dyDescent="0.15">
      <c r="CS107" s="49" t="str">
        <f>出張デモ1!CS119</f>
        <v>冊</v>
      </c>
      <c r="CT107" s="13"/>
    </row>
    <row r="108" spans="97:98" ht="13.5" customHeight="1" x14ac:dyDescent="0.15">
      <c r="CS108" s="49" t="str">
        <f>出張デモ1!CS120</f>
        <v>箱</v>
      </c>
      <c r="CT108" s="13"/>
    </row>
    <row r="109" spans="97:98" ht="13.5" customHeight="1" x14ac:dyDescent="0.15">
      <c r="CS109" s="49" t="str">
        <f>出張デモ1!CS121</f>
        <v>C/S</v>
      </c>
      <c r="CT109" s="15"/>
    </row>
    <row r="110" spans="97:98" ht="13.5" customHeight="1" x14ac:dyDescent="0.15">
      <c r="CS110" s="49" t="str">
        <f>出張デモ1!CS122</f>
        <v>SET</v>
      </c>
      <c r="CT110" s="15"/>
    </row>
    <row r="111" spans="97:98" ht="13.5" customHeight="1" x14ac:dyDescent="0.15">
      <c r="CS111" s="49" t="str">
        <f>出張デモ1!CS123</f>
        <v>本</v>
      </c>
      <c r="CT111" s="13"/>
    </row>
    <row r="112" spans="97:98" ht="13.5" customHeight="1" x14ac:dyDescent="0.15">
      <c r="CS112" s="49" t="str">
        <f>出張デモ1!CS124</f>
        <v>束</v>
      </c>
      <c r="CT112" s="13"/>
    </row>
    <row r="113" spans="87:125" ht="13.5" customHeight="1" x14ac:dyDescent="0.15">
      <c r="CS113" s="49" t="str">
        <f>出張デモ1!CS125</f>
        <v>枚</v>
      </c>
      <c r="CT113" s="13"/>
    </row>
    <row r="114" spans="87:125" ht="13.5" customHeight="1" x14ac:dyDescent="0.15">
      <c r="CS114" s="49" t="str">
        <f>出張デモ1!CS126</f>
        <v>ﾊﾟｯｸ</v>
      </c>
      <c r="CT114" s="16"/>
    </row>
    <row r="115" spans="87:125" ht="13.5" customHeight="1" x14ac:dyDescent="0.15">
      <c r="CS115" s="49" t="str">
        <f>出張デモ1!CS127</f>
        <v>ｷｯﾄ</v>
      </c>
      <c r="CT115" s="13"/>
    </row>
    <row r="116" spans="87:125" ht="13.5" customHeight="1" x14ac:dyDescent="0.15">
      <c r="CS116" s="49">
        <f>出張デモ1!CS128</f>
        <v>0</v>
      </c>
      <c r="CT116" s="13"/>
    </row>
    <row r="119" spans="87:125" ht="13.5" customHeight="1" x14ac:dyDescent="0.15">
      <c r="CI119" s="102" t="s">
        <v>112</v>
      </c>
      <c r="CJ119" s="102"/>
      <c r="CK119" s="102"/>
      <c r="CL119" s="102"/>
      <c r="CM119" s="213" t="str">
        <f>出張デモ1!CM131</f>
        <v>C:\Documents and Settings\sato\My Documents\シンプル見積書\</v>
      </c>
      <c r="CN119" s="214"/>
      <c r="CO119" s="214"/>
      <c r="CP119" s="214"/>
      <c r="CQ119" s="214"/>
      <c r="CR119" s="214"/>
      <c r="CS119" s="214"/>
      <c r="CT119" s="214"/>
      <c r="CU119" s="214"/>
      <c r="CV119" s="214"/>
      <c r="CW119" s="214"/>
      <c r="CX119" s="214"/>
      <c r="CY119" s="214"/>
      <c r="CZ119" s="214"/>
      <c r="DA119" s="214"/>
      <c r="DB119" s="214"/>
      <c r="DC119" s="214"/>
      <c r="DD119" s="214"/>
      <c r="DE119" s="214"/>
      <c r="DF119" s="214"/>
      <c r="DG119" s="214"/>
      <c r="DH119" s="214"/>
      <c r="DI119" s="214"/>
      <c r="DJ119" s="214"/>
      <c r="DK119" s="214"/>
      <c r="DO119" s="57" t="str">
        <f>出張デモ1!$DO$131</f>
        <v>マスタ 1.xls</v>
      </c>
      <c r="DP119" s="58"/>
      <c r="DQ119" s="58"/>
      <c r="DR119" s="58"/>
      <c r="DS119" s="58"/>
      <c r="DT119" s="58"/>
      <c r="DU119" s="59"/>
    </row>
    <row r="120" spans="87:125" ht="13.5" customHeight="1" x14ac:dyDescent="0.15">
      <c r="CI120" s="102" t="s">
        <v>144</v>
      </c>
      <c r="CJ120" s="102"/>
      <c r="CK120" s="102"/>
      <c r="CL120" s="102"/>
      <c r="CM120" s="213">
        <f>出張デモ1!CM132</f>
        <v>0</v>
      </c>
      <c r="CN120" s="214"/>
      <c r="CO120" s="214"/>
      <c r="CP120" s="214"/>
      <c r="CQ120" s="214"/>
      <c r="CR120" s="214"/>
      <c r="CS120" s="214"/>
      <c r="CT120" s="214"/>
      <c r="CU120" s="214"/>
      <c r="CV120" s="214"/>
      <c r="CW120" s="214"/>
      <c r="CX120" s="214"/>
      <c r="CY120" s="214"/>
      <c r="CZ120" s="214"/>
      <c r="DA120" s="214"/>
      <c r="DB120" s="214"/>
      <c r="DC120" s="214"/>
      <c r="DD120" s="214"/>
      <c r="DE120" s="214"/>
      <c r="DF120" s="214"/>
      <c r="DG120" s="214"/>
      <c r="DH120" s="214"/>
      <c r="DI120" s="214"/>
      <c r="DJ120" s="214"/>
      <c r="DK120" s="214"/>
    </row>
    <row r="178" spans="16:16" ht="13.5" customHeight="1" x14ac:dyDescent="0.15">
      <c r="P178" s="22">
        <f>出張デモ1!P189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3"/>
  <dataValidations count="5">
    <dataValidation type="list" imeMode="hiragana" allowBlank="1" showInputMessage="1" showErrorMessage="1" prompt="ボタンを押し単位を入力" sqref="Y7:AA29" xr:uid="{00000000-0002-0000-0300-000000000000}">
      <formula1>$CS$104:$CS$116</formula1>
    </dataValidation>
    <dataValidation imeMode="hiragana" allowBlank="1" showInputMessage="1" showErrorMessage="1" prompt="備考があれば入力" sqref="AN7:AT29" xr:uid="{00000000-0002-0000-0300-000001000000}"/>
    <dataValidation imeMode="off" allowBlank="1" showInputMessage="1" showErrorMessage="1" prompt="単価を入力" sqref="AB7:AF29" xr:uid="{00000000-0002-0000-0300-000002000000}"/>
    <dataValidation imeMode="off" allowBlank="1" showInputMessage="1" showErrorMessage="1" prompt="数量を入力" sqref="U7:X29" xr:uid="{00000000-0002-0000-0300-000003000000}"/>
    <dataValidation imeMode="hiragana" allowBlank="1" showInputMessage="1" showErrorMessage="1" prompt="品名を入力" sqref="D15:T29 C7:C29" xr:uid="{00000000-0002-0000-03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pane="topRight" activeCell="U30" sqref="U30:AA30"/>
      <selection pane="bottomLeft" activeCell="U30" sqref="U30:AA30"/>
      <selection pane="bottomRight" activeCell="BC28" sqref="BC28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1" t="s">
        <v>153</v>
      </c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AL3" s="5" t="s">
        <v>3</v>
      </c>
      <c r="AM3" s="5"/>
      <c r="AN3" s="224"/>
      <c r="AO3" s="224"/>
      <c r="AP3" s="224"/>
      <c r="AQ3" s="224"/>
      <c r="AR3" s="224"/>
      <c r="AS3" s="74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8" t="s">
        <v>133</v>
      </c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60"/>
      <c r="U5" s="150" t="s">
        <v>26</v>
      </c>
      <c r="V5" s="151"/>
      <c r="W5" s="151"/>
      <c r="X5" s="151"/>
      <c r="Y5" s="151"/>
      <c r="Z5" s="151"/>
      <c r="AA5" s="156"/>
      <c r="AB5" s="150" t="s">
        <v>134</v>
      </c>
      <c r="AC5" s="151"/>
      <c r="AD5" s="151"/>
      <c r="AE5" s="151"/>
      <c r="AF5" s="151"/>
      <c r="AG5" s="150" t="s">
        <v>28</v>
      </c>
      <c r="AH5" s="151"/>
      <c r="AI5" s="151"/>
      <c r="AJ5" s="151"/>
      <c r="AK5" s="151"/>
      <c r="AL5" s="151"/>
      <c r="AM5" s="156"/>
      <c r="AN5" s="150" t="s">
        <v>29</v>
      </c>
      <c r="AO5" s="151"/>
      <c r="AP5" s="151"/>
      <c r="AQ5" s="151"/>
      <c r="AR5" s="151"/>
      <c r="AS5" s="151"/>
      <c r="AT5" s="154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1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3"/>
      <c r="U6" s="152"/>
      <c r="V6" s="153"/>
      <c r="W6" s="153"/>
      <c r="X6" s="153"/>
      <c r="Y6" s="153"/>
      <c r="Z6" s="153"/>
      <c r="AA6" s="157"/>
      <c r="AB6" s="152"/>
      <c r="AC6" s="153"/>
      <c r="AD6" s="153"/>
      <c r="AE6" s="153"/>
      <c r="AF6" s="153"/>
      <c r="AG6" s="152"/>
      <c r="AH6" s="153"/>
      <c r="AI6" s="153"/>
      <c r="AJ6" s="153"/>
      <c r="AK6" s="153"/>
      <c r="AL6" s="153"/>
      <c r="AM6" s="157"/>
      <c r="AN6" s="152"/>
      <c r="AO6" s="153"/>
      <c r="AP6" s="153"/>
      <c r="AQ6" s="153"/>
      <c r="AR6" s="153"/>
      <c r="AS6" s="153"/>
      <c r="AT6" s="15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78"/>
      <c r="BM6" s="1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5" t="s">
        <v>154</v>
      </c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7"/>
      <c r="U7" s="84">
        <v>1</v>
      </c>
      <c r="V7" s="85"/>
      <c r="W7" s="85"/>
      <c r="X7" s="85"/>
      <c r="Y7" s="86" t="s">
        <v>155</v>
      </c>
      <c r="Z7" s="86"/>
      <c r="AA7" s="87"/>
      <c r="AB7" s="84"/>
      <c r="AC7" s="85"/>
      <c r="AD7" s="85"/>
      <c r="AE7" s="85"/>
      <c r="AF7" s="88"/>
      <c r="AG7" s="84">
        <f>IF(U7="",1*AB7,U7*AB7)</f>
        <v>0</v>
      </c>
      <c r="AH7" s="85"/>
      <c r="AI7" s="85"/>
      <c r="AJ7" s="85"/>
      <c r="AK7" s="85"/>
      <c r="AL7" s="85"/>
      <c r="AM7" s="88"/>
      <c r="AN7" s="218"/>
      <c r="AO7" s="219"/>
      <c r="AP7" s="219"/>
      <c r="AQ7" s="219"/>
      <c r="AR7" s="219"/>
      <c r="AS7" s="219"/>
      <c r="AT7" s="220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45"/>
      <c r="BM7" s="46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5" t="s">
        <v>156</v>
      </c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7"/>
      <c r="U8" s="84">
        <v>1</v>
      </c>
      <c r="V8" s="85"/>
      <c r="W8" s="85"/>
      <c r="X8" s="85"/>
      <c r="Y8" s="86" t="s">
        <v>157</v>
      </c>
      <c r="Z8" s="86"/>
      <c r="AA8" s="87"/>
      <c r="AB8" s="84"/>
      <c r="AC8" s="85"/>
      <c r="AD8" s="85"/>
      <c r="AE8" s="85"/>
      <c r="AF8" s="88"/>
      <c r="AG8" s="84">
        <f t="shared" ref="AG8:AG29" si="0">IF(U8="",1*AB8,U8*AB8)</f>
        <v>0</v>
      </c>
      <c r="AH8" s="85"/>
      <c r="AI8" s="85"/>
      <c r="AJ8" s="85"/>
      <c r="AK8" s="85"/>
      <c r="AL8" s="85"/>
      <c r="AM8" s="88"/>
      <c r="AN8" s="218"/>
      <c r="AO8" s="219"/>
      <c r="AP8" s="219"/>
      <c r="AQ8" s="219"/>
      <c r="AR8" s="219"/>
      <c r="AS8" s="219"/>
      <c r="AT8" s="220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45"/>
      <c r="BM8" s="46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5" t="s">
        <v>158</v>
      </c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7"/>
      <c r="U9" s="84">
        <v>1</v>
      </c>
      <c r="V9" s="85"/>
      <c r="W9" s="85"/>
      <c r="X9" s="85"/>
      <c r="Y9" s="86" t="s">
        <v>157</v>
      </c>
      <c r="Z9" s="86"/>
      <c r="AA9" s="87"/>
      <c r="AB9" s="84"/>
      <c r="AC9" s="85"/>
      <c r="AD9" s="85"/>
      <c r="AE9" s="85"/>
      <c r="AF9" s="88"/>
      <c r="AG9" s="84">
        <f t="shared" si="0"/>
        <v>0</v>
      </c>
      <c r="AH9" s="85"/>
      <c r="AI9" s="85"/>
      <c r="AJ9" s="85"/>
      <c r="AK9" s="85"/>
      <c r="AL9" s="85"/>
      <c r="AM9" s="88"/>
      <c r="AN9" s="218"/>
      <c r="AO9" s="219"/>
      <c r="AP9" s="219"/>
      <c r="AQ9" s="219"/>
      <c r="AR9" s="219"/>
      <c r="AS9" s="219"/>
      <c r="AT9" s="220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45"/>
      <c r="BM9" s="46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5" t="s">
        <v>159</v>
      </c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84">
        <v>1</v>
      </c>
      <c r="V10" s="85"/>
      <c r="W10" s="85"/>
      <c r="X10" s="85"/>
      <c r="Y10" s="86" t="s">
        <v>157</v>
      </c>
      <c r="Z10" s="86"/>
      <c r="AA10" s="87"/>
      <c r="AB10" s="84"/>
      <c r="AC10" s="85"/>
      <c r="AD10" s="85"/>
      <c r="AE10" s="85"/>
      <c r="AF10" s="88"/>
      <c r="AG10" s="84">
        <f t="shared" si="0"/>
        <v>0</v>
      </c>
      <c r="AH10" s="85"/>
      <c r="AI10" s="85"/>
      <c r="AJ10" s="85"/>
      <c r="AK10" s="85"/>
      <c r="AL10" s="85"/>
      <c r="AM10" s="88"/>
      <c r="AN10" s="218"/>
      <c r="AO10" s="219"/>
      <c r="AP10" s="219"/>
      <c r="AQ10" s="219"/>
      <c r="AR10" s="219"/>
      <c r="AS10" s="219"/>
      <c r="AT10" s="220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45"/>
      <c r="BM10" s="46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5" t="s">
        <v>160</v>
      </c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7"/>
      <c r="U11" s="84">
        <v>1</v>
      </c>
      <c r="V11" s="85"/>
      <c r="W11" s="85"/>
      <c r="X11" s="85"/>
      <c r="Y11" s="86" t="s">
        <v>157</v>
      </c>
      <c r="Z11" s="86"/>
      <c r="AA11" s="87"/>
      <c r="AB11" s="84"/>
      <c r="AC11" s="85"/>
      <c r="AD11" s="85"/>
      <c r="AE11" s="85"/>
      <c r="AF11" s="88"/>
      <c r="AG11" s="84">
        <f t="shared" si="0"/>
        <v>0</v>
      </c>
      <c r="AH11" s="85"/>
      <c r="AI11" s="85"/>
      <c r="AJ11" s="85"/>
      <c r="AK11" s="85"/>
      <c r="AL11" s="85"/>
      <c r="AM11" s="88"/>
      <c r="AN11" s="218"/>
      <c r="AO11" s="219"/>
      <c r="AP11" s="219"/>
      <c r="AQ11" s="219"/>
      <c r="AR11" s="219"/>
      <c r="AS11" s="219"/>
      <c r="AT11" s="220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45"/>
      <c r="BM11" s="46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5" t="s">
        <v>161</v>
      </c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7"/>
      <c r="U12" s="84">
        <v>1</v>
      </c>
      <c r="V12" s="85"/>
      <c r="W12" s="85"/>
      <c r="X12" s="85"/>
      <c r="Y12" s="86" t="s">
        <v>157</v>
      </c>
      <c r="Z12" s="86"/>
      <c r="AA12" s="87"/>
      <c r="AB12" s="84"/>
      <c r="AC12" s="85"/>
      <c r="AD12" s="85"/>
      <c r="AE12" s="85"/>
      <c r="AF12" s="88"/>
      <c r="AG12" s="84">
        <f t="shared" si="0"/>
        <v>0</v>
      </c>
      <c r="AH12" s="85"/>
      <c r="AI12" s="85"/>
      <c r="AJ12" s="85"/>
      <c r="AK12" s="85"/>
      <c r="AL12" s="85"/>
      <c r="AM12" s="88"/>
      <c r="AN12" s="218"/>
      <c r="AO12" s="219"/>
      <c r="AP12" s="219"/>
      <c r="AQ12" s="219"/>
      <c r="AR12" s="219"/>
      <c r="AS12" s="219"/>
      <c r="AT12" s="220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45"/>
      <c r="BM12" s="45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5" t="s">
        <v>162</v>
      </c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7"/>
      <c r="U13" s="84">
        <v>1</v>
      </c>
      <c r="V13" s="85"/>
      <c r="W13" s="85"/>
      <c r="X13" s="85"/>
      <c r="Y13" s="86" t="s">
        <v>157</v>
      </c>
      <c r="Z13" s="86"/>
      <c r="AA13" s="87"/>
      <c r="AB13" s="84"/>
      <c r="AC13" s="85"/>
      <c r="AD13" s="85"/>
      <c r="AE13" s="85"/>
      <c r="AF13" s="88"/>
      <c r="AG13" s="84">
        <f t="shared" si="0"/>
        <v>0</v>
      </c>
      <c r="AH13" s="85"/>
      <c r="AI13" s="85"/>
      <c r="AJ13" s="85"/>
      <c r="AK13" s="85"/>
      <c r="AL13" s="85"/>
      <c r="AM13" s="88"/>
      <c r="AN13" s="218"/>
      <c r="AO13" s="219"/>
      <c r="AP13" s="219"/>
      <c r="AQ13" s="219"/>
      <c r="AR13" s="219"/>
      <c r="AS13" s="219"/>
      <c r="AT13" s="220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45"/>
      <c r="BM13" s="45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5" t="s">
        <v>163</v>
      </c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7"/>
      <c r="U14" s="84">
        <v>1</v>
      </c>
      <c r="V14" s="85"/>
      <c r="W14" s="85"/>
      <c r="X14" s="85"/>
      <c r="Y14" s="86" t="s">
        <v>157</v>
      </c>
      <c r="Z14" s="86"/>
      <c r="AA14" s="87"/>
      <c r="AB14" s="84"/>
      <c r="AC14" s="85"/>
      <c r="AD14" s="85"/>
      <c r="AE14" s="85"/>
      <c r="AF14" s="88"/>
      <c r="AG14" s="84">
        <f t="shared" si="0"/>
        <v>0</v>
      </c>
      <c r="AH14" s="85"/>
      <c r="AI14" s="85"/>
      <c r="AJ14" s="85"/>
      <c r="AK14" s="85"/>
      <c r="AL14" s="85"/>
      <c r="AM14" s="88"/>
      <c r="AN14" s="218"/>
      <c r="AO14" s="219"/>
      <c r="AP14" s="219"/>
      <c r="AQ14" s="219"/>
      <c r="AR14" s="219"/>
      <c r="AS14" s="219"/>
      <c r="AT14" s="220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45"/>
      <c r="BM14" s="46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5" t="s">
        <v>164</v>
      </c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7"/>
      <c r="U15" s="84">
        <v>1</v>
      </c>
      <c r="V15" s="85"/>
      <c r="W15" s="85"/>
      <c r="X15" s="85"/>
      <c r="Y15" s="86" t="s">
        <v>157</v>
      </c>
      <c r="Z15" s="86"/>
      <c r="AA15" s="87"/>
      <c r="AB15" s="84"/>
      <c r="AC15" s="85"/>
      <c r="AD15" s="85"/>
      <c r="AE15" s="85"/>
      <c r="AF15" s="88"/>
      <c r="AG15" s="84">
        <f t="shared" si="0"/>
        <v>0</v>
      </c>
      <c r="AH15" s="85"/>
      <c r="AI15" s="85"/>
      <c r="AJ15" s="85"/>
      <c r="AK15" s="85"/>
      <c r="AL15" s="85"/>
      <c r="AM15" s="88"/>
      <c r="AN15" s="218"/>
      <c r="AO15" s="219"/>
      <c r="AP15" s="219"/>
      <c r="AQ15" s="219"/>
      <c r="AR15" s="219"/>
      <c r="AS15" s="219"/>
      <c r="AT15" s="22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45"/>
      <c r="BM15" s="46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5" t="s">
        <v>165</v>
      </c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7"/>
      <c r="U16" s="84">
        <v>1</v>
      </c>
      <c r="V16" s="85"/>
      <c r="W16" s="85"/>
      <c r="X16" s="85"/>
      <c r="Y16" s="86" t="s">
        <v>157</v>
      </c>
      <c r="Z16" s="86"/>
      <c r="AA16" s="87"/>
      <c r="AB16" s="84"/>
      <c r="AC16" s="85"/>
      <c r="AD16" s="85"/>
      <c r="AE16" s="85"/>
      <c r="AF16" s="88"/>
      <c r="AG16" s="84">
        <f t="shared" si="0"/>
        <v>0</v>
      </c>
      <c r="AH16" s="85"/>
      <c r="AI16" s="85"/>
      <c r="AJ16" s="85"/>
      <c r="AK16" s="85"/>
      <c r="AL16" s="85"/>
      <c r="AM16" s="88"/>
      <c r="AN16" s="218"/>
      <c r="AO16" s="219"/>
      <c r="AP16" s="219"/>
      <c r="AQ16" s="219"/>
      <c r="AR16" s="219"/>
      <c r="AS16" s="219"/>
      <c r="AT16" s="220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45"/>
      <c r="BM16" s="46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5" t="s">
        <v>166</v>
      </c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7"/>
      <c r="U17" s="84">
        <v>1</v>
      </c>
      <c r="V17" s="85"/>
      <c r="W17" s="85"/>
      <c r="X17" s="85"/>
      <c r="Y17" s="86" t="s">
        <v>157</v>
      </c>
      <c r="Z17" s="86"/>
      <c r="AA17" s="87"/>
      <c r="AB17" s="84"/>
      <c r="AC17" s="85"/>
      <c r="AD17" s="85"/>
      <c r="AE17" s="85"/>
      <c r="AF17" s="88"/>
      <c r="AG17" s="84">
        <f t="shared" si="0"/>
        <v>0</v>
      </c>
      <c r="AH17" s="85"/>
      <c r="AI17" s="85"/>
      <c r="AJ17" s="85"/>
      <c r="AK17" s="85"/>
      <c r="AL17" s="85"/>
      <c r="AM17" s="88"/>
      <c r="AN17" s="218"/>
      <c r="AO17" s="219"/>
      <c r="AP17" s="219"/>
      <c r="AQ17" s="219"/>
      <c r="AR17" s="219"/>
      <c r="AS17" s="219"/>
      <c r="AT17" s="220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45"/>
      <c r="BM17" s="46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5" t="s">
        <v>167</v>
      </c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7"/>
      <c r="U18" s="84">
        <v>7</v>
      </c>
      <c r="V18" s="85"/>
      <c r="W18" s="85"/>
      <c r="X18" s="85"/>
      <c r="Y18" s="86" t="s">
        <v>157</v>
      </c>
      <c r="Z18" s="86"/>
      <c r="AA18" s="87"/>
      <c r="AB18" s="84"/>
      <c r="AC18" s="85"/>
      <c r="AD18" s="85"/>
      <c r="AE18" s="85"/>
      <c r="AF18" s="88"/>
      <c r="AG18" s="84">
        <f t="shared" si="0"/>
        <v>0</v>
      </c>
      <c r="AH18" s="85"/>
      <c r="AI18" s="85"/>
      <c r="AJ18" s="85"/>
      <c r="AK18" s="85"/>
      <c r="AL18" s="85"/>
      <c r="AM18" s="88"/>
      <c r="AN18" s="218"/>
      <c r="AO18" s="219"/>
      <c r="AP18" s="219"/>
      <c r="AQ18" s="219"/>
      <c r="AR18" s="219"/>
      <c r="AS18" s="219"/>
      <c r="AT18" s="220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45"/>
      <c r="BM18" s="46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5" t="s">
        <v>168</v>
      </c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7"/>
      <c r="U19" s="84">
        <v>1</v>
      </c>
      <c r="V19" s="85"/>
      <c r="W19" s="85"/>
      <c r="X19" s="85"/>
      <c r="Y19" s="86" t="s">
        <v>157</v>
      </c>
      <c r="Z19" s="86"/>
      <c r="AA19" s="87"/>
      <c r="AB19" s="84"/>
      <c r="AC19" s="85"/>
      <c r="AD19" s="85"/>
      <c r="AE19" s="85"/>
      <c r="AF19" s="88"/>
      <c r="AG19" s="84">
        <f t="shared" si="0"/>
        <v>0</v>
      </c>
      <c r="AH19" s="85"/>
      <c r="AI19" s="85"/>
      <c r="AJ19" s="85"/>
      <c r="AK19" s="85"/>
      <c r="AL19" s="85"/>
      <c r="AM19" s="88"/>
      <c r="AN19" s="218"/>
      <c r="AO19" s="219"/>
      <c r="AP19" s="219"/>
      <c r="AQ19" s="219"/>
      <c r="AR19" s="219"/>
      <c r="AS19" s="219"/>
      <c r="AT19" s="220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45"/>
      <c r="BM19" s="46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5" t="s">
        <v>169</v>
      </c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7"/>
      <c r="U20" s="84">
        <v>1</v>
      </c>
      <c r="V20" s="85"/>
      <c r="W20" s="85"/>
      <c r="X20" s="85"/>
      <c r="Y20" s="86" t="s">
        <v>157</v>
      </c>
      <c r="Z20" s="86"/>
      <c r="AA20" s="87"/>
      <c r="AB20" s="84"/>
      <c r="AC20" s="85"/>
      <c r="AD20" s="85"/>
      <c r="AE20" s="85"/>
      <c r="AF20" s="88"/>
      <c r="AG20" s="84">
        <f t="shared" si="0"/>
        <v>0</v>
      </c>
      <c r="AH20" s="85"/>
      <c r="AI20" s="85"/>
      <c r="AJ20" s="85"/>
      <c r="AK20" s="85"/>
      <c r="AL20" s="85"/>
      <c r="AM20" s="88"/>
      <c r="AN20" s="218"/>
      <c r="AO20" s="219"/>
      <c r="AP20" s="219"/>
      <c r="AQ20" s="219"/>
      <c r="AR20" s="219"/>
      <c r="AS20" s="219"/>
      <c r="AT20" s="220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5" t="s">
        <v>170</v>
      </c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7"/>
      <c r="U21" s="84">
        <v>1</v>
      </c>
      <c r="V21" s="85"/>
      <c r="W21" s="85"/>
      <c r="X21" s="85"/>
      <c r="Y21" s="86" t="s">
        <v>157</v>
      </c>
      <c r="Z21" s="86"/>
      <c r="AA21" s="87"/>
      <c r="AB21" s="84"/>
      <c r="AC21" s="85"/>
      <c r="AD21" s="85"/>
      <c r="AE21" s="85"/>
      <c r="AF21" s="88"/>
      <c r="AG21" s="84">
        <f t="shared" si="0"/>
        <v>0</v>
      </c>
      <c r="AH21" s="85"/>
      <c r="AI21" s="85"/>
      <c r="AJ21" s="85"/>
      <c r="AK21" s="85"/>
      <c r="AL21" s="85"/>
      <c r="AM21" s="88"/>
      <c r="AN21" s="218"/>
      <c r="AO21" s="219"/>
      <c r="AP21" s="219"/>
      <c r="AQ21" s="219"/>
      <c r="AR21" s="219"/>
      <c r="AS21" s="219"/>
      <c r="AT21" s="220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5" t="s">
        <v>171</v>
      </c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7"/>
      <c r="U22" s="84">
        <v>1</v>
      </c>
      <c r="V22" s="85"/>
      <c r="W22" s="85"/>
      <c r="X22" s="85"/>
      <c r="Y22" s="86" t="s">
        <v>157</v>
      </c>
      <c r="Z22" s="86"/>
      <c r="AA22" s="87"/>
      <c r="AB22" s="84"/>
      <c r="AC22" s="85"/>
      <c r="AD22" s="85"/>
      <c r="AE22" s="85"/>
      <c r="AF22" s="88"/>
      <c r="AG22" s="84">
        <f t="shared" si="0"/>
        <v>0</v>
      </c>
      <c r="AH22" s="85"/>
      <c r="AI22" s="85"/>
      <c r="AJ22" s="85"/>
      <c r="AK22" s="85"/>
      <c r="AL22" s="85"/>
      <c r="AM22" s="88"/>
      <c r="AN22" s="218"/>
      <c r="AO22" s="219"/>
      <c r="AP22" s="219"/>
      <c r="AQ22" s="219"/>
      <c r="AR22" s="219"/>
      <c r="AS22" s="219"/>
      <c r="AT22" s="220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5" t="s">
        <v>172</v>
      </c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7"/>
      <c r="U23" s="84">
        <v>1</v>
      </c>
      <c r="V23" s="85"/>
      <c r="W23" s="85"/>
      <c r="X23" s="85"/>
      <c r="Y23" s="86" t="s">
        <v>157</v>
      </c>
      <c r="Z23" s="86"/>
      <c r="AA23" s="87"/>
      <c r="AB23" s="84"/>
      <c r="AC23" s="85"/>
      <c r="AD23" s="85"/>
      <c r="AE23" s="85"/>
      <c r="AF23" s="88"/>
      <c r="AG23" s="84">
        <f t="shared" si="0"/>
        <v>0</v>
      </c>
      <c r="AH23" s="85"/>
      <c r="AI23" s="85"/>
      <c r="AJ23" s="85"/>
      <c r="AK23" s="85"/>
      <c r="AL23" s="85"/>
      <c r="AM23" s="88"/>
      <c r="AN23" s="218"/>
      <c r="AO23" s="219"/>
      <c r="AP23" s="219"/>
      <c r="AQ23" s="219"/>
      <c r="AR23" s="219"/>
      <c r="AS23" s="219"/>
      <c r="AT23" s="220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5" t="s">
        <v>173</v>
      </c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7"/>
      <c r="U24" s="84">
        <v>2</v>
      </c>
      <c r="V24" s="85"/>
      <c r="W24" s="85"/>
      <c r="X24" s="85"/>
      <c r="Y24" s="86" t="s">
        <v>157</v>
      </c>
      <c r="Z24" s="86"/>
      <c r="AA24" s="87"/>
      <c r="AB24" s="84"/>
      <c r="AC24" s="85"/>
      <c r="AD24" s="85"/>
      <c r="AE24" s="85"/>
      <c r="AF24" s="88"/>
      <c r="AG24" s="84">
        <f t="shared" si="0"/>
        <v>0</v>
      </c>
      <c r="AH24" s="85"/>
      <c r="AI24" s="85"/>
      <c r="AJ24" s="85"/>
      <c r="AK24" s="85"/>
      <c r="AL24" s="85"/>
      <c r="AM24" s="88"/>
      <c r="AN24" s="218"/>
      <c r="AO24" s="219"/>
      <c r="AP24" s="219"/>
      <c r="AQ24" s="219"/>
      <c r="AR24" s="219"/>
      <c r="AS24" s="219"/>
      <c r="AT24" s="220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5" t="s">
        <v>174</v>
      </c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7"/>
      <c r="U25" s="84">
        <v>1</v>
      </c>
      <c r="V25" s="85"/>
      <c r="W25" s="85"/>
      <c r="X25" s="85"/>
      <c r="Y25" s="86" t="s">
        <v>157</v>
      </c>
      <c r="Z25" s="86"/>
      <c r="AA25" s="87"/>
      <c r="AB25" s="84"/>
      <c r="AC25" s="85"/>
      <c r="AD25" s="85"/>
      <c r="AE25" s="85"/>
      <c r="AF25" s="88"/>
      <c r="AG25" s="84">
        <f t="shared" si="0"/>
        <v>0</v>
      </c>
      <c r="AH25" s="85"/>
      <c r="AI25" s="85"/>
      <c r="AJ25" s="85"/>
      <c r="AK25" s="85"/>
      <c r="AL25" s="85"/>
      <c r="AM25" s="88"/>
      <c r="AN25" s="218"/>
      <c r="AO25" s="219"/>
      <c r="AP25" s="219"/>
      <c r="AQ25" s="219"/>
      <c r="AR25" s="219"/>
      <c r="AS25" s="219"/>
      <c r="AT25" s="220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5" t="s">
        <v>175</v>
      </c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7"/>
      <c r="U26" s="84">
        <v>5</v>
      </c>
      <c r="V26" s="85"/>
      <c r="W26" s="85"/>
      <c r="X26" s="85"/>
      <c r="Y26" s="86" t="s">
        <v>157</v>
      </c>
      <c r="Z26" s="86"/>
      <c r="AA26" s="87"/>
      <c r="AB26" s="84"/>
      <c r="AC26" s="85"/>
      <c r="AD26" s="85"/>
      <c r="AE26" s="85"/>
      <c r="AF26" s="88"/>
      <c r="AG26" s="84">
        <f t="shared" si="0"/>
        <v>0</v>
      </c>
      <c r="AH26" s="85"/>
      <c r="AI26" s="85"/>
      <c r="AJ26" s="85"/>
      <c r="AK26" s="85"/>
      <c r="AL26" s="85"/>
      <c r="AM26" s="88"/>
      <c r="AN26" s="218"/>
      <c r="AO26" s="219"/>
      <c r="AP26" s="219"/>
      <c r="AQ26" s="219"/>
      <c r="AR26" s="219"/>
      <c r="AS26" s="219"/>
      <c r="AT26" s="220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5" t="s">
        <v>176</v>
      </c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7"/>
      <c r="U27" s="84">
        <v>1</v>
      </c>
      <c r="V27" s="85"/>
      <c r="W27" s="85"/>
      <c r="X27" s="85"/>
      <c r="Y27" s="86" t="s">
        <v>157</v>
      </c>
      <c r="Z27" s="86"/>
      <c r="AA27" s="87"/>
      <c r="AB27" s="84"/>
      <c r="AC27" s="85"/>
      <c r="AD27" s="85"/>
      <c r="AE27" s="85"/>
      <c r="AF27" s="88"/>
      <c r="AG27" s="84">
        <f t="shared" si="0"/>
        <v>0</v>
      </c>
      <c r="AH27" s="85"/>
      <c r="AI27" s="85"/>
      <c r="AJ27" s="85"/>
      <c r="AK27" s="85"/>
      <c r="AL27" s="85"/>
      <c r="AM27" s="88"/>
      <c r="AN27" s="218"/>
      <c r="AO27" s="219"/>
      <c r="AP27" s="219"/>
      <c r="AQ27" s="219"/>
      <c r="AR27" s="219"/>
      <c r="AS27" s="219"/>
      <c r="AT27" s="220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5" t="s">
        <v>177</v>
      </c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7"/>
      <c r="U28" s="84">
        <v>1</v>
      </c>
      <c r="V28" s="85"/>
      <c r="W28" s="85"/>
      <c r="X28" s="85"/>
      <c r="Y28" s="86" t="s">
        <v>157</v>
      </c>
      <c r="Z28" s="86"/>
      <c r="AA28" s="87"/>
      <c r="AB28" s="84"/>
      <c r="AC28" s="85"/>
      <c r="AD28" s="85"/>
      <c r="AE28" s="85"/>
      <c r="AF28" s="88"/>
      <c r="AG28" s="84">
        <f t="shared" si="0"/>
        <v>0</v>
      </c>
      <c r="AH28" s="85"/>
      <c r="AI28" s="85"/>
      <c r="AJ28" s="85"/>
      <c r="AK28" s="85"/>
      <c r="AL28" s="85"/>
      <c r="AM28" s="88"/>
      <c r="AN28" s="218"/>
      <c r="AO28" s="219"/>
      <c r="AP28" s="219"/>
      <c r="AQ28" s="219"/>
      <c r="AR28" s="219"/>
      <c r="AS28" s="219"/>
      <c r="AT28" s="220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142</v>
      </c>
      <c r="C29" s="215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7"/>
      <c r="U29" s="84"/>
      <c r="V29" s="85"/>
      <c r="W29" s="85"/>
      <c r="X29" s="85"/>
      <c r="Y29" s="86"/>
      <c r="Z29" s="86"/>
      <c r="AA29" s="87"/>
      <c r="AB29" s="91"/>
      <c r="AC29" s="92"/>
      <c r="AD29" s="92"/>
      <c r="AE29" s="92"/>
      <c r="AF29" s="95"/>
      <c r="AG29" s="91">
        <f t="shared" si="0"/>
        <v>0</v>
      </c>
      <c r="AH29" s="92"/>
      <c r="AI29" s="92"/>
      <c r="AJ29" s="92"/>
      <c r="AK29" s="92"/>
      <c r="AL29" s="92"/>
      <c r="AM29" s="95"/>
      <c r="AN29" s="225"/>
      <c r="AO29" s="226"/>
      <c r="AP29" s="226"/>
      <c r="AQ29" s="226"/>
      <c r="AR29" s="226"/>
      <c r="AS29" s="226"/>
      <c r="AT29" s="227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27" t="s">
        <v>143</v>
      </c>
      <c r="V30" s="128"/>
      <c r="W30" s="128"/>
      <c r="X30" s="128"/>
      <c r="Y30" s="128"/>
      <c r="Z30" s="128"/>
      <c r="AA30" s="129"/>
      <c r="AB30" s="208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10"/>
      <c r="AO30" s="211"/>
      <c r="AP30" s="211"/>
      <c r="AQ30" s="211"/>
      <c r="AR30" s="211"/>
      <c r="AS30" s="211"/>
      <c r="AT30" s="21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0" t="s">
        <v>59</v>
      </c>
      <c r="CT103" s="9"/>
    </row>
    <row r="104" spans="97:98" ht="13.5" customHeight="1" x14ac:dyDescent="0.15">
      <c r="CS104" s="49" t="str">
        <f>出張デモ1!CS116</f>
        <v>台</v>
      </c>
      <c r="CT104" s="13"/>
    </row>
    <row r="105" spans="97:98" ht="13.5" customHeight="1" x14ac:dyDescent="0.15">
      <c r="CS105" s="49" t="str">
        <f>出張デモ1!CS117</f>
        <v>個</v>
      </c>
      <c r="CT105" s="13"/>
    </row>
    <row r="106" spans="97:98" ht="13.5" customHeight="1" x14ac:dyDescent="0.15">
      <c r="CS106" s="49" t="str">
        <f>出張デモ1!CS118</f>
        <v>一式</v>
      </c>
      <c r="CT106" s="16"/>
    </row>
    <row r="107" spans="97:98" ht="13.5" customHeight="1" x14ac:dyDescent="0.15">
      <c r="CS107" s="49" t="str">
        <f>出張デモ1!CS119</f>
        <v>冊</v>
      </c>
      <c r="CT107" s="13"/>
    </row>
    <row r="108" spans="97:98" ht="13.5" customHeight="1" x14ac:dyDescent="0.15">
      <c r="CS108" s="49" t="str">
        <f>出張デモ1!CS120</f>
        <v>箱</v>
      </c>
      <c r="CT108" s="13"/>
    </row>
    <row r="109" spans="97:98" ht="13.5" customHeight="1" x14ac:dyDescent="0.15">
      <c r="CS109" s="49" t="str">
        <f>出張デモ1!CS121</f>
        <v>C/S</v>
      </c>
      <c r="CT109" s="15"/>
    </row>
    <row r="110" spans="97:98" ht="13.5" customHeight="1" x14ac:dyDescent="0.15">
      <c r="CS110" s="49" t="str">
        <f>出張デモ1!CS122</f>
        <v>SET</v>
      </c>
      <c r="CT110" s="15"/>
    </row>
    <row r="111" spans="97:98" ht="13.5" customHeight="1" x14ac:dyDescent="0.15">
      <c r="CS111" s="49" t="str">
        <f>出張デモ1!CS123</f>
        <v>本</v>
      </c>
      <c r="CT111" s="13"/>
    </row>
    <row r="112" spans="97:98" ht="13.5" customHeight="1" x14ac:dyDescent="0.15">
      <c r="CS112" s="49" t="str">
        <f>出張デモ1!CS124</f>
        <v>束</v>
      </c>
      <c r="CT112" s="13"/>
    </row>
    <row r="113" spans="87:125" ht="13.5" customHeight="1" x14ac:dyDescent="0.15">
      <c r="CS113" s="49" t="str">
        <f>出張デモ1!CS125</f>
        <v>枚</v>
      </c>
      <c r="CT113" s="13"/>
    </row>
    <row r="114" spans="87:125" ht="13.5" customHeight="1" x14ac:dyDescent="0.15">
      <c r="CS114" s="49" t="str">
        <f>出張デモ1!CS126</f>
        <v>ﾊﾟｯｸ</v>
      </c>
      <c r="CT114" s="16"/>
    </row>
    <row r="115" spans="87:125" ht="13.5" customHeight="1" x14ac:dyDescent="0.15">
      <c r="CS115" s="49" t="str">
        <f>出張デモ1!CS127</f>
        <v>ｷｯﾄ</v>
      </c>
      <c r="CT115" s="13"/>
    </row>
    <row r="116" spans="87:125" ht="13.5" customHeight="1" x14ac:dyDescent="0.15">
      <c r="CS116" s="49">
        <f>出張デモ1!CS128</f>
        <v>0</v>
      </c>
      <c r="CT116" s="13"/>
    </row>
    <row r="119" spans="87:125" ht="13.5" customHeight="1" x14ac:dyDescent="0.15">
      <c r="CI119" s="102" t="s">
        <v>112</v>
      </c>
      <c r="CJ119" s="102"/>
      <c r="CK119" s="102"/>
      <c r="CL119" s="102"/>
      <c r="CM119" s="213" t="str">
        <f>出張デモ1!CM131</f>
        <v>C:\Documents and Settings\sato\My Documents\シンプル見積書\</v>
      </c>
      <c r="CN119" s="214"/>
      <c r="CO119" s="214"/>
      <c r="CP119" s="214"/>
      <c r="CQ119" s="214"/>
      <c r="CR119" s="214"/>
      <c r="CS119" s="214"/>
      <c r="CT119" s="214"/>
      <c r="CU119" s="214"/>
      <c r="CV119" s="214"/>
      <c r="CW119" s="214"/>
      <c r="CX119" s="214"/>
      <c r="CY119" s="214"/>
      <c r="CZ119" s="214"/>
      <c r="DA119" s="214"/>
      <c r="DB119" s="214"/>
      <c r="DC119" s="214"/>
      <c r="DD119" s="214"/>
      <c r="DE119" s="214"/>
      <c r="DF119" s="214"/>
      <c r="DG119" s="214"/>
      <c r="DH119" s="214"/>
      <c r="DI119" s="214"/>
      <c r="DJ119" s="214"/>
      <c r="DK119" s="214"/>
      <c r="DO119" s="57" t="str">
        <f>出張デモ1!$DO$131</f>
        <v>マスタ 1.xls</v>
      </c>
      <c r="DP119" s="58"/>
      <c r="DQ119" s="58"/>
      <c r="DR119" s="58"/>
      <c r="DS119" s="58"/>
      <c r="DT119" s="58"/>
      <c r="DU119" s="59"/>
    </row>
    <row r="120" spans="87:125" ht="13.5" customHeight="1" x14ac:dyDescent="0.15">
      <c r="CI120" s="102" t="s">
        <v>144</v>
      </c>
      <c r="CJ120" s="102"/>
      <c r="CK120" s="102"/>
      <c r="CL120" s="102"/>
      <c r="CM120" s="213">
        <f>出張デモ1!CM132</f>
        <v>0</v>
      </c>
      <c r="CN120" s="214"/>
      <c r="CO120" s="214"/>
      <c r="CP120" s="214"/>
      <c r="CQ120" s="214"/>
      <c r="CR120" s="214"/>
      <c r="CS120" s="214"/>
      <c r="CT120" s="214"/>
      <c r="CU120" s="214"/>
      <c r="CV120" s="214"/>
      <c r="CW120" s="214"/>
      <c r="CX120" s="214"/>
      <c r="CY120" s="214"/>
      <c r="CZ120" s="214"/>
      <c r="DA120" s="214"/>
      <c r="DB120" s="214"/>
      <c r="DC120" s="214"/>
      <c r="DD120" s="214"/>
      <c r="DE120" s="214"/>
      <c r="DF120" s="214"/>
      <c r="DG120" s="214"/>
      <c r="DH120" s="214"/>
      <c r="DI120" s="214"/>
      <c r="DJ120" s="214"/>
      <c r="DK120" s="214"/>
    </row>
    <row r="178" spans="16:16" ht="13.5" customHeight="1" x14ac:dyDescent="0.15">
      <c r="P178" s="22">
        <f>出張デモ1!P189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3"/>
  <dataValidations xWindow="623" yWindow="1322" count="6">
    <dataValidation imeMode="hiragana" allowBlank="1" showInputMessage="1" showErrorMessage="1" prompt="品名を入力" sqref="C7:C29 D18:T29 D7:T7" xr:uid="{00000000-0002-0000-0400-000000000000}"/>
    <dataValidation imeMode="off" allowBlank="1" showInputMessage="1" showErrorMessage="1" prompt="数量を入力" sqref="U7:X29" xr:uid="{00000000-0002-0000-0400-000001000000}"/>
    <dataValidation imeMode="off" allowBlank="1" showInputMessage="1" showErrorMessage="1" prompt="単価を入力" sqref="AB7:AF29" xr:uid="{00000000-0002-0000-0400-000002000000}"/>
    <dataValidation imeMode="hiragana" allowBlank="1" showInputMessage="1" showErrorMessage="1" prompt="備考があれば入力" sqref="AN7:AT29" xr:uid="{00000000-0002-0000-0400-000003000000}"/>
    <dataValidation type="list" imeMode="hiragana" allowBlank="1" showInputMessage="1" showErrorMessage="1" prompt="ボタンを押し単位を入力" sqref="Y29:AA29" xr:uid="{00000000-0002-0000-0400-000004000000}">
      <formula1>$CS$104:$CS$116</formula1>
    </dataValidation>
    <dataValidation type="list" imeMode="hiragana" allowBlank="1" showInputMessage="1" showErrorMessage="1" prompt="ボタンを押し単位を入力" sqref="Y7:AA28" xr:uid="{3E07CC42-A95D-442E-ADC2-ECA72519FF50}">
      <formula1>$CS$103:$CS$115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21" t="s">
        <v>178</v>
      </c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AL3" s="5" t="s">
        <v>3</v>
      </c>
      <c r="AM3" s="5"/>
      <c r="AN3" s="224"/>
      <c r="AO3" s="224"/>
      <c r="AP3" s="224"/>
      <c r="AQ3" s="224"/>
      <c r="AR3" s="224"/>
      <c r="AS3" s="74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58" t="s">
        <v>133</v>
      </c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60"/>
      <c r="U5" s="150" t="s">
        <v>26</v>
      </c>
      <c r="V5" s="151"/>
      <c r="W5" s="151"/>
      <c r="X5" s="151"/>
      <c r="Y5" s="151"/>
      <c r="Z5" s="151"/>
      <c r="AA5" s="156"/>
      <c r="AB5" s="150" t="s">
        <v>134</v>
      </c>
      <c r="AC5" s="151"/>
      <c r="AD5" s="151"/>
      <c r="AE5" s="151"/>
      <c r="AF5" s="151"/>
      <c r="AG5" s="150" t="s">
        <v>28</v>
      </c>
      <c r="AH5" s="151"/>
      <c r="AI5" s="151"/>
      <c r="AJ5" s="151"/>
      <c r="AK5" s="151"/>
      <c r="AL5" s="151"/>
      <c r="AM5" s="156"/>
      <c r="AN5" s="150" t="s">
        <v>29</v>
      </c>
      <c r="AO5" s="151"/>
      <c r="AP5" s="151"/>
      <c r="AQ5" s="151"/>
      <c r="AR5" s="151"/>
      <c r="AS5" s="151"/>
      <c r="AT5" s="154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61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3"/>
      <c r="U6" s="152"/>
      <c r="V6" s="153"/>
      <c r="W6" s="153"/>
      <c r="X6" s="153"/>
      <c r="Y6" s="153"/>
      <c r="Z6" s="153"/>
      <c r="AA6" s="157"/>
      <c r="AB6" s="152"/>
      <c r="AC6" s="153"/>
      <c r="AD6" s="153"/>
      <c r="AE6" s="153"/>
      <c r="AF6" s="153"/>
      <c r="AG6" s="152"/>
      <c r="AH6" s="153"/>
      <c r="AI6" s="153"/>
      <c r="AJ6" s="153"/>
      <c r="AK6" s="153"/>
      <c r="AL6" s="153"/>
      <c r="AM6" s="157"/>
      <c r="AN6" s="152"/>
      <c r="AO6" s="153"/>
      <c r="AP6" s="153"/>
      <c r="AQ6" s="153"/>
      <c r="AR6" s="153"/>
      <c r="AS6" s="153"/>
      <c r="AT6" s="155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78"/>
      <c r="BM6" s="1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5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7"/>
      <c r="U7" s="84"/>
      <c r="V7" s="85"/>
      <c r="W7" s="85"/>
      <c r="X7" s="85"/>
      <c r="Y7" s="86"/>
      <c r="Z7" s="86"/>
      <c r="AA7" s="87"/>
      <c r="AB7" s="84">
        <f>SUM(Y19)</f>
        <v>0</v>
      </c>
      <c r="AC7" s="85"/>
      <c r="AD7" s="85"/>
      <c r="AE7" s="85"/>
      <c r="AF7" s="88"/>
      <c r="AG7" s="84">
        <f>IF(U7="",1*AB7,U7*AB7)</f>
        <v>0</v>
      </c>
      <c r="AH7" s="85"/>
      <c r="AI7" s="85"/>
      <c r="AJ7" s="85"/>
      <c r="AK7" s="85"/>
      <c r="AL7" s="85"/>
      <c r="AM7" s="88"/>
      <c r="AN7" s="218"/>
      <c r="AO7" s="219"/>
      <c r="AP7" s="219"/>
      <c r="AQ7" s="219"/>
      <c r="AR7" s="219"/>
      <c r="AS7" s="219"/>
      <c r="AT7" s="220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45"/>
      <c r="BM7" s="46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5"/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7"/>
      <c r="U8" s="84"/>
      <c r="V8" s="85"/>
      <c r="W8" s="85"/>
      <c r="X8" s="85"/>
      <c r="Y8" s="86"/>
      <c r="Z8" s="86"/>
      <c r="AA8" s="87"/>
      <c r="AB8" s="84"/>
      <c r="AC8" s="85"/>
      <c r="AD8" s="85"/>
      <c r="AE8" s="85"/>
      <c r="AF8" s="88"/>
      <c r="AG8" s="84">
        <f t="shared" ref="AG8:AG29" si="0">IF(U8="",1*AB8,U8*AB8)</f>
        <v>0</v>
      </c>
      <c r="AH8" s="85"/>
      <c r="AI8" s="85"/>
      <c r="AJ8" s="85"/>
      <c r="AK8" s="85"/>
      <c r="AL8" s="85"/>
      <c r="AM8" s="88"/>
      <c r="AN8" s="218"/>
      <c r="AO8" s="219"/>
      <c r="AP8" s="219"/>
      <c r="AQ8" s="219"/>
      <c r="AR8" s="219"/>
      <c r="AS8" s="219"/>
      <c r="AT8" s="220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45"/>
      <c r="BM8" s="46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5"/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7"/>
      <c r="U9" s="84"/>
      <c r="V9" s="85"/>
      <c r="W9" s="85"/>
      <c r="X9" s="85"/>
      <c r="Y9" s="86"/>
      <c r="Z9" s="86"/>
      <c r="AA9" s="87"/>
      <c r="AB9" s="84"/>
      <c r="AC9" s="85"/>
      <c r="AD9" s="85"/>
      <c r="AE9" s="85"/>
      <c r="AF9" s="88"/>
      <c r="AG9" s="84">
        <f t="shared" si="0"/>
        <v>0</v>
      </c>
      <c r="AH9" s="85"/>
      <c r="AI9" s="85"/>
      <c r="AJ9" s="85"/>
      <c r="AK9" s="85"/>
      <c r="AL9" s="85"/>
      <c r="AM9" s="88"/>
      <c r="AN9" s="218"/>
      <c r="AO9" s="219"/>
      <c r="AP9" s="219"/>
      <c r="AQ9" s="219"/>
      <c r="AR9" s="219"/>
      <c r="AS9" s="219"/>
      <c r="AT9" s="220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45"/>
      <c r="BM9" s="46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5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84"/>
      <c r="V10" s="85"/>
      <c r="W10" s="85"/>
      <c r="X10" s="85"/>
      <c r="Y10" s="86"/>
      <c r="Z10" s="86"/>
      <c r="AA10" s="87"/>
      <c r="AB10" s="84"/>
      <c r="AC10" s="85"/>
      <c r="AD10" s="85"/>
      <c r="AE10" s="85"/>
      <c r="AF10" s="88"/>
      <c r="AG10" s="84">
        <f t="shared" si="0"/>
        <v>0</v>
      </c>
      <c r="AH10" s="85"/>
      <c r="AI10" s="85"/>
      <c r="AJ10" s="85"/>
      <c r="AK10" s="85"/>
      <c r="AL10" s="85"/>
      <c r="AM10" s="88"/>
      <c r="AN10" s="218"/>
      <c r="AO10" s="219"/>
      <c r="AP10" s="219"/>
      <c r="AQ10" s="219"/>
      <c r="AR10" s="219"/>
      <c r="AS10" s="219"/>
      <c r="AT10" s="220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45"/>
      <c r="BM10" s="46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5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7"/>
      <c r="U11" s="84"/>
      <c r="V11" s="85"/>
      <c r="W11" s="85"/>
      <c r="X11" s="85"/>
      <c r="Y11" s="86"/>
      <c r="Z11" s="86"/>
      <c r="AA11" s="87"/>
      <c r="AB11" s="84"/>
      <c r="AC11" s="85"/>
      <c r="AD11" s="85"/>
      <c r="AE11" s="85"/>
      <c r="AF11" s="88"/>
      <c r="AG11" s="84">
        <f t="shared" si="0"/>
        <v>0</v>
      </c>
      <c r="AH11" s="85"/>
      <c r="AI11" s="85"/>
      <c r="AJ11" s="85"/>
      <c r="AK11" s="85"/>
      <c r="AL11" s="85"/>
      <c r="AM11" s="88"/>
      <c r="AN11" s="218"/>
      <c r="AO11" s="219"/>
      <c r="AP11" s="219"/>
      <c r="AQ11" s="219"/>
      <c r="AR11" s="219"/>
      <c r="AS11" s="219"/>
      <c r="AT11" s="220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45"/>
      <c r="BM11" s="46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5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7"/>
      <c r="U12" s="84"/>
      <c r="V12" s="85"/>
      <c r="W12" s="85"/>
      <c r="X12" s="85"/>
      <c r="Y12" s="86"/>
      <c r="Z12" s="86"/>
      <c r="AA12" s="87"/>
      <c r="AB12" s="84"/>
      <c r="AC12" s="85"/>
      <c r="AD12" s="85"/>
      <c r="AE12" s="85"/>
      <c r="AF12" s="88"/>
      <c r="AG12" s="84">
        <f t="shared" si="0"/>
        <v>0</v>
      </c>
      <c r="AH12" s="85"/>
      <c r="AI12" s="85"/>
      <c r="AJ12" s="85"/>
      <c r="AK12" s="85"/>
      <c r="AL12" s="85"/>
      <c r="AM12" s="88"/>
      <c r="AN12" s="218"/>
      <c r="AO12" s="219"/>
      <c r="AP12" s="219"/>
      <c r="AQ12" s="219"/>
      <c r="AR12" s="219"/>
      <c r="AS12" s="219"/>
      <c r="AT12" s="220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45"/>
      <c r="BM12" s="45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5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7"/>
      <c r="U13" s="84"/>
      <c r="V13" s="85"/>
      <c r="W13" s="85"/>
      <c r="X13" s="85"/>
      <c r="Y13" s="86"/>
      <c r="Z13" s="86"/>
      <c r="AA13" s="87"/>
      <c r="AB13" s="84"/>
      <c r="AC13" s="85"/>
      <c r="AD13" s="85"/>
      <c r="AE13" s="85"/>
      <c r="AF13" s="88"/>
      <c r="AG13" s="84">
        <f t="shared" si="0"/>
        <v>0</v>
      </c>
      <c r="AH13" s="85"/>
      <c r="AI13" s="85"/>
      <c r="AJ13" s="85"/>
      <c r="AK13" s="85"/>
      <c r="AL13" s="85"/>
      <c r="AM13" s="88"/>
      <c r="AN13" s="225"/>
      <c r="AO13" s="226"/>
      <c r="AP13" s="226"/>
      <c r="AQ13" s="226"/>
      <c r="AR13" s="226"/>
      <c r="AS13" s="226"/>
      <c r="AT13" s="227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45"/>
      <c r="BM13" s="45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5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7"/>
      <c r="U14" s="84"/>
      <c r="V14" s="85"/>
      <c r="W14" s="85"/>
      <c r="X14" s="85"/>
      <c r="Y14" s="86"/>
      <c r="Z14" s="86"/>
      <c r="AA14" s="87"/>
      <c r="AB14" s="84"/>
      <c r="AC14" s="85"/>
      <c r="AD14" s="85"/>
      <c r="AE14" s="85"/>
      <c r="AF14" s="88"/>
      <c r="AG14" s="84">
        <f t="shared" si="0"/>
        <v>0</v>
      </c>
      <c r="AH14" s="85"/>
      <c r="AI14" s="85"/>
      <c r="AJ14" s="85"/>
      <c r="AK14" s="85"/>
      <c r="AL14" s="85"/>
      <c r="AM14" s="88"/>
      <c r="AN14" s="225"/>
      <c r="AO14" s="226"/>
      <c r="AP14" s="226"/>
      <c r="AQ14" s="226"/>
      <c r="AR14" s="226"/>
      <c r="AS14" s="226"/>
      <c r="AT14" s="227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45"/>
      <c r="BM14" s="46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5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7"/>
      <c r="U15" s="84"/>
      <c r="V15" s="85"/>
      <c r="W15" s="85"/>
      <c r="X15" s="85"/>
      <c r="Y15" s="86"/>
      <c r="Z15" s="86"/>
      <c r="AA15" s="87"/>
      <c r="AB15" s="84"/>
      <c r="AC15" s="85"/>
      <c r="AD15" s="85"/>
      <c r="AE15" s="85"/>
      <c r="AF15" s="88"/>
      <c r="AG15" s="84">
        <f t="shared" si="0"/>
        <v>0</v>
      </c>
      <c r="AH15" s="85"/>
      <c r="AI15" s="85"/>
      <c r="AJ15" s="85"/>
      <c r="AK15" s="85"/>
      <c r="AL15" s="85"/>
      <c r="AM15" s="88"/>
      <c r="AN15" s="225"/>
      <c r="AO15" s="226"/>
      <c r="AP15" s="226"/>
      <c r="AQ15" s="226"/>
      <c r="AR15" s="226"/>
      <c r="AS15" s="226"/>
      <c r="AT15" s="227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45"/>
      <c r="BM15" s="46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5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7"/>
      <c r="U16" s="84"/>
      <c r="V16" s="85"/>
      <c r="W16" s="85"/>
      <c r="X16" s="85"/>
      <c r="Y16" s="86"/>
      <c r="Z16" s="86"/>
      <c r="AA16" s="87"/>
      <c r="AB16" s="84"/>
      <c r="AC16" s="85"/>
      <c r="AD16" s="85"/>
      <c r="AE16" s="85"/>
      <c r="AF16" s="88"/>
      <c r="AG16" s="84">
        <f t="shared" si="0"/>
        <v>0</v>
      </c>
      <c r="AH16" s="85"/>
      <c r="AI16" s="85"/>
      <c r="AJ16" s="85"/>
      <c r="AK16" s="85"/>
      <c r="AL16" s="85"/>
      <c r="AM16" s="88"/>
      <c r="AN16" s="225"/>
      <c r="AO16" s="226"/>
      <c r="AP16" s="226"/>
      <c r="AQ16" s="226"/>
      <c r="AR16" s="226"/>
      <c r="AS16" s="226"/>
      <c r="AT16" s="227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45"/>
      <c r="BM16" s="46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5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7"/>
      <c r="U17" s="84"/>
      <c r="V17" s="85"/>
      <c r="W17" s="85"/>
      <c r="X17" s="85"/>
      <c r="Y17" s="86"/>
      <c r="Z17" s="86"/>
      <c r="AA17" s="87"/>
      <c r="AB17" s="84"/>
      <c r="AC17" s="85"/>
      <c r="AD17" s="85"/>
      <c r="AE17" s="85"/>
      <c r="AF17" s="88"/>
      <c r="AG17" s="84">
        <f t="shared" si="0"/>
        <v>0</v>
      </c>
      <c r="AH17" s="85"/>
      <c r="AI17" s="85"/>
      <c r="AJ17" s="85"/>
      <c r="AK17" s="85"/>
      <c r="AL17" s="85"/>
      <c r="AM17" s="88"/>
      <c r="AN17" s="225"/>
      <c r="AO17" s="226"/>
      <c r="AP17" s="226"/>
      <c r="AQ17" s="226"/>
      <c r="AR17" s="226"/>
      <c r="AS17" s="226"/>
      <c r="AT17" s="227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45"/>
      <c r="BM17" s="46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5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7"/>
      <c r="U18" s="84"/>
      <c r="V18" s="85"/>
      <c r="W18" s="85"/>
      <c r="X18" s="85"/>
      <c r="Y18" s="86"/>
      <c r="Z18" s="86"/>
      <c r="AA18" s="87"/>
      <c r="AB18" s="84"/>
      <c r="AC18" s="85"/>
      <c r="AD18" s="85"/>
      <c r="AE18" s="85"/>
      <c r="AF18" s="88"/>
      <c r="AG18" s="84">
        <f t="shared" si="0"/>
        <v>0</v>
      </c>
      <c r="AH18" s="85"/>
      <c r="AI18" s="85"/>
      <c r="AJ18" s="85"/>
      <c r="AK18" s="85"/>
      <c r="AL18" s="85"/>
      <c r="AM18" s="88"/>
      <c r="AN18" s="225"/>
      <c r="AO18" s="226"/>
      <c r="AP18" s="226"/>
      <c r="AQ18" s="226"/>
      <c r="AR18" s="226"/>
      <c r="AS18" s="226"/>
      <c r="AT18" s="227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45"/>
      <c r="BM18" s="46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5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7"/>
      <c r="U19" s="84"/>
      <c r="V19" s="85"/>
      <c r="W19" s="85"/>
      <c r="X19" s="85"/>
      <c r="Y19" s="86"/>
      <c r="Z19" s="86"/>
      <c r="AA19" s="87"/>
      <c r="AB19" s="84"/>
      <c r="AC19" s="85"/>
      <c r="AD19" s="85"/>
      <c r="AE19" s="85"/>
      <c r="AF19" s="88"/>
      <c r="AG19" s="84">
        <f t="shared" si="0"/>
        <v>0</v>
      </c>
      <c r="AH19" s="85"/>
      <c r="AI19" s="85"/>
      <c r="AJ19" s="85"/>
      <c r="AK19" s="85"/>
      <c r="AL19" s="85"/>
      <c r="AM19" s="88"/>
      <c r="AN19" s="225"/>
      <c r="AO19" s="226"/>
      <c r="AP19" s="226"/>
      <c r="AQ19" s="226"/>
      <c r="AR19" s="226"/>
      <c r="AS19" s="226"/>
      <c r="AT19" s="227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45"/>
      <c r="BM19" s="46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5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7"/>
      <c r="U20" s="84"/>
      <c r="V20" s="85"/>
      <c r="W20" s="85"/>
      <c r="X20" s="85"/>
      <c r="Y20" s="86"/>
      <c r="Z20" s="86"/>
      <c r="AA20" s="87"/>
      <c r="AB20" s="84"/>
      <c r="AC20" s="85"/>
      <c r="AD20" s="85"/>
      <c r="AE20" s="85"/>
      <c r="AF20" s="88"/>
      <c r="AG20" s="84">
        <f t="shared" si="0"/>
        <v>0</v>
      </c>
      <c r="AH20" s="85"/>
      <c r="AI20" s="85"/>
      <c r="AJ20" s="85"/>
      <c r="AK20" s="85"/>
      <c r="AL20" s="85"/>
      <c r="AM20" s="88"/>
      <c r="AN20" s="225"/>
      <c r="AO20" s="226"/>
      <c r="AP20" s="226"/>
      <c r="AQ20" s="226"/>
      <c r="AR20" s="226"/>
      <c r="AS20" s="226"/>
      <c r="AT20" s="227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5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7"/>
      <c r="U21" s="84"/>
      <c r="V21" s="85"/>
      <c r="W21" s="85"/>
      <c r="X21" s="85"/>
      <c r="Y21" s="86"/>
      <c r="Z21" s="86"/>
      <c r="AA21" s="87"/>
      <c r="AB21" s="84"/>
      <c r="AC21" s="85"/>
      <c r="AD21" s="85"/>
      <c r="AE21" s="85"/>
      <c r="AF21" s="88"/>
      <c r="AG21" s="84">
        <f t="shared" si="0"/>
        <v>0</v>
      </c>
      <c r="AH21" s="85"/>
      <c r="AI21" s="85"/>
      <c r="AJ21" s="85"/>
      <c r="AK21" s="85"/>
      <c r="AL21" s="85"/>
      <c r="AM21" s="88"/>
      <c r="AN21" s="225"/>
      <c r="AO21" s="226"/>
      <c r="AP21" s="226"/>
      <c r="AQ21" s="226"/>
      <c r="AR21" s="226"/>
      <c r="AS21" s="226"/>
      <c r="AT21" s="227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5"/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7"/>
      <c r="U22" s="84"/>
      <c r="V22" s="85"/>
      <c r="W22" s="85"/>
      <c r="X22" s="85"/>
      <c r="Y22" s="86"/>
      <c r="Z22" s="86"/>
      <c r="AA22" s="87"/>
      <c r="AB22" s="84"/>
      <c r="AC22" s="85"/>
      <c r="AD22" s="85"/>
      <c r="AE22" s="85"/>
      <c r="AF22" s="88"/>
      <c r="AG22" s="84">
        <f t="shared" si="0"/>
        <v>0</v>
      </c>
      <c r="AH22" s="85"/>
      <c r="AI22" s="85"/>
      <c r="AJ22" s="85"/>
      <c r="AK22" s="85"/>
      <c r="AL22" s="85"/>
      <c r="AM22" s="88"/>
      <c r="AN22" s="225"/>
      <c r="AO22" s="226"/>
      <c r="AP22" s="226"/>
      <c r="AQ22" s="226"/>
      <c r="AR22" s="226"/>
      <c r="AS22" s="226"/>
      <c r="AT22" s="227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5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7"/>
      <c r="U23" s="84"/>
      <c r="V23" s="85"/>
      <c r="W23" s="85"/>
      <c r="X23" s="85"/>
      <c r="Y23" s="86"/>
      <c r="Z23" s="86"/>
      <c r="AA23" s="87"/>
      <c r="AB23" s="84"/>
      <c r="AC23" s="85"/>
      <c r="AD23" s="85"/>
      <c r="AE23" s="85"/>
      <c r="AF23" s="88"/>
      <c r="AG23" s="84">
        <f t="shared" si="0"/>
        <v>0</v>
      </c>
      <c r="AH23" s="85"/>
      <c r="AI23" s="85"/>
      <c r="AJ23" s="85"/>
      <c r="AK23" s="85"/>
      <c r="AL23" s="85"/>
      <c r="AM23" s="88"/>
      <c r="AN23" s="225"/>
      <c r="AO23" s="226"/>
      <c r="AP23" s="226"/>
      <c r="AQ23" s="226"/>
      <c r="AR23" s="226"/>
      <c r="AS23" s="226"/>
      <c r="AT23" s="227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5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7"/>
      <c r="U24" s="84"/>
      <c r="V24" s="85"/>
      <c r="W24" s="85"/>
      <c r="X24" s="85"/>
      <c r="Y24" s="86"/>
      <c r="Z24" s="86"/>
      <c r="AA24" s="87"/>
      <c r="AB24" s="84"/>
      <c r="AC24" s="85"/>
      <c r="AD24" s="85"/>
      <c r="AE24" s="85"/>
      <c r="AF24" s="88"/>
      <c r="AG24" s="84">
        <f t="shared" si="0"/>
        <v>0</v>
      </c>
      <c r="AH24" s="85"/>
      <c r="AI24" s="85"/>
      <c r="AJ24" s="85"/>
      <c r="AK24" s="85"/>
      <c r="AL24" s="85"/>
      <c r="AM24" s="88"/>
      <c r="AN24" s="225"/>
      <c r="AO24" s="226"/>
      <c r="AP24" s="226"/>
      <c r="AQ24" s="226"/>
      <c r="AR24" s="226"/>
      <c r="AS24" s="226"/>
      <c r="AT24" s="227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5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7"/>
      <c r="U25" s="84"/>
      <c r="V25" s="85"/>
      <c r="W25" s="85"/>
      <c r="X25" s="85"/>
      <c r="Y25" s="86"/>
      <c r="Z25" s="86"/>
      <c r="AA25" s="87"/>
      <c r="AB25" s="84"/>
      <c r="AC25" s="85"/>
      <c r="AD25" s="85"/>
      <c r="AE25" s="85"/>
      <c r="AF25" s="88"/>
      <c r="AG25" s="84">
        <f t="shared" si="0"/>
        <v>0</v>
      </c>
      <c r="AH25" s="85"/>
      <c r="AI25" s="85"/>
      <c r="AJ25" s="85"/>
      <c r="AK25" s="85"/>
      <c r="AL25" s="85"/>
      <c r="AM25" s="88"/>
      <c r="AN25" s="225"/>
      <c r="AO25" s="226"/>
      <c r="AP25" s="226"/>
      <c r="AQ25" s="226"/>
      <c r="AR25" s="226"/>
      <c r="AS25" s="226"/>
      <c r="AT25" s="227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5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7"/>
      <c r="U26" s="84"/>
      <c r="V26" s="85"/>
      <c r="W26" s="85"/>
      <c r="X26" s="85"/>
      <c r="Y26" s="86"/>
      <c r="Z26" s="86"/>
      <c r="AA26" s="87"/>
      <c r="AB26" s="84"/>
      <c r="AC26" s="85"/>
      <c r="AD26" s="85"/>
      <c r="AE26" s="85"/>
      <c r="AF26" s="88"/>
      <c r="AG26" s="84">
        <f t="shared" si="0"/>
        <v>0</v>
      </c>
      <c r="AH26" s="85"/>
      <c r="AI26" s="85"/>
      <c r="AJ26" s="85"/>
      <c r="AK26" s="85"/>
      <c r="AL26" s="85"/>
      <c r="AM26" s="88"/>
      <c r="AN26" s="225"/>
      <c r="AO26" s="226"/>
      <c r="AP26" s="226"/>
      <c r="AQ26" s="226"/>
      <c r="AR26" s="226"/>
      <c r="AS26" s="226"/>
      <c r="AT26" s="227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5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7"/>
      <c r="U27" s="84"/>
      <c r="V27" s="85"/>
      <c r="W27" s="85"/>
      <c r="X27" s="85"/>
      <c r="Y27" s="86"/>
      <c r="Z27" s="86"/>
      <c r="AA27" s="87"/>
      <c r="AB27" s="84"/>
      <c r="AC27" s="85"/>
      <c r="AD27" s="85"/>
      <c r="AE27" s="85"/>
      <c r="AF27" s="88"/>
      <c r="AG27" s="84">
        <f t="shared" si="0"/>
        <v>0</v>
      </c>
      <c r="AH27" s="85"/>
      <c r="AI27" s="85"/>
      <c r="AJ27" s="85"/>
      <c r="AK27" s="85"/>
      <c r="AL27" s="85"/>
      <c r="AM27" s="88"/>
      <c r="AN27" s="225"/>
      <c r="AO27" s="226"/>
      <c r="AP27" s="226"/>
      <c r="AQ27" s="226"/>
      <c r="AR27" s="226"/>
      <c r="AS27" s="226"/>
      <c r="AT27" s="227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5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7"/>
      <c r="U28" s="84"/>
      <c r="V28" s="85"/>
      <c r="W28" s="85"/>
      <c r="X28" s="85"/>
      <c r="Y28" s="86"/>
      <c r="Z28" s="86"/>
      <c r="AA28" s="87"/>
      <c r="AB28" s="84"/>
      <c r="AC28" s="85"/>
      <c r="AD28" s="85"/>
      <c r="AE28" s="85"/>
      <c r="AF28" s="88"/>
      <c r="AG28" s="84">
        <f t="shared" si="0"/>
        <v>0</v>
      </c>
      <c r="AH28" s="85"/>
      <c r="AI28" s="85"/>
      <c r="AJ28" s="85"/>
      <c r="AK28" s="85"/>
      <c r="AL28" s="85"/>
      <c r="AM28" s="88"/>
      <c r="AN28" s="225"/>
      <c r="AO28" s="226"/>
      <c r="AP28" s="226"/>
      <c r="AQ28" s="226"/>
      <c r="AR28" s="226"/>
      <c r="AS28" s="226"/>
      <c r="AT28" s="227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142</v>
      </c>
      <c r="C29" s="215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7"/>
      <c r="U29" s="84"/>
      <c r="V29" s="85"/>
      <c r="W29" s="85"/>
      <c r="X29" s="85"/>
      <c r="Y29" s="86"/>
      <c r="Z29" s="86"/>
      <c r="AA29" s="87"/>
      <c r="AB29" s="91"/>
      <c r="AC29" s="92"/>
      <c r="AD29" s="92"/>
      <c r="AE29" s="92"/>
      <c r="AF29" s="95"/>
      <c r="AG29" s="91">
        <f t="shared" si="0"/>
        <v>0</v>
      </c>
      <c r="AH29" s="92"/>
      <c r="AI29" s="92"/>
      <c r="AJ29" s="92"/>
      <c r="AK29" s="92"/>
      <c r="AL29" s="92"/>
      <c r="AM29" s="95"/>
      <c r="AN29" s="225"/>
      <c r="AO29" s="226"/>
      <c r="AP29" s="226"/>
      <c r="AQ29" s="226"/>
      <c r="AR29" s="226"/>
      <c r="AS29" s="226"/>
      <c r="AT29" s="227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27" t="s">
        <v>143</v>
      </c>
      <c r="V30" s="128"/>
      <c r="W30" s="128"/>
      <c r="X30" s="128"/>
      <c r="Y30" s="128"/>
      <c r="Z30" s="128"/>
      <c r="AA30" s="129"/>
      <c r="AB30" s="208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10"/>
      <c r="AO30" s="211"/>
      <c r="AP30" s="211"/>
      <c r="AQ30" s="211"/>
      <c r="AR30" s="211"/>
      <c r="AS30" s="211"/>
      <c r="AT30" s="212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0" t="s">
        <v>59</v>
      </c>
      <c r="CT103" s="9"/>
    </row>
    <row r="104" spans="97:98" ht="13.5" customHeight="1" x14ac:dyDescent="0.15">
      <c r="CS104" s="49" t="str">
        <f>出張デモ1!CS116</f>
        <v>台</v>
      </c>
      <c r="CT104" s="13"/>
    </row>
    <row r="105" spans="97:98" ht="13.5" customHeight="1" x14ac:dyDescent="0.15">
      <c r="CS105" s="49" t="str">
        <f>出張デモ1!CS117</f>
        <v>個</v>
      </c>
      <c r="CT105" s="13"/>
    </row>
    <row r="106" spans="97:98" ht="13.5" customHeight="1" x14ac:dyDescent="0.15">
      <c r="CS106" s="49" t="str">
        <f>出張デモ1!CS118</f>
        <v>一式</v>
      </c>
      <c r="CT106" s="16"/>
    </row>
    <row r="107" spans="97:98" ht="13.5" customHeight="1" x14ac:dyDescent="0.15">
      <c r="CS107" s="49" t="str">
        <f>出張デモ1!CS119</f>
        <v>冊</v>
      </c>
      <c r="CT107" s="13"/>
    </row>
    <row r="108" spans="97:98" ht="13.5" customHeight="1" x14ac:dyDescent="0.15">
      <c r="CS108" s="49" t="str">
        <f>出張デモ1!CS120</f>
        <v>箱</v>
      </c>
      <c r="CT108" s="13"/>
    </row>
    <row r="109" spans="97:98" ht="13.5" customHeight="1" x14ac:dyDescent="0.15">
      <c r="CS109" s="49" t="str">
        <f>出張デモ1!CS121</f>
        <v>C/S</v>
      </c>
      <c r="CT109" s="15"/>
    </row>
    <row r="110" spans="97:98" ht="13.5" customHeight="1" x14ac:dyDescent="0.15">
      <c r="CS110" s="49" t="str">
        <f>出張デモ1!CS122</f>
        <v>SET</v>
      </c>
      <c r="CT110" s="15"/>
    </row>
    <row r="111" spans="97:98" ht="13.5" customHeight="1" x14ac:dyDescent="0.15">
      <c r="CS111" s="49" t="str">
        <f>出張デモ1!CS123</f>
        <v>本</v>
      </c>
      <c r="CT111" s="13"/>
    </row>
    <row r="112" spans="97:98" ht="13.5" customHeight="1" x14ac:dyDescent="0.15">
      <c r="CS112" s="49" t="str">
        <f>出張デモ1!CS124</f>
        <v>束</v>
      </c>
      <c r="CT112" s="13"/>
    </row>
    <row r="113" spans="87:125" ht="13.5" customHeight="1" x14ac:dyDescent="0.15">
      <c r="CS113" s="49" t="str">
        <f>出張デモ1!CS125</f>
        <v>枚</v>
      </c>
      <c r="CT113" s="13"/>
    </row>
    <row r="114" spans="87:125" ht="13.5" customHeight="1" x14ac:dyDescent="0.15">
      <c r="CS114" s="49" t="str">
        <f>出張デモ1!CS126</f>
        <v>ﾊﾟｯｸ</v>
      </c>
      <c r="CT114" s="16"/>
    </row>
    <row r="115" spans="87:125" ht="13.5" customHeight="1" x14ac:dyDescent="0.15">
      <c r="CS115" s="49" t="str">
        <f>出張デモ1!CS127</f>
        <v>ｷｯﾄ</v>
      </c>
      <c r="CT115" s="13"/>
    </row>
    <row r="116" spans="87:125" ht="13.5" customHeight="1" x14ac:dyDescent="0.15">
      <c r="CS116" s="49">
        <f>出張デモ1!CS128</f>
        <v>0</v>
      </c>
      <c r="CT116" s="13"/>
    </row>
    <row r="119" spans="87:125" ht="13.5" customHeight="1" x14ac:dyDescent="0.15">
      <c r="CI119" s="102" t="s">
        <v>112</v>
      </c>
      <c r="CJ119" s="102"/>
      <c r="CK119" s="102"/>
      <c r="CL119" s="102"/>
      <c r="CM119" s="213" t="str">
        <f>出張デモ1!CM131</f>
        <v>C:\Documents and Settings\sato\My Documents\シンプル見積書\</v>
      </c>
      <c r="CN119" s="214"/>
      <c r="CO119" s="214"/>
      <c r="CP119" s="214"/>
      <c r="CQ119" s="214"/>
      <c r="CR119" s="214"/>
      <c r="CS119" s="214"/>
      <c r="CT119" s="214"/>
      <c r="CU119" s="214"/>
      <c r="CV119" s="214"/>
      <c r="CW119" s="214"/>
      <c r="CX119" s="214"/>
      <c r="CY119" s="214"/>
      <c r="CZ119" s="214"/>
      <c r="DA119" s="214"/>
      <c r="DB119" s="214"/>
      <c r="DC119" s="214"/>
      <c r="DD119" s="214"/>
      <c r="DE119" s="214"/>
      <c r="DF119" s="214"/>
      <c r="DG119" s="214"/>
      <c r="DH119" s="214"/>
      <c r="DI119" s="214"/>
      <c r="DJ119" s="214"/>
      <c r="DK119" s="214"/>
      <c r="DO119" s="57" t="str">
        <f>出張デモ1!$DO$131</f>
        <v>マスタ 1.xls</v>
      </c>
      <c r="DP119" s="58"/>
      <c r="DQ119" s="58"/>
      <c r="DR119" s="58"/>
      <c r="DS119" s="58"/>
      <c r="DT119" s="58"/>
      <c r="DU119" s="59"/>
    </row>
    <row r="120" spans="87:125" ht="13.5" customHeight="1" x14ac:dyDescent="0.15">
      <c r="CI120" s="102" t="s">
        <v>144</v>
      </c>
      <c r="CJ120" s="102"/>
      <c r="CK120" s="102"/>
      <c r="CL120" s="102"/>
      <c r="CM120" s="213">
        <f>出張デモ1!CM132</f>
        <v>0</v>
      </c>
      <c r="CN120" s="214"/>
      <c r="CO120" s="214"/>
      <c r="CP120" s="214"/>
      <c r="CQ120" s="214"/>
      <c r="CR120" s="214"/>
      <c r="CS120" s="214"/>
      <c r="CT120" s="214"/>
      <c r="CU120" s="214"/>
      <c r="CV120" s="214"/>
      <c r="CW120" s="214"/>
      <c r="CX120" s="214"/>
      <c r="CY120" s="214"/>
      <c r="CZ120" s="214"/>
      <c r="DA120" s="214"/>
      <c r="DB120" s="214"/>
      <c r="DC120" s="214"/>
      <c r="DD120" s="214"/>
      <c r="DE120" s="214"/>
      <c r="DF120" s="214"/>
      <c r="DG120" s="214"/>
      <c r="DH120" s="214"/>
      <c r="DI120" s="214"/>
      <c r="DJ120" s="214"/>
      <c r="DK120" s="214"/>
    </row>
    <row r="178" spans="16:16" ht="13.5" customHeight="1" x14ac:dyDescent="0.15">
      <c r="P178" s="22">
        <f>出張デモ1!P189</f>
        <v>0</v>
      </c>
    </row>
  </sheetData>
  <mergeCells count="152"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</mergeCells>
  <phoneticPr fontId="3"/>
  <dataValidations count="5">
    <dataValidation imeMode="hiragana" allowBlank="1" showInputMessage="1" showErrorMessage="1" prompt="品名を入力" sqref="D8:T9 C7:C29 D12:T29" xr:uid="{00000000-0002-0000-0200-000000000000}"/>
    <dataValidation imeMode="off" allowBlank="1" showInputMessage="1" showErrorMessage="1" prompt="数量を入力" sqref="U7:X29" xr:uid="{00000000-0002-0000-0200-000001000000}"/>
    <dataValidation imeMode="off" allowBlank="1" showInputMessage="1" showErrorMessage="1" prompt="単価を入力" sqref="AB7:AF29" xr:uid="{00000000-0002-0000-0200-000002000000}"/>
    <dataValidation imeMode="hiragana" allowBlank="1" showInputMessage="1" showErrorMessage="1" prompt="備考があれば入力" sqref="AN7:AT29" xr:uid="{00000000-0002-0000-0200-000003000000}"/>
    <dataValidation type="list" imeMode="hiragana" allowBlank="1" showInputMessage="1" showErrorMessage="1" prompt="ボタンを押し単位を入力" sqref="Y7:AA29" xr:uid="{00000000-0002-0000-02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出張デモ1</vt:lpstr>
      <vt:lpstr>出張デモ2</vt:lpstr>
      <vt:lpstr>別紙購入おすすめ品</vt:lpstr>
      <vt:lpstr>USBフラッシュメモリ内一覧</vt:lpstr>
      <vt:lpstr>工具箱内付属一覧</vt:lpstr>
      <vt:lpstr>本体装備品一覧</vt:lpstr>
      <vt:lpstr>USBフラッシュメモリ内一覧!Print_Area</vt:lpstr>
      <vt:lpstr>工具箱内付属一覧!Print_Area</vt:lpstr>
      <vt:lpstr>出張デモ1!Print_Area</vt:lpstr>
      <vt:lpstr>出張デモ2!Print_Area</vt:lpstr>
      <vt:lpstr>別紙購入おすすめ品!Print_Area</vt:lpstr>
      <vt:lpstr>本体装備品一覧!Print_Area</vt:lpstr>
    </vt:vector>
  </TitlesOfParts>
  <Manager/>
  <Company>有限会社アイ・ビー・エス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稲葉　秀夫</dc:creator>
  <cp:keywords/>
  <dc:description/>
  <cp:lastModifiedBy>a58</cp:lastModifiedBy>
  <cp:revision/>
  <cp:lastPrinted>2025-06-23T04:15:10Z</cp:lastPrinted>
  <dcterms:created xsi:type="dcterms:W3CDTF">2001-10-18T00:35:45Z</dcterms:created>
  <dcterms:modified xsi:type="dcterms:W3CDTF">2025-06-23T07:54:29Z</dcterms:modified>
  <cp:category/>
  <cp:contentStatus/>
</cp:coreProperties>
</file>