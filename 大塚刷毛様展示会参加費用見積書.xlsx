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drawings/drawing3.xml" ContentType="application/vnd.openxmlformats-officedocument.drawing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drawings/drawing4.xml" ContentType="application/vnd.openxmlformats-officedocument.drawing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drawings/drawing5.xml" ContentType="application/vnd.openxmlformats-officedocument.drawing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drawings/drawing6.xml" ContentType="application/vnd.openxmlformats-officedocument.drawing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drawings/drawing7.xml" ContentType="application/vnd.openxmlformats-officedocument.drawing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14_{F4C1F38E-04ED-4C25-AED0-7BB9850B16AF}" xr6:coauthVersionLast="47" xr6:coauthVersionMax="47" xr10:uidLastSave="{00000000-0000-0000-0000-000000000000}"/>
  <bookViews>
    <workbookView xWindow="33225" yWindow="165" windowWidth="20685" windowHeight="20565" tabRatio="657" firstSheet="2" activeTab="4" xr2:uid="{00000000-000D-0000-FFFF-FFFF00000000}"/>
  </bookViews>
  <sheets>
    <sheet name="新潟マルテーフェア" sheetId="1" r:id="rId1"/>
    <sheet name="オートビジネス2025" sheetId="6" r:id="rId2"/>
    <sheet name="群馬フジペックスフェア" sheetId="10" r:id="rId3"/>
    <sheet name="城東営業所展示会" sheetId="11" r:id="rId4"/>
    <sheet name="フジペックス栃木営業所" sheetId="12" r:id="rId5"/>
    <sheet name="展示会準備項目" sheetId="9" r:id="rId6"/>
    <sheet name="デモ材料費" sheetId="7" r:id="rId7"/>
  </sheets>
  <externalReferences>
    <externalReference r:id="rId8"/>
  </externalReferences>
  <definedNames>
    <definedName name="_xlnm.Print_Area" localSheetId="1">オートビジネス2025!$B$2:$AT$42</definedName>
    <definedName name="_xlnm.Print_Area" localSheetId="6">デモ材料費!$B$2:$AT$42</definedName>
    <definedName name="_xlnm.Print_Area" localSheetId="4">フジペックス栃木営業所!$B$2:$AT$42</definedName>
    <definedName name="_xlnm.Print_Area" localSheetId="2">群馬フジペックスフェア!$B$2:$AT$42</definedName>
    <definedName name="_xlnm.Print_Area" localSheetId="3">城東営業所展示会!$B$2:$AT$42</definedName>
    <definedName name="_xlnm.Print_Area" localSheetId="0">新潟マルテーフェア!$B$2:$AT$42</definedName>
    <definedName name="_xlnm.Print_Area" localSheetId="5">展示会準備項目!$B$3:$AU$30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I181" i="12" l="1"/>
  <c r="FH181" i="12"/>
  <c r="FG181" i="12"/>
  <c r="FF181" i="12"/>
  <c r="FE181" i="12"/>
  <c r="FD181" i="12"/>
  <c r="FI180" i="12"/>
  <c r="FH180" i="12"/>
  <c r="FG180" i="12"/>
  <c r="FF180" i="12"/>
  <c r="FE180" i="12"/>
  <c r="FD180" i="12"/>
  <c r="FI179" i="12"/>
  <c r="FH179" i="12"/>
  <c r="FG179" i="12"/>
  <c r="FF179" i="12"/>
  <c r="FE179" i="12"/>
  <c r="FD179" i="12"/>
  <c r="FI178" i="12"/>
  <c r="FH178" i="12"/>
  <c r="FG178" i="12"/>
  <c r="FF178" i="12"/>
  <c r="FE178" i="12"/>
  <c r="FD178" i="12"/>
  <c r="FI177" i="12"/>
  <c r="FH177" i="12"/>
  <c r="FG177" i="12"/>
  <c r="FF177" i="12"/>
  <c r="FE177" i="12"/>
  <c r="FD177" i="12"/>
  <c r="FI176" i="12"/>
  <c r="FH176" i="12"/>
  <c r="FG176" i="12"/>
  <c r="FF176" i="12"/>
  <c r="FE176" i="12"/>
  <c r="FD176" i="12"/>
  <c r="FI175" i="12"/>
  <c r="FH175" i="12"/>
  <c r="FG175" i="12"/>
  <c r="FF175" i="12"/>
  <c r="FE175" i="12"/>
  <c r="FD175" i="12"/>
  <c r="FI174" i="12"/>
  <c r="FH174" i="12"/>
  <c r="FG174" i="12"/>
  <c r="FF174" i="12"/>
  <c r="FE174" i="12"/>
  <c r="FD174" i="12"/>
  <c r="FI173" i="12"/>
  <c r="FH173" i="12"/>
  <c r="FG173" i="12"/>
  <c r="FF173" i="12"/>
  <c r="FE173" i="12"/>
  <c r="FD173" i="12"/>
  <c r="FI172" i="12"/>
  <c r="FH172" i="12"/>
  <c r="FG172" i="12"/>
  <c r="FF172" i="12"/>
  <c r="FE172" i="12"/>
  <c r="FD172" i="12"/>
  <c r="FI171" i="12"/>
  <c r="FH171" i="12"/>
  <c r="FG171" i="12"/>
  <c r="FF171" i="12"/>
  <c r="FE171" i="12"/>
  <c r="FD171" i="12"/>
  <c r="FI170" i="12"/>
  <c r="FH170" i="12"/>
  <c r="FG170" i="12"/>
  <c r="FF170" i="12"/>
  <c r="FE170" i="12"/>
  <c r="FD170" i="12"/>
  <c r="FI169" i="12"/>
  <c r="FH169" i="12"/>
  <c r="FG169" i="12"/>
  <c r="FF169" i="12"/>
  <c r="FE169" i="12"/>
  <c r="FD169" i="12"/>
  <c r="FI168" i="12"/>
  <c r="FH168" i="12"/>
  <c r="FG168" i="12"/>
  <c r="FF168" i="12"/>
  <c r="FE168" i="12"/>
  <c r="FD168" i="12"/>
  <c r="FI167" i="12"/>
  <c r="FH167" i="12"/>
  <c r="FG167" i="12"/>
  <c r="FF167" i="12"/>
  <c r="FE167" i="12"/>
  <c r="FD167" i="12"/>
  <c r="FI166" i="12"/>
  <c r="FH166" i="12"/>
  <c r="FG166" i="12"/>
  <c r="FF166" i="12"/>
  <c r="FE166" i="12"/>
  <c r="FD166" i="12"/>
  <c r="FI165" i="12"/>
  <c r="FH165" i="12"/>
  <c r="FG165" i="12"/>
  <c r="FF165" i="12"/>
  <c r="FE165" i="12"/>
  <c r="FD165" i="12"/>
  <c r="FI164" i="12"/>
  <c r="FH164" i="12"/>
  <c r="FG164" i="12"/>
  <c r="FF164" i="12"/>
  <c r="FE164" i="12"/>
  <c r="FD164" i="12"/>
  <c r="FI163" i="12"/>
  <c r="FH163" i="12"/>
  <c r="FG163" i="12"/>
  <c r="FF163" i="12"/>
  <c r="FE163" i="12"/>
  <c r="FD163" i="12"/>
  <c r="FI162" i="12"/>
  <c r="FH162" i="12"/>
  <c r="FG162" i="12"/>
  <c r="FF162" i="12"/>
  <c r="FE162" i="12"/>
  <c r="FD162" i="12"/>
  <c r="FI161" i="12"/>
  <c r="FH161" i="12"/>
  <c r="FG161" i="12"/>
  <c r="FF161" i="12"/>
  <c r="FE161" i="12"/>
  <c r="FD161" i="12"/>
  <c r="FI160" i="12"/>
  <c r="FH160" i="12"/>
  <c r="FG160" i="12"/>
  <c r="FF160" i="12"/>
  <c r="FE160" i="12"/>
  <c r="FD160" i="12"/>
  <c r="FI159" i="12"/>
  <c r="FH159" i="12"/>
  <c r="FG159" i="12"/>
  <c r="FF159" i="12"/>
  <c r="FE159" i="12"/>
  <c r="FD159" i="12"/>
  <c r="FI158" i="12"/>
  <c r="FH158" i="12"/>
  <c r="FG158" i="12"/>
  <c r="FF158" i="12"/>
  <c r="FE158" i="12"/>
  <c r="FD158" i="12"/>
  <c r="FI157" i="12"/>
  <c r="FH157" i="12"/>
  <c r="FG157" i="12"/>
  <c r="FF157" i="12"/>
  <c r="FE157" i="12"/>
  <c r="FD157" i="12"/>
  <c r="FI156" i="12"/>
  <c r="FH156" i="12"/>
  <c r="FG156" i="12"/>
  <c r="FF156" i="12"/>
  <c r="FE156" i="12"/>
  <c r="FD156" i="12"/>
  <c r="FI155" i="12"/>
  <c r="FH155" i="12"/>
  <c r="FG155" i="12"/>
  <c r="FF155" i="12"/>
  <c r="FE155" i="12"/>
  <c r="FD155" i="12"/>
  <c r="FI154" i="12"/>
  <c r="FH154" i="12"/>
  <c r="FG154" i="12"/>
  <c r="FF154" i="12"/>
  <c r="FE154" i="12"/>
  <c r="FD154" i="12"/>
  <c r="FI153" i="12"/>
  <c r="FH153" i="12"/>
  <c r="FG153" i="12"/>
  <c r="FF153" i="12"/>
  <c r="FE153" i="12"/>
  <c r="FD153" i="12"/>
  <c r="FI152" i="12"/>
  <c r="FH152" i="12"/>
  <c r="FG152" i="12"/>
  <c r="FF152" i="12"/>
  <c r="FE152" i="12"/>
  <c r="FD152" i="12"/>
  <c r="FI151" i="12"/>
  <c r="FH151" i="12"/>
  <c r="FG151" i="12"/>
  <c r="FF151" i="12"/>
  <c r="FE151" i="12"/>
  <c r="FD151" i="12"/>
  <c r="FI150" i="12"/>
  <c r="FH150" i="12"/>
  <c r="FG150" i="12"/>
  <c r="FF150" i="12"/>
  <c r="FE150" i="12"/>
  <c r="FD150" i="12"/>
  <c r="FI149" i="12"/>
  <c r="FH149" i="12"/>
  <c r="FG149" i="12"/>
  <c r="FF149" i="12"/>
  <c r="FE149" i="12"/>
  <c r="FD149" i="12"/>
  <c r="FI148" i="12"/>
  <c r="FH148" i="12"/>
  <c r="FG148" i="12"/>
  <c r="FF148" i="12"/>
  <c r="FE148" i="12"/>
  <c r="FD148" i="12"/>
  <c r="FI147" i="12"/>
  <c r="FH147" i="12"/>
  <c r="FG147" i="12"/>
  <c r="FF147" i="12"/>
  <c r="FE147" i="12"/>
  <c r="FD147" i="12"/>
  <c r="FI146" i="12"/>
  <c r="FH146" i="12"/>
  <c r="FG146" i="12"/>
  <c r="FF146" i="12"/>
  <c r="FE146" i="12"/>
  <c r="FD146" i="12"/>
  <c r="FI145" i="12"/>
  <c r="FH145" i="12"/>
  <c r="FG145" i="12"/>
  <c r="FF145" i="12"/>
  <c r="FE145" i="12"/>
  <c r="FD145" i="12"/>
  <c r="FI144" i="12"/>
  <c r="FH144" i="12"/>
  <c r="FG144" i="12"/>
  <c r="FF144" i="12"/>
  <c r="FE144" i="12"/>
  <c r="FD144" i="12"/>
  <c r="FI143" i="12"/>
  <c r="FH143" i="12"/>
  <c r="FG143" i="12"/>
  <c r="FF143" i="12"/>
  <c r="FE143" i="12"/>
  <c r="FD143" i="12"/>
  <c r="FI142" i="12"/>
  <c r="FH142" i="12"/>
  <c r="FG142" i="12"/>
  <c r="FF142" i="12"/>
  <c r="FE142" i="12"/>
  <c r="FD142" i="12"/>
  <c r="FI141" i="12"/>
  <c r="FH141" i="12"/>
  <c r="FG141" i="12"/>
  <c r="FF141" i="12"/>
  <c r="FE141" i="12"/>
  <c r="FD141" i="12"/>
  <c r="FI140" i="12"/>
  <c r="FH140" i="12"/>
  <c r="FG140" i="12"/>
  <c r="FF140" i="12"/>
  <c r="FE140" i="12"/>
  <c r="FD140" i="12"/>
  <c r="FI139" i="12"/>
  <c r="FH139" i="12"/>
  <c r="FG139" i="12"/>
  <c r="FF139" i="12"/>
  <c r="FE139" i="12"/>
  <c r="FD139" i="12"/>
  <c r="FI138" i="12"/>
  <c r="FH138" i="12"/>
  <c r="FG138" i="12"/>
  <c r="FF138" i="12"/>
  <c r="FE138" i="12"/>
  <c r="FD138" i="12"/>
  <c r="FI137" i="12"/>
  <c r="FH137" i="12"/>
  <c r="FG137" i="12"/>
  <c r="FF137" i="12"/>
  <c r="FE137" i="12"/>
  <c r="FD137" i="12"/>
  <c r="FI136" i="12"/>
  <c r="FH136" i="12"/>
  <c r="FG136" i="12"/>
  <c r="FF136" i="12"/>
  <c r="FE136" i="12"/>
  <c r="FD136" i="12"/>
  <c r="FI135" i="12"/>
  <c r="FH135" i="12"/>
  <c r="FG135" i="12"/>
  <c r="FF135" i="12"/>
  <c r="FE135" i="12"/>
  <c r="FD135" i="12"/>
  <c r="FI134" i="12"/>
  <c r="FH134" i="12"/>
  <c r="FG134" i="12"/>
  <c r="FF134" i="12"/>
  <c r="FE134" i="12"/>
  <c r="FD134" i="12"/>
  <c r="FI133" i="12"/>
  <c r="FH133" i="12"/>
  <c r="FG133" i="12"/>
  <c r="FF133" i="12"/>
  <c r="FE133" i="12"/>
  <c r="FD133" i="12"/>
  <c r="FI132" i="12"/>
  <c r="FH132" i="12"/>
  <c r="FG132" i="12"/>
  <c r="FF132" i="12"/>
  <c r="FE132" i="12"/>
  <c r="FD132" i="12"/>
  <c r="FI131" i="12"/>
  <c r="FH131" i="12"/>
  <c r="FG131" i="12"/>
  <c r="FF131" i="12"/>
  <c r="FE131" i="12"/>
  <c r="FD131" i="12"/>
  <c r="FI130" i="12"/>
  <c r="FH130" i="12"/>
  <c r="FG130" i="12"/>
  <c r="FF130" i="12"/>
  <c r="FE130" i="12"/>
  <c r="FD130" i="12"/>
  <c r="FI129" i="12"/>
  <c r="FH129" i="12"/>
  <c r="FG129" i="12"/>
  <c r="FF129" i="12"/>
  <c r="FE129" i="12"/>
  <c r="FD129" i="12"/>
  <c r="FI128" i="12"/>
  <c r="FH128" i="12"/>
  <c r="FG128" i="12"/>
  <c r="FF128" i="12"/>
  <c r="FE128" i="12"/>
  <c r="FD128" i="12"/>
  <c r="FI127" i="12"/>
  <c r="FH127" i="12"/>
  <c r="FG127" i="12"/>
  <c r="FF127" i="12"/>
  <c r="FE127" i="12"/>
  <c r="FD127" i="12"/>
  <c r="FI126" i="12"/>
  <c r="FH126" i="12"/>
  <c r="FG126" i="12"/>
  <c r="FF126" i="12"/>
  <c r="FE126" i="12"/>
  <c r="FD126" i="12"/>
  <c r="FI125" i="12"/>
  <c r="FH125" i="12"/>
  <c r="FG125" i="12"/>
  <c r="FF125" i="12"/>
  <c r="FE125" i="12"/>
  <c r="FD125" i="12"/>
  <c r="FI124" i="12"/>
  <c r="FH124" i="12"/>
  <c r="FG124" i="12"/>
  <c r="FF124" i="12"/>
  <c r="FE124" i="12"/>
  <c r="FD124" i="12"/>
  <c r="FI123" i="12"/>
  <c r="FH123" i="12"/>
  <c r="FG123" i="12"/>
  <c r="FF123" i="12"/>
  <c r="FE123" i="12"/>
  <c r="FD123" i="12"/>
  <c r="FI122" i="12"/>
  <c r="FH122" i="12"/>
  <c r="FG122" i="12"/>
  <c r="FF122" i="12"/>
  <c r="FE122" i="12"/>
  <c r="FD122" i="12"/>
  <c r="FI121" i="12"/>
  <c r="FH121" i="12"/>
  <c r="FG121" i="12"/>
  <c r="FF121" i="12"/>
  <c r="FE121" i="12"/>
  <c r="FD121" i="12"/>
  <c r="FI120" i="12"/>
  <c r="FH120" i="12"/>
  <c r="FG120" i="12"/>
  <c r="FF120" i="12"/>
  <c r="FE120" i="12"/>
  <c r="FD120" i="12"/>
  <c r="FI119" i="12"/>
  <c r="FH119" i="12"/>
  <c r="FG119" i="12"/>
  <c r="FF119" i="12"/>
  <c r="FE119" i="12"/>
  <c r="FD119" i="12"/>
  <c r="FI118" i="12"/>
  <c r="FH118" i="12"/>
  <c r="FG118" i="12"/>
  <c r="FF118" i="12"/>
  <c r="FE118" i="12"/>
  <c r="FD118" i="12"/>
  <c r="FI117" i="12"/>
  <c r="FH117" i="12"/>
  <c r="FG117" i="12"/>
  <c r="FF117" i="12"/>
  <c r="FE117" i="12"/>
  <c r="FD117" i="12"/>
  <c r="FI116" i="12"/>
  <c r="FH116" i="12"/>
  <c r="FG116" i="12"/>
  <c r="FF116" i="12"/>
  <c r="FE116" i="12"/>
  <c r="FD116" i="12"/>
  <c r="FI115" i="12"/>
  <c r="FH115" i="12"/>
  <c r="FG115" i="12"/>
  <c r="FF115" i="12"/>
  <c r="FE115" i="12"/>
  <c r="FD115" i="12"/>
  <c r="FI114" i="12"/>
  <c r="FH114" i="12"/>
  <c r="FG114" i="12"/>
  <c r="FF114" i="12"/>
  <c r="FE114" i="12"/>
  <c r="FD114" i="12"/>
  <c r="FI113" i="12"/>
  <c r="FH113" i="12"/>
  <c r="FG113" i="12"/>
  <c r="FF113" i="12"/>
  <c r="FE113" i="12"/>
  <c r="FD113" i="12"/>
  <c r="FI112" i="12"/>
  <c r="FG112" i="12"/>
  <c r="FF112" i="12"/>
  <c r="FE112" i="12"/>
  <c r="FD112" i="12"/>
  <c r="FI111" i="12"/>
  <c r="FG111" i="12"/>
  <c r="FF111" i="12"/>
  <c r="FE111" i="12"/>
  <c r="FD111" i="12"/>
  <c r="FI110" i="12"/>
  <c r="FG110" i="12"/>
  <c r="FF110" i="12"/>
  <c r="FE110" i="12"/>
  <c r="FD110" i="12"/>
  <c r="FI109" i="12"/>
  <c r="FG109" i="12"/>
  <c r="FF109" i="12"/>
  <c r="FE109" i="12"/>
  <c r="FD109" i="12"/>
  <c r="FI108" i="12"/>
  <c r="FG108" i="12"/>
  <c r="FF108" i="12"/>
  <c r="FE108" i="12"/>
  <c r="FD108" i="12"/>
  <c r="FI107" i="12"/>
  <c r="FG107" i="12"/>
  <c r="FF107" i="12"/>
  <c r="FE107" i="12"/>
  <c r="FD107" i="12"/>
  <c r="CK107" i="12"/>
  <c r="FI106" i="12"/>
  <c r="FH106" i="12"/>
  <c r="FG106" i="12"/>
  <c r="FF106" i="12"/>
  <c r="FE106" i="12"/>
  <c r="FD106" i="12"/>
  <c r="CK106" i="12"/>
  <c r="FI105" i="12"/>
  <c r="FG105" i="12"/>
  <c r="FF105" i="12"/>
  <c r="FE105" i="12"/>
  <c r="FD105" i="12"/>
  <c r="CK105" i="12"/>
  <c r="CE105" i="12"/>
  <c r="FI104" i="12"/>
  <c r="FG104" i="12"/>
  <c r="FF104" i="12"/>
  <c r="FE104" i="12"/>
  <c r="FD104" i="12"/>
  <c r="FI103" i="12"/>
  <c r="FG103" i="12"/>
  <c r="FF103" i="12"/>
  <c r="FE103" i="12"/>
  <c r="FD103" i="12"/>
  <c r="FI102" i="12"/>
  <c r="FG102" i="12"/>
  <c r="FF102" i="12"/>
  <c r="FE102" i="12"/>
  <c r="FD102" i="12"/>
  <c r="FI101" i="12"/>
  <c r="FG101" i="12"/>
  <c r="FF101" i="12"/>
  <c r="FE101" i="12"/>
  <c r="FD101" i="12"/>
  <c r="AF37" i="12"/>
  <c r="FH112" i="12" s="1"/>
  <c r="AF36" i="12"/>
  <c r="FH111" i="12" s="1"/>
  <c r="AF35" i="12"/>
  <c r="FH110" i="12" s="1"/>
  <c r="AF34" i="12"/>
  <c r="FH109" i="12" s="1"/>
  <c r="AF33" i="12"/>
  <c r="FH108" i="12" s="1"/>
  <c r="AF32" i="12"/>
  <c r="FH107" i="12" s="1"/>
  <c r="AF31" i="12"/>
  <c r="AF30" i="12"/>
  <c r="FH105" i="12" s="1"/>
  <c r="AF29" i="12"/>
  <c r="FH104" i="12" s="1"/>
  <c r="AF28" i="12"/>
  <c r="FH103" i="12" s="1"/>
  <c r="AF27" i="12"/>
  <c r="FH102" i="12" s="1"/>
  <c r="AF26" i="12"/>
  <c r="FH101" i="12" s="1"/>
  <c r="FI181" i="11"/>
  <c r="FH181" i="11"/>
  <c r="FG181" i="11"/>
  <c r="FF181" i="11"/>
  <c r="FE181" i="11"/>
  <c r="FD181" i="11"/>
  <c r="FI180" i="11"/>
  <c r="FH180" i="11"/>
  <c r="FG180" i="11"/>
  <c r="FF180" i="11"/>
  <c r="FE180" i="11"/>
  <c r="FD180" i="11"/>
  <c r="FI179" i="11"/>
  <c r="FH179" i="11"/>
  <c r="FG179" i="11"/>
  <c r="FF179" i="11"/>
  <c r="FE179" i="11"/>
  <c r="FD179" i="11"/>
  <c r="FI178" i="11"/>
  <c r="FH178" i="11"/>
  <c r="FG178" i="11"/>
  <c r="FF178" i="11"/>
  <c r="FE178" i="11"/>
  <c r="FD178" i="11"/>
  <c r="FI177" i="11"/>
  <c r="FH177" i="11"/>
  <c r="FG177" i="11"/>
  <c r="FF177" i="11"/>
  <c r="FE177" i="11"/>
  <c r="FD177" i="11"/>
  <c r="FI176" i="11"/>
  <c r="FH176" i="11"/>
  <c r="FG176" i="11"/>
  <c r="FF176" i="11"/>
  <c r="FE176" i="11"/>
  <c r="FD176" i="11"/>
  <c r="FI175" i="11"/>
  <c r="FH175" i="11"/>
  <c r="FG175" i="11"/>
  <c r="FF175" i="11"/>
  <c r="FE175" i="11"/>
  <c r="FD175" i="11"/>
  <c r="FI174" i="11"/>
  <c r="FH174" i="11"/>
  <c r="FG174" i="11"/>
  <c r="FF174" i="11"/>
  <c r="FE174" i="11"/>
  <c r="FD174" i="11"/>
  <c r="FI173" i="11"/>
  <c r="FH173" i="11"/>
  <c r="FG173" i="11"/>
  <c r="FF173" i="11"/>
  <c r="FE173" i="11"/>
  <c r="FD173" i="11"/>
  <c r="FI172" i="11"/>
  <c r="FH172" i="11"/>
  <c r="FG172" i="11"/>
  <c r="FF172" i="11"/>
  <c r="FE172" i="11"/>
  <c r="FD172" i="11"/>
  <c r="FI171" i="11"/>
  <c r="FH171" i="11"/>
  <c r="FG171" i="11"/>
  <c r="FF171" i="11"/>
  <c r="FE171" i="11"/>
  <c r="FD171" i="11"/>
  <c r="FI170" i="11"/>
  <c r="FH170" i="11"/>
  <c r="FG170" i="11"/>
  <c r="FF170" i="11"/>
  <c r="FE170" i="11"/>
  <c r="FD170" i="11"/>
  <c r="FI169" i="11"/>
  <c r="FH169" i="11"/>
  <c r="FG169" i="11"/>
  <c r="FF169" i="11"/>
  <c r="FE169" i="11"/>
  <c r="FD169" i="11"/>
  <c r="FI168" i="11"/>
  <c r="FH168" i="11"/>
  <c r="FG168" i="11"/>
  <c r="FF168" i="11"/>
  <c r="FE168" i="11"/>
  <c r="FD168" i="11"/>
  <c r="FI167" i="11"/>
  <c r="FH167" i="11"/>
  <c r="FG167" i="11"/>
  <c r="FF167" i="11"/>
  <c r="FE167" i="11"/>
  <c r="FD167" i="11"/>
  <c r="FI166" i="11"/>
  <c r="FH166" i="11"/>
  <c r="FG166" i="11"/>
  <c r="FF166" i="11"/>
  <c r="FE166" i="11"/>
  <c r="FD166" i="11"/>
  <c r="FI165" i="11"/>
  <c r="FH165" i="11"/>
  <c r="FG165" i="11"/>
  <c r="FF165" i="11"/>
  <c r="FE165" i="11"/>
  <c r="FD165" i="11"/>
  <c r="FI164" i="11"/>
  <c r="FH164" i="11"/>
  <c r="FG164" i="11"/>
  <c r="FF164" i="11"/>
  <c r="FE164" i="11"/>
  <c r="FD164" i="11"/>
  <c r="FI163" i="11"/>
  <c r="FH163" i="11"/>
  <c r="FG163" i="11"/>
  <c r="FF163" i="11"/>
  <c r="FE163" i="11"/>
  <c r="FD163" i="11"/>
  <c r="FI162" i="11"/>
  <c r="FH162" i="11"/>
  <c r="FG162" i="11"/>
  <c r="FF162" i="11"/>
  <c r="FE162" i="11"/>
  <c r="FD162" i="11"/>
  <c r="FI161" i="11"/>
  <c r="FH161" i="11"/>
  <c r="FG161" i="11"/>
  <c r="FF161" i="11"/>
  <c r="FE161" i="11"/>
  <c r="FD161" i="11"/>
  <c r="FI160" i="11"/>
  <c r="FH160" i="11"/>
  <c r="FG160" i="11"/>
  <c r="FF160" i="11"/>
  <c r="FE160" i="11"/>
  <c r="FD160" i="11"/>
  <c r="FI159" i="11"/>
  <c r="FH159" i="11"/>
  <c r="FG159" i="11"/>
  <c r="FF159" i="11"/>
  <c r="FE159" i="11"/>
  <c r="FD159" i="11"/>
  <c r="FI158" i="11"/>
  <c r="FH158" i="11"/>
  <c r="FG158" i="11"/>
  <c r="FF158" i="11"/>
  <c r="FE158" i="11"/>
  <c r="FD158" i="11"/>
  <c r="FI157" i="11"/>
  <c r="FH157" i="11"/>
  <c r="FG157" i="11"/>
  <c r="FF157" i="11"/>
  <c r="FE157" i="11"/>
  <c r="FD157" i="11"/>
  <c r="FI156" i="11"/>
  <c r="FH156" i="11"/>
  <c r="FG156" i="11"/>
  <c r="FF156" i="11"/>
  <c r="FE156" i="11"/>
  <c r="FD156" i="11"/>
  <c r="FI155" i="11"/>
  <c r="FH155" i="11"/>
  <c r="FG155" i="11"/>
  <c r="FF155" i="11"/>
  <c r="FE155" i="11"/>
  <c r="FD155" i="11"/>
  <c r="FI154" i="11"/>
  <c r="FH154" i="11"/>
  <c r="FG154" i="11"/>
  <c r="FF154" i="11"/>
  <c r="FE154" i="11"/>
  <c r="FD154" i="11"/>
  <c r="FI153" i="11"/>
  <c r="FH153" i="11"/>
  <c r="FG153" i="11"/>
  <c r="FF153" i="11"/>
  <c r="FE153" i="11"/>
  <c r="FD153" i="11"/>
  <c r="FI152" i="11"/>
  <c r="FH152" i="11"/>
  <c r="FG152" i="11"/>
  <c r="FF152" i="11"/>
  <c r="FE152" i="11"/>
  <c r="FD152" i="11"/>
  <c r="FI151" i="11"/>
  <c r="FH151" i="11"/>
  <c r="FG151" i="11"/>
  <c r="FF151" i="11"/>
  <c r="FE151" i="11"/>
  <c r="FD151" i="11"/>
  <c r="FI150" i="11"/>
  <c r="FH150" i="11"/>
  <c r="FG150" i="11"/>
  <c r="FF150" i="11"/>
  <c r="FE150" i="11"/>
  <c r="FD150" i="11"/>
  <c r="FI149" i="11"/>
  <c r="FH149" i="11"/>
  <c r="FG149" i="11"/>
  <c r="FF149" i="11"/>
  <c r="FE149" i="11"/>
  <c r="FD149" i="11"/>
  <c r="FI148" i="11"/>
  <c r="FH148" i="11"/>
  <c r="FG148" i="11"/>
  <c r="FF148" i="11"/>
  <c r="FE148" i="11"/>
  <c r="FD148" i="11"/>
  <c r="FI147" i="11"/>
  <c r="FH147" i="11"/>
  <c r="FG147" i="11"/>
  <c r="FF147" i="11"/>
  <c r="FE147" i="11"/>
  <c r="FD147" i="11"/>
  <c r="FI146" i="11"/>
  <c r="FH146" i="11"/>
  <c r="FG146" i="11"/>
  <c r="FF146" i="11"/>
  <c r="FE146" i="11"/>
  <c r="FD146" i="11"/>
  <c r="FI145" i="11"/>
  <c r="FH145" i="11"/>
  <c r="FG145" i="11"/>
  <c r="FF145" i="11"/>
  <c r="FE145" i="11"/>
  <c r="FD145" i="11"/>
  <c r="FI144" i="11"/>
  <c r="FH144" i="11"/>
  <c r="FG144" i="11"/>
  <c r="FF144" i="11"/>
  <c r="FE144" i="11"/>
  <c r="FD144" i="11"/>
  <c r="FI143" i="11"/>
  <c r="FH143" i="11"/>
  <c r="FG143" i="11"/>
  <c r="FF143" i="11"/>
  <c r="FE143" i="11"/>
  <c r="FD143" i="11"/>
  <c r="FI142" i="11"/>
  <c r="FH142" i="11"/>
  <c r="FG142" i="11"/>
  <c r="FF142" i="11"/>
  <c r="FE142" i="11"/>
  <c r="FD142" i="11"/>
  <c r="FI141" i="11"/>
  <c r="FH141" i="11"/>
  <c r="FG141" i="11"/>
  <c r="FF141" i="11"/>
  <c r="FE141" i="11"/>
  <c r="FD141" i="11"/>
  <c r="FI140" i="11"/>
  <c r="FH140" i="11"/>
  <c r="FG140" i="11"/>
  <c r="FF140" i="11"/>
  <c r="FE140" i="11"/>
  <c r="FD140" i="11"/>
  <c r="FI139" i="11"/>
  <c r="FH139" i="11"/>
  <c r="FG139" i="11"/>
  <c r="FF139" i="11"/>
  <c r="FE139" i="11"/>
  <c r="FD139" i="11"/>
  <c r="FI138" i="11"/>
  <c r="FH138" i="11"/>
  <c r="FG138" i="11"/>
  <c r="FF138" i="11"/>
  <c r="FE138" i="11"/>
  <c r="FD138" i="11"/>
  <c r="FI137" i="11"/>
  <c r="FH137" i="11"/>
  <c r="FG137" i="11"/>
  <c r="FF137" i="11"/>
  <c r="FE137" i="11"/>
  <c r="FD137" i="11"/>
  <c r="FI136" i="11"/>
  <c r="FH136" i="11"/>
  <c r="FG136" i="11"/>
  <c r="FF136" i="11"/>
  <c r="FE136" i="11"/>
  <c r="FD136" i="11"/>
  <c r="FI135" i="11"/>
  <c r="FH135" i="11"/>
  <c r="FG135" i="11"/>
  <c r="FF135" i="11"/>
  <c r="FE135" i="11"/>
  <c r="FD135" i="11"/>
  <c r="FI134" i="11"/>
  <c r="FH134" i="11"/>
  <c r="FG134" i="11"/>
  <c r="FF134" i="11"/>
  <c r="FE134" i="11"/>
  <c r="FD134" i="11"/>
  <c r="FI133" i="11"/>
  <c r="FH133" i="11"/>
  <c r="FG133" i="11"/>
  <c r="FF133" i="11"/>
  <c r="FE133" i="11"/>
  <c r="FD133" i="11"/>
  <c r="FI132" i="11"/>
  <c r="FH132" i="11"/>
  <c r="FG132" i="11"/>
  <c r="FF132" i="11"/>
  <c r="FE132" i="11"/>
  <c r="FD132" i="11"/>
  <c r="FI131" i="11"/>
  <c r="FH131" i="11"/>
  <c r="FG131" i="11"/>
  <c r="FF131" i="11"/>
  <c r="FE131" i="11"/>
  <c r="FD131" i="11"/>
  <c r="FI130" i="11"/>
  <c r="FH130" i="11"/>
  <c r="FG130" i="11"/>
  <c r="FF130" i="11"/>
  <c r="FE130" i="11"/>
  <c r="FD130" i="11"/>
  <c r="FI129" i="11"/>
  <c r="FH129" i="11"/>
  <c r="FG129" i="11"/>
  <c r="FF129" i="11"/>
  <c r="FE129" i="11"/>
  <c r="FD129" i="11"/>
  <c r="FI128" i="11"/>
  <c r="FH128" i="11"/>
  <c r="FG128" i="11"/>
  <c r="FF128" i="11"/>
  <c r="FE128" i="11"/>
  <c r="FD128" i="11"/>
  <c r="FI127" i="11"/>
  <c r="FH127" i="11"/>
  <c r="FG127" i="11"/>
  <c r="FF127" i="11"/>
  <c r="FE127" i="11"/>
  <c r="FD127" i="11"/>
  <c r="FI126" i="11"/>
  <c r="FH126" i="11"/>
  <c r="FG126" i="11"/>
  <c r="FF126" i="11"/>
  <c r="FE126" i="11"/>
  <c r="FD126" i="11"/>
  <c r="FI125" i="11"/>
  <c r="FH125" i="11"/>
  <c r="FG125" i="11"/>
  <c r="FF125" i="11"/>
  <c r="FE125" i="11"/>
  <c r="FD125" i="11"/>
  <c r="FI124" i="11"/>
  <c r="FH124" i="11"/>
  <c r="FG124" i="11"/>
  <c r="FF124" i="11"/>
  <c r="FE124" i="11"/>
  <c r="FD124" i="11"/>
  <c r="FI123" i="11"/>
  <c r="FH123" i="11"/>
  <c r="FG123" i="11"/>
  <c r="FF123" i="11"/>
  <c r="FE123" i="11"/>
  <c r="FD123" i="11"/>
  <c r="FI122" i="11"/>
  <c r="FH122" i="11"/>
  <c r="FG122" i="11"/>
  <c r="FF122" i="11"/>
  <c r="FE122" i="11"/>
  <c r="FD122" i="11"/>
  <c r="FI121" i="11"/>
  <c r="FH121" i="11"/>
  <c r="FG121" i="11"/>
  <c r="FF121" i="11"/>
  <c r="FE121" i="11"/>
  <c r="FD121" i="11"/>
  <c r="FI120" i="11"/>
  <c r="FH120" i="11"/>
  <c r="FG120" i="11"/>
  <c r="FF120" i="11"/>
  <c r="FE120" i="11"/>
  <c r="FD120" i="11"/>
  <c r="FI119" i="11"/>
  <c r="FH119" i="11"/>
  <c r="FG119" i="11"/>
  <c r="FF119" i="11"/>
  <c r="FE119" i="11"/>
  <c r="FD119" i="11"/>
  <c r="FI118" i="11"/>
  <c r="FH118" i="11"/>
  <c r="FG118" i="11"/>
  <c r="FF118" i="11"/>
  <c r="FE118" i="11"/>
  <c r="FD118" i="11"/>
  <c r="FI117" i="11"/>
  <c r="FH117" i="11"/>
  <c r="FG117" i="11"/>
  <c r="FF117" i="11"/>
  <c r="FE117" i="11"/>
  <c r="FD117" i="11"/>
  <c r="FI116" i="11"/>
  <c r="FH116" i="11"/>
  <c r="FG116" i="11"/>
  <c r="FF116" i="11"/>
  <c r="FE116" i="11"/>
  <c r="FD116" i="11"/>
  <c r="FI115" i="11"/>
  <c r="FH115" i="11"/>
  <c r="FG115" i="11"/>
  <c r="FF115" i="11"/>
  <c r="FE115" i="11"/>
  <c r="FD115" i="11"/>
  <c r="FI114" i="11"/>
  <c r="FH114" i="11"/>
  <c r="FG114" i="11"/>
  <c r="FF114" i="11"/>
  <c r="FE114" i="11"/>
  <c r="FD114" i="11"/>
  <c r="FI113" i="11"/>
  <c r="FH113" i="11"/>
  <c r="FG113" i="11"/>
  <c r="FF113" i="11"/>
  <c r="FE113" i="11"/>
  <c r="FD113" i="11"/>
  <c r="FI112" i="11"/>
  <c r="FH112" i="11"/>
  <c r="FG112" i="11"/>
  <c r="FF112" i="11"/>
  <c r="FE112" i="11"/>
  <c r="FD112" i="11"/>
  <c r="FI111" i="11"/>
  <c r="FH111" i="11"/>
  <c r="FG111" i="11"/>
  <c r="FF111" i="11"/>
  <c r="FE111" i="11"/>
  <c r="FD111" i="11"/>
  <c r="FI110" i="11"/>
  <c r="FG110" i="11"/>
  <c r="FF110" i="11"/>
  <c r="FE110" i="11"/>
  <c r="FD110" i="11"/>
  <c r="FI109" i="11"/>
  <c r="FH109" i="11"/>
  <c r="FG109" i="11"/>
  <c r="FF109" i="11"/>
  <c r="FE109" i="11"/>
  <c r="FD109" i="11"/>
  <c r="FI108" i="11"/>
  <c r="FH108" i="11"/>
  <c r="FG108" i="11"/>
  <c r="FF108" i="11"/>
  <c r="FE108" i="11"/>
  <c r="FD108" i="11"/>
  <c r="FI107" i="11"/>
  <c r="FG107" i="11"/>
  <c r="FF107" i="11"/>
  <c r="FE107" i="11"/>
  <c r="FD107" i="11"/>
  <c r="CK107" i="11"/>
  <c r="FI106" i="11"/>
  <c r="FG106" i="11"/>
  <c r="FF106" i="11"/>
  <c r="FE106" i="11"/>
  <c r="FD106" i="11"/>
  <c r="CK106" i="11"/>
  <c r="FI105" i="11"/>
  <c r="FG105" i="11"/>
  <c r="FF105" i="11"/>
  <c r="FE105" i="11"/>
  <c r="FD105" i="11"/>
  <c r="CK105" i="11"/>
  <c r="CE105" i="11"/>
  <c r="FI104" i="11"/>
  <c r="FG104" i="11"/>
  <c r="FF104" i="11"/>
  <c r="FE104" i="11"/>
  <c r="FD104" i="11"/>
  <c r="FI103" i="11"/>
  <c r="FG103" i="11"/>
  <c r="FF103" i="11"/>
  <c r="FE103" i="11"/>
  <c r="FD103" i="11"/>
  <c r="FI102" i="11"/>
  <c r="FH102" i="11"/>
  <c r="FG102" i="11"/>
  <c r="FF102" i="11"/>
  <c r="FE102" i="11"/>
  <c r="FD102" i="11"/>
  <c r="FI101" i="11"/>
  <c r="FH101" i="11"/>
  <c r="FG101" i="11"/>
  <c r="FF101" i="11"/>
  <c r="FE101" i="11"/>
  <c r="FD101" i="11"/>
  <c r="AF37" i="11"/>
  <c r="AF36" i="11"/>
  <c r="AF35" i="11"/>
  <c r="FH110" i="11" s="1"/>
  <c r="AF34" i="11"/>
  <c r="AF33" i="11"/>
  <c r="AF32" i="11"/>
  <c r="FH107" i="11" s="1"/>
  <c r="AF31" i="11"/>
  <c r="FH106" i="11" s="1"/>
  <c r="AF30" i="11"/>
  <c r="FH105" i="11" s="1"/>
  <c r="AF29" i="11"/>
  <c r="FH104" i="11" s="1"/>
  <c r="AF28" i="11"/>
  <c r="AF27" i="11"/>
  <c r="AF26" i="11"/>
  <c r="FI181" i="10"/>
  <c r="FH181" i="10"/>
  <c r="FG181" i="10"/>
  <c r="FF181" i="10"/>
  <c r="FE181" i="10"/>
  <c r="FD181" i="10"/>
  <c r="FI180" i="10"/>
  <c r="FH180" i="10"/>
  <c r="FG180" i="10"/>
  <c r="FF180" i="10"/>
  <c r="FE180" i="10"/>
  <c r="FD180" i="10"/>
  <c r="FI179" i="10"/>
  <c r="FH179" i="10"/>
  <c r="FG179" i="10"/>
  <c r="FF179" i="10"/>
  <c r="FE179" i="10"/>
  <c r="FD179" i="10"/>
  <c r="FI178" i="10"/>
  <c r="FH178" i="10"/>
  <c r="FG178" i="10"/>
  <c r="FF178" i="10"/>
  <c r="FE178" i="10"/>
  <c r="FD178" i="10"/>
  <c r="FI177" i="10"/>
  <c r="FH177" i="10"/>
  <c r="FG177" i="10"/>
  <c r="FF177" i="10"/>
  <c r="FE177" i="10"/>
  <c r="FD177" i="10"/>
  <c r="FI176" i="10"/>
  <c r="FH176" i="10"/>
  <c r="FG176" i="10"/>
  <c r="FF176" i="10"/>
  <c r="FE176" i="10"/>
  <c r="FD176" i="10"/>
  <c r="FI175" i="10"/>
  <c r="FH175" i="10"/>
  <c r="FG175" i="10"/>
  <c r="FF175" i="10"/>
  <c r="FE175" i="10"/>
  <c r="FD175" i="10"/>
  <c r="FI174" i="10"/>
  <c r="FH174" i="10"/>
  <c r="FG174" i="10"/>
  <c r="FF174" i="10"/>
  <c r="FE174" i="10"/>
  <c r="FD174" i="10"/>
  <c r="FI173" i="10"/>
  <c r="FH173" i="10"/>
  <c r="FG173" i="10"/>
  <c r="FF173" i="10"/>
  <c r="FE173" i="10"/>
  <c r="FD173" i="10"/>
  <c r="FI172" i="10"/>
  <c r="FH172" i="10"/>
  <c r="FG172" i="10"/>
  <c r="FF172" i="10"/>
  <c r="FE172" i="10"/>
  <c r="FD172" i="10"/>
  <c r="FI171" i="10"/>
  <c r="FH171" i="10"/>
  <c r="FG171" i="10"/>
  <c r="FF171" i="10"/>
  <c r="FE171" i="10"/>
  <c r="FD171" i="10"/>
  <c r="FI170" i="10"/>
  <c r="FH170" i="10"/>
  <c r="FG170" i="10"/>
  <c r="FF170" i="10"/>
  <c r="FE170" i="10"/>
  <c r="FD170" i="10"/>
  <c r="FI169" i="10"/>
  <c r="FH169" i="10"/>
  <c r="FG169" i="10"/>
  <c r="FF169" i="10"/>
  <c r="FE169" i="10"/>
  <c r="FD169" i="10"/>
  <c r="FI168" i="10"/>
  <c r="FH168" i="10"/>
  <c r="FG168" i="10"/>
  <c r="FF168" i="10"/>
  <c r="FE168" i="10"/>
  <c r="FD168" i="10"/>
  <c r="FI167" i="10"/>
  <c r="FH167" i="10"/>
  <c r="FG167" i="10"/>
  <c r="FF167" i="10"/>
  <c r="FE167" i="10"/>
  <c r="FD167" i="10"/>
  <c r="FI166" i="10"/>
  <c r="FH166" i="10"/>
  <c r="FG166" i="10"/>
  <c r="FF166" i="10"/>
  <c r="FE166" i="10"/>
  <c r="FD166" i="10"/>
  <c r="FI165" i="10"/>
  <c r="FH165" i="10"/>
  <c r="FG165" i="10"/>
  <c r="FF165" i="10"/>
  <c r="FE165" i="10"/>
  <c r="FD165" i="10"/>
  <c r="FI164" i="10"/>
  <c r="FH164" i="10"/>
  <c r="FG164" i="10"/>
  <c r="FF164" i="10"/>
  <c r="FE164" i="10"/>
  <c r="FD164" i="10"/>
  <c r="FI163" i="10"/>
  <c r="FH163" i="10"/>
  <c r="FG163" i="10"/>
  <c r="FF163" i="10"/>
  <c r="FE163" i="10"/>
  <c r="FD163" i="10"/>
  <c r="FI162" i="10"/>
  <c r="FH162" i="10"/>
  <c r="FG162" i="10"/>
  <c r="FF162" i="10"/>
  <c r="FE162" i="10"/>
  <c r="FD162" i="10"/>
  <c r="FI161" i="10"/>
  <c r="FH161" i="10"/>
  <c r="FG161" i="10"/>
  <c r="FF161" i="10"/>
  <c r="FE161" i="10"/>
  <c r="FD161" i="10"/>
  <c r="FI160" i="10"/>
  <c r="FH160" i="10"/>
  <c r="FG160" i="10"/>
  <c r="FF160" i="10"/>
  <c r="FE160" i="10"/>
  <c r="FD160" i="10"/>
  <c r="FI159" i="10"/>
  <c r="FH159" i="10"/>
  <c r="FG159" i="10"/>
  <c r="FF159" i="10"/>
  <c r="FE159" i="10"/>
  <c r="FD159" i="10"/>
  <c r="FI158" i="10"/>
  <c r="FH158" i="10"/>
  <c r="FG158" i="10"/>
  <c r="FF158" i="10"/>
  <c r="FE158" i="10"/>
  <c r="FD158" i="10"/>
  <c r="FI157" i="10"/>
  <c r="FH157" i="10"/>
  <c r="FG157" i="10"/>
  <c r="FF157" i="10"/>
  <c r="FE157" i="10"/>
  <c r="FD157" i="10"/>
  <c r="FI156" i="10"/>
  <c r="FH156" i="10"/>
  <c r="FG156" i="10"/>
  <c r="FF156" i="10"/>
  <c r="FE156" i="10"/>
  <c r="FD156" i="10"/>
  <c r="FI155" i="10"/>
  <c r="FH155" i="10"/>
  <c r="FG155" i="10"/>
  <c r="FF155" i="10"/>
  <c r="FE155" i="10"/>
  <c r="FD155" i="10"/>
  <c r="FI154" i="10"/>
  <c r="FH154" i="10"/>
  <c r="FG154" i="10"/>
  <c r="FF154" i="10"/>
  <c r="FE154" i="10"/>
  <c r="FD154" i="10"/>
  <c r="FI153" i="10"/>
  <c r="FH153" i="10"/>
  <c r="FG153" i="10"/>
  <c r="FF153" i="10"/>
  <c r="FE153" i="10"/>
  <c r="FD153" i="10"/>
  <c r="FI152" i="10"/>
  <c r="FH152" i="10"/>
  <c r="FG152" i="10"/>
  <c r="FF152" i="10"/>
  <c r="FE152" i="10"/>
  <c r="FD152" i="10"/>
  <c r="FI151" i="10"/>
  <c r="FH151" i="10"/>
  <c r="FG151" i="10"/>
  <c r="FF151" i="10"/>
  <c r="FE151" i="10"/>
  <c r="FD151" i="10"/>
  <c r="FI150" i="10"/>
  <c r="FH150" i="10"/>
  <c r="FG150" i="10"/>
  <c r="FF150" i="10"/>
  <c r="FE150" i="10"/>
  <c r="FD150" i="10"/>
  <c r="FI149" i="10"/>
  <c r="FH149" i="10"/>
  <c r="FG149" i="10"/>
  <c r="FF149" i="10"/>
  <c r="FE149" i="10"/>
  <c r="FD149" i="10"/>
  <c r="FI148" i="10"/>
  <c r="FH148" i="10"/>
  <c r="FG148" i="10"/>
  <c r="FF148" i="10"/>
  <c r="FE148" i="10"/>
  <c r="FD148" i="10"/>
  <c r="FI147" i="10"/>
  <c r="FH147" i="10"/>
  <c r="FG147" i="10"/>
  <c r="FF147" i="10"/>
  <c r="FE147" i="10"/>
  <c r="FD147" i="10"/>
  <c r="FI146" i="10"/>
  <c r="FH146" i="10"/>
  <c r="FG146" i="10"/>
  <c r="FF146" i="10"/>
  <c r="FE146" i="10"/>
  <c r="FD146" i="10"/>
  <c r="FI145" i="10"/>
  <c r="FH145" i="10"/>
  <c r="FG145" i="10"/>
  <c r="FF145" i="10"/>
  <c r="FE145" i="10"/>
  <c r="FD145" i="10"/>
  <c r="FI144" i="10"/>
  <c r="FH144" i="10"/>
  <c r="FG144" i="10"/>
  <c r="FF144" i="10"/>
  <c r="FE144" i="10"/>
  <c r="FD144" i="10"/>
  <c r="FI143" i="10"/>
  <c r="FH143" i="10"/>
  <c r="FG143" i="10"/>
  <c r="FF143" i="10"/>
  <c r="FE143" i="10"/>
  <c r="FD143" i="10"/>
  <c r="FI142" i="10"/>
  <c r="FH142" i="10"/>
  <c r="FG142" i="10"/>
  <c r="FF142" i="10"/>
  <c r="FE142" i="10"/>
  <c r="FD142" i="10"/>
  <c r="FI141" i="10"/>
  <c r="FH141" i="10"/>
  <c r="FG141" i="10"/>
  <c r="FF141" i="10"/>
  <c r="FE141" i="10"/>
  <c r="FD141" i="10"/>
  <c r="FI140" i="10"/>
  <c r="FH140" i="10"/>
  <c r="FG140" i="10"/>
  <c r="FF140" i="10"/>
  <c r="FE140" i="10"/>
  <c r="FD140" i="10"/>
  <c r="FI139" i="10"/>
  <c r="FH139" i="10"/>
  <c r="FG139" i="10"/>
  <c r="FF139" i="10"/>
  <c r="FE139" i="10"/>
  <c r="FD139" i="10"/>
  <c r="FI138" i="10"/>
  <c r="FH138" i="10"/>
  <c r="FG138" i="10"/>
  <c r="FF138" i="10"/>
  <c r="FE138" i="10"/>
  <c r="FD138" i="10"/>
  <c r="FI137" i="10"/>
  <c r="FH137" i="10"/>
  <c r="FG137" i="10"/>
  <c r="FF137" i="10"/>
  <c r="FE137" i="10"/>
  <c r="FD137" i="10"/>
  <c r="FI136" i="10"/>
  <c r="FH136" i="10"/>
  <c r="FG136" i="10"/>
  <c r="FF136" i="10"/>
  <c r="FE136" i="10"/>
  <c r="FD136" i="10"/>
  <c r="FI135" i="10"/>
  <c r="FH135" i="10"/>
  <c r="FG135" i="10"/>
  <c r="FF135" i="10"/>
  <c r="FE135" i="10"/>
  <c r="FD135" i="10"/>
  <c r="FI134" i="10"/>
  <c r="FH134" i="10"/>
  <c r="FG134" i="10"/>
  <c r="FF134" i="10"/>
  <c r="FE134" i="10"/>
  <c r="FD134" i="10"/>
  <c r="FI133" i="10"/>
  <c r="FH133" i="10"/>
  <c r="FG133" i="10"/>
  <c r="FF133" i="10"/>
  <c r="FE133" i="10"/>
  <c r="FD133" i="10"/>
  <c r="FI132" i="10"/>
  <c r="FH132" i="10"/>
  <c r="FG132" i="10"/>
  <c r="FF132" i="10"/>
  <c r="FE132" i="10"/>
  <c r="FD132" i="10"/>
  <c r="FI131" i="10"/>
  <c r="FH131" i="10"/>
  <c r="FG131" i="10"/>
  <c r="FF131" i="10"/>
  <c r="FE131" i="10"/>
  <c r="FD131" i="10"/>
  <c r="FI130" i="10"/>
  <c r="FH130" i="10"/>
  <c r="FG130" i="10"/>
  <c r="FF130" i="10"/>
  <c r="FE130" i="10"/>
  <c r="FD130" i="10"/>
  <c r="FI129" i="10"/>
  <c r="FH129" i="10"/>
  <c r="FG129" i="10"/>
  <c r="FF129" i="10"/>
  <c r="FE129" i="10"/>
  <c r="FD129" i="10"/>
  <c r="FI128" i="10"/>
  <c r="FH128" i="10"/>
  <c r="FG128" i="10"/>
  <c r="FF128" i="10"/>
  <c r="FE128" i="10"/>
  <c r="FD128" i="10"/>
  <c r="FI127" i="10"/>
  <c r="FH127" i="10"/>
  <c r="FG127" i="10"/>
  <c r="FF127" i="10"/>
  <c r="FE127" i="10"/>
  <c r="FD127" i="10"/>
  <c r="FI126" i="10"/>
  <c r="FH126" i="10"/>
  <c r="FG126" i="10"/>
  <c r="FF126" i="10"/>
  <c r="FE126" i="10"/>
  <c r="FD126" i="10"/>
  <c r="FI125" i="10"/>
  <c r="FH125" i="10"/>
  <c r="FG125" i="10"/>
  <c r="FF125" i="10"/>
  <c r="FE125" i="10"/>
  <c r="FD125" i="10"/>
  <c r="FI124" i="10"/>
  <c r="FH124" i="10"/>
  <c r="FG124" i="10"/>
  <c r="FF124" i="10"/>
  <c r="FE124" i="10"/>
  <c r="FD124" i="10"/>
  <c r="FI123" i="10"/>
  <c r="FH123" i="10"/>
  <c r="FG123" i="10"/>
  <c r="FF123" i="10"/>
  <c r="FE123" i="10"/>
  <c r="FD123" i="10"/>
  <c r="FI122" i="10"/>
  <c r="FH122" i="10"/>
  <c r="FG122" i="10"/>
  <c r="FF122" i="10"/>
  <c r="FE122" i="10"/>
  <c r="FD122" i="10"/>
  <c r="FI121" i="10"/>
  <c r="FH121" i="10"/>
  <c r="FG121" i="10"/>
  <c r="FF121" i="10"/>
  <c r="FE121" i="10"/>
  <c r="FD121" i="10"/>
  <c r="FI120" i="10"/>
  <c r="FH120" i="10"/>
  <c r="FG120" i="10"/>
  <c r="FF120" i="10"/>
  <c r="FE120" i="10"/>
  <c r="FD120" i="10"/>
  <c r="FI119" i="10"/>
  <c r="FH119" i="10"/>
  <c r="FG119" i="10"/>
  <c r="FF119" i="10"/>
  <c r="FE119" i="10"/>
  <c r="FD119" i="10"/>
  <c r="FI118" i="10"/>
  <c r="FH118" i="10"/>
  <c r="FG118" i="10"/>
  <c r="FF118" i="10"/>
  <c r="FE118" i="10"/>
  <c r="FD118" i="10"/>
  <c r="FI117" i="10"/>
  <c r="FH117" i="10"/>
  <c r="FG117" i="10"/>
  <c r="FF117" i="10"/>
  <c r="FE117" i="10"/>
  <c r="FD117" i="10"/>
  <c r="FI116" i="10"/>
  <c r="FH116" i="10"/>
  <c r="FG116" i="10"/>
  <c r="FF116" i="10"/>
  <c r="FE116" i="10"/>
  <c r="FD116" i="10"/>
  <c r="FI115" i="10"/>
  <c r="FH115" i="10"/>
  <c r="FG115" i="10"/>
  <c r="FF115" i="10"/>
  <c r="FE115" i="10"/>
  <c r="FD115" i="10"/>
  <c r="FI114" i="10"/>
  <c r="FH114" i="10"/>
  <c r="FG114" i="10"/>
  <c r="FF114" i="10"/>
  <c r="FE114" i="10"/>
  <c r="FD114" i="10"/>
  <c r="FI113" i="10"/>
  <c r="FH113" i="10"/>
  <c r="FG113" i="10"/>
  <c r="FF113" i="10"/>
  <c r="FE113" i="10"/>
  <c r="FD113" i="10"/>
  <c r="FI112" i="10"/>
  <c r="FG112" i="10"/>
  <c r="FF112" i="10"/>
  <c r="FE112" i="10"/>
  <c r="FD112" i="10"/>
  <c r="FI111" i="10"/>
  <c r="FG111" i="10"/>
  <c r="FF111" i="10"/>
  <c r="FE111" i="10"/>
  <c r="FD111" i="10"/>
  <c r="FI110" i="10"/>
  <c r="FG110" i="10"/>
  <c r="FF110" i="10"/>
  <c r="FE110" i="10"/>
  <c r="FD110" i="10"/>
  <c r="FI109" i="10"/>
  <c r="FG109" i="10"/>
  <c r="FF109" i="10"/>
  <c r="FE109" i="10"/>
  <c r="FD109" i="10"/>
  <c r="FI108" i="10"/>
  <c r="FG108" i="10"/>
  <c r="FF108" i="10"/>
  <c r="FE108" i="10"/>
  <c r="FD108" i="10"/>
  <c r="FI107" i="10"/>
  <c r="FG107" i="10"/>
  <c r="FF107" i="10"/>
  <c r="FE107" i="10"/>
  <c r="FD107" i="10"/>
  <c r="CK107" i="10"/>
  <c r="FI106" i="10"/>
  <c r="FG106" i="10"/>
  <c r="FF106" i="10"/>
  <c r="FE106" i="10"/>
  <c r="FD106" i="10"/>
  <c r="CK106" i="10"/>
  <c r="FI105" i="10"/>
  <c r="FH105" i="10"/>
  <c r="FG105" i="10"/>
  <c r="FF105" i="10"/>
  <c r="FE105" i="10"/>
  <c r="FD105" i="10"/>
  <c r="CK105" i="10"/>
  <c r="CE105" i="10"/>
  <c r="FI104" i="10"/>
  <c r="FG104" i="10"/>
  <c r="FF104" i="10"/>
  <c r="FE104" i="10"/>
  <c r="FD104" i="10"/>
  <c r="FI103" i="10"/>
  <c r="FG103" i="10"/>
  <c r="FF103" i="10"/>
  <c r="FE103" i="10"/>
  <c r="FD103" i="10"/>
  <c r="FI102" i="10"/>
  <c r="FG102" i="10"/>
  <c r="FF102" i="10"/>
  <c r="FE102" i="10"/>
  <c r="FD102" i="10"/>
  <c r="FI101" i="10"/>
  <c r="FG101" i="10"/>
  <c r="FF101" i="10"/>
  <c r="FE101" i="10"/>
  <c r="FD101" i="10"/>
  <c r="AF37" i="10"/>
  <c r="FH112" i="10" s="1"/>
  <c r="AF36" i="10"/>
  <c r="FH111" i="10" s="1"/>
  <c r="AF35" i="10"/>
  <c r="FH110" i="10" s="1"/>
  <c r="AF34" i="10"/>
  <c r="FH109" i="10" s="1"/>
  <c r="AF33" i="10"/>
  <c r="FH108" i="10" s="1"/>
  <c r="AF32" i="10"/>
  <c r="FH107" i="10" s="1"/>
  <c r="AF31" i="10"/>
  <c r="AF30" i="10"/>
  <c r="AF29" i="10"/>
  <c r="FH104" i="10" s="1"/>
  <c r="AF28" i="10"/>
  <c r="FH103" i="10" s="1"/>
  <c r="AF27" i="10"/>
  <c r="FH102" i="10" s="1"/>
  <c r="AF26" i="10"/>
  <c r="FH101" i="10" s="1"/>
  <c r="AG27" i="9"/>
  <c r="AG26" i="9"/>
  <c r="AG25" i="9"/>
  <c r="AG24" i="9"/>
  <c r="AG23" i="9"/>
  <c r="AG20" i="9"/>
  <c r="AG19" i="9"/>
  <c r="AG18" i="9"/>
  <c r="AG17" i="9"/>
  <c r="AG16" i="9"/>
  <c r="AG15" i="9"/>
  <c r="AG14" i="9"/>
  <c r="P178" i="9"/>
  <c r="CM120" i="9"/>
  <c r="DO119" i="9"/>
  <c r="CM119" i="9"/>
  <c r="CS116" i="9"/>
  <c r="CS115" i="9"/>
  <c r="CS114" i="9"/>
  <c r="CS113" i="9"/>
  <c r="CS112" i="9"/>
  <c r="CS111" i="9"/>
  <c r="CS110" i="9"/>
  <c r="CS109" i="9"/>
  <c r="CS108" i="9"/>
  <c r="CS107" i="9"/>
  <c r="CS106" i="9"/>
  <c r="CS105" i="9"/>
  <c r="CS104" i="9"/>
  <c r="AG29" i="9"/>
  <c r="AG28" i="9"/>
  <c r="AG22" i="9"/>
  <c r="AG21" i="9"/>
  <c r="AG13" i="9"/>
  <c r="AG12" i="9"/>
  <c r="AG11" i="9"/>
  <c r="AG10" i="9"/>
  <c r="AG9" i="9"/>
  <c r="AG8" i="9"/>
  <c r="AG7" i="9"/>
  <c r="AA38" i="12" l="1"/>
  <c r="AA38" i="11"/>
  <c r="CK104" i="11" s="1"/>
  <c r="CK115" i="11" s="1"/>
  <c r="P56" i="11" s="1"/>
  <c r="FH103" i="11"/>
  <c r="AA38" i="10"/>
  <c r="H38" i="10" s="1"/>
  <c r="FH106" i="10"/>
  <c r="AB30" i="9"/>
  <c r="FI181" i="7"/>
  <c r="FH181" i="7"/>
  <c r="FG181" i="7"/>
  <c r="FF181" i="7"/>
  <c r="FE181" i="7"/>
  <c r="FD181" i="7"/>
  <c r="FI180" i="7"/>
  <c r="FH180" i="7"/>
  <c r="FG180" i="7"/>
  <c r="FF180" i="7"/>
  <c r="FE180" i="7"/>
  <c r="FD180" i="7"/>
  <c r="FI179" i="7"/>
  <c r="FH179" i="7"/>
  <c r="FG179" i="7"/>
  <c r="FF179" i="7"/>
  <c r="FE179" i="7"/>
  <c r="FD179" i="7"/>
  <c r="FI178" i="7"/>
  <c r="FH178" i="7"/>
  <c r="FG178" i="7"/>
  <c r="FF178" i="7"/>
  <c r="FE178" i="7"/>
  <c r="FD178" i="7"/>
  <c r="FI177" i="7"/>
  <c r="FH177" i="7"/>
  <c r="FG177" i="7"/>
  <c r="FF177" i="7"/>
  <c r="FE177" i="7"/>
  <c r="FD177" i="7"/>
  <c r="FI176" i="7"/>
  <c r="FH176" i="7"/>
  <c r="FG176" i="7"/>
  <c r="FF176" i="7"/>
  <c r="FE176" i="7"/>
  <c r="FD176" i="7"/>
  <c r="FI175" i="7"/>
  <c r="FH175" i="7"/>
  <c r="FG175" i="7"/>
  <c r="FF175" i="7"/>
  <c r="FE175" i="7"/>
  <c r="FD175" i="7"/>
  <c r="FI174" i="7"/>
  <c r="FH174" i="7"/>
  <c r="FG174" i="7"/>
  <c r="FF174" i="7"/>
  <c r="FE174" i="7"/>
  <c r="FD174" i="7"/>
  <c r="FI173" i="7"/>
  <c r="FH173" i="7"/>
  <c r="FG173" i="7"/>
  <c r="FF173" i="7"/>
  <c r="FE173" i="7"/>
  <c r="FD173" i="7"/>
  <c r="FI172" i="7"/>
  <c r="FH172" i="7"/>
  <c r="FG172" i="7"/>
  <c r="FF172" i="7"/>
  <c r="FE172" i="7"/>
  <c r="FD172" i="7"/>
  <c r="FI171" i="7"/>
  <c r="FH171" i="7"/>
  <c r="FG171" i="7"/>
  <c r="FF171" i="7"/>
  <c r="FE171" i="7"/>
  <c r="FD171" i="7"/>
  <c r="FI170" i="7"/>
  <c r="FH170" i="7"/>
  <c r="FG170" i="7"/>
  <c r="FF170" i="7"/>
  <c r="FE170" i="7"/>
  <c r="FD170" i="7"/>
  <c r="FI169" i="7"/>
  <c r="FH169" i="7"/>
  <c r="FG169" i="7"/>
  <c r="FF169" i="7"/>
  <c r="FE169" i="7"/>
  <c r="FD169" i="7"/>
  <c r="FI168" i="7"/>
  <c r="FH168" i="7"/>
  <c r="FG168" i="7"/>
  <c r="FF168" i="7"/>
  <c r="FE168" i="7"/>
  <c r="FD168" i="7"/>
  <c r="FI167" i="7"/>
  <c r="FH167" i="7"/>
  <c r="FG167" i="7"/>
  <c r="FF167" i="7"/>
  <c r="FE167" i="7"/>
  <c r="FD167" i="7"/>
  <c r="FI166" i="7"/>
  <c r="FH166" i="7"/>
  <c r="FG166" i="7"/>
  <c r="FF166" i="7"/>
  <c r="FE166" i="7"/>
  <c r="FD166" i="7"/>
  <c r="FI165" i="7"/>
  <c r="FH165" i="7"/>
  <c r="FG165" i="7"/>
  <c r="FF165" i="7"/>
  <c r="FE165" i="7"/>
  <c r="FD165" i="7"/>
  <c r="FI164" i="7"/>
  <c r="FH164" i="7"/>
  <c r="FG164" i="7"/>
  <c r="FF164" i="7"/>
  <c r="FE164" i="7"/>
  <c r="FD164" i="7"/>
  <c r="FI163" i="7"/>
  <c r="FH163" i="7"/>
  <c r="FG163" i="7"/>
  <c r="FF163" i="7"/>
  <c r="FE163" i="7"/>
  <c r="FD163" i="7"/>
  <c r="FI162" i="7"/>
  <c r="FH162" i="7"/>
  <c r="FG162" i="7"/>
  <c r="FF162" i="7"/>
  <c r="FE162" i="7"/>
  <c r="FD162" i="7"/>
  <c r="FI161" i="7"/>
  <c r="FH161" i="7"/>
  <c r="FG161" i="7"/>
  <c r="FF161" i="7"/>
  <c r="FE161" i="7"/>
  <c r="FD161" i="7"/>
  <c r="FI160" i="7"/>
  <c r="FH160" i="7"/>
  <c r="FG160" i="7"/>
  <c r="FF160" i="7"/>
  <c r="FE160" i="7"/>
  <c r="FD160" i="7"/>
  <c r="FI159" i="7"/>
  <c r="FH159" i="7"/>
  <c r="FG159" i="7"/>
  <c r="FF159" i="7"/>
  <c r="FE159" i="7"/>
  <c r="FD159" i="7"/>
  <c r="FI158" i="7"/>
  <c r="FH158" i="7"/>
  <c r="FG158" i="7"/>
  <c r="FF158" i="7"/>
  <c r="FE158" i="7"/>
  <c r="FD158" i="7"/>
  <c r="FI157" i="7"/>
  <c r="FH157" i="7"/>
  <c r="FG157" i="7"/>
  <c r="FF157" i="7"/>
  <c r="FE157" i="7"/>
  <c r="FD157" i="7"/>
  <c r="FI156" i="7"/>
  <c r="FH156" i="7"/>
  <c r="FG156" i="7"/>
  <c r="FF156" i="7"/>
  <c r="FE156" i="7"/>
  <c r="FD156" i="7"/>
  <c r="FI155" i="7"/>
  <c r="FH155" i="7"/>
  <c r="FG155" i="7"/>
  <c r="FF155" i="7"/>
  <c r="FE155" i="7"/>
  <c r="FD155" i="7"/>
  <c r="FI154" i="7"/>
  <c r="FH154" i="7"/>
  <c r="FG154" i="7"/>
  <c r="FF154" i="7"/>
  <c r="FE154" i="7"/>
  <c r="FD154" i="7"/>
  <c r="FI153" i="7"/>
  <c r="FH153" i="7"/>
  <c r="FG153" i="7"/>
  <c r="FF153" i="7"/>
  <c r="FE153" i="7"/>
  <c r="FD153" i="7"/>
  <c r="FI152" i="7"/>
  <c r="FH152" i="7"/>
  <c r="FG152" i="7"/>
  <c r="FF152" i="7"/>
  <c r="FE152" i="7"/>
  <c r="FD152" i="7"/>
  <c r="FI151" i="7"/>
  <c r="FH151" i="7"/>
  <c r="FG151" i="7"/>
  <c r="FF151" i="7"/>
  <c r="FE151" i="7"/>
  <c r="FD151" i="7"/>
  <c r="FI150" i="7"/>
  <c r="FH150" i="7"/>
  <c r="FG150" i="7"/>
  <c r="FF150" i="7"/>
  <c r="FE150" i="7"/>
  <c r="FD150" i="7"/>
  <c r="FI149" i="7"/>
  <c r="FH149" i="7"/>
  <c r="FG149" i="7"/>
  <c r="FF149" i="7"/>
  <c r="FE149" i="7"/>
  <c r="FD149" i="7"/>
  <c r="FI148" i="7"/>
  <c r="FH148" i="7"/>
  <c r="FG148" i="7"/>
  <c r="FF148" i="7"/>
  <c r="FE148" i="7"/>
  <c r="FD148" i="7"/>
  <c r="FI147" i="7"/>
  <c r="FH147" i="7"/>
  <c r="FG147" i="7"/>
  <c r="FF147" i="7"/>
  <c r="FE147" i="7"/>
  <c r="FD147" i="7"/>
  <c r="FI146" i="7"/>
  <c r="FH146" i="7"/>
  <c r="FG146" i="7"/>
  <c r="FF146" i="7"/>
  <c r="FE146" i="7"/>
  <c r="FD146" i="7"/>
  <c r="FI145" i="7"/>
  <c r="FH145" i="7"/>
  <c r="FG145" i="7"/>
  <c r="FF145" i="7"/>
  <c r="FE145" i="7"/>
  <c r="FD145" i="7"/>
  <c r="FI144" i="7"/>
  <c r="FH144" i="7"/>
  <c r="FG144" i="7"/>
  <c r="FF144" i="7"/>
  <c r="FE144" i="7"/>
  <c r="FD144" i="7"/>
  <c r="FI143" i="7"/>
  <c r="FH143" i="7"/>
  <c r="FG143" i="7"/>
  <c r="FF143" i="7"/>
  <c r="FE143" i="7"/>
  <c r="FD143" i="7"/>
  <c r="FI142" i="7"/>
  <c r="FH142" i="7"/>
  <c r="FG142" i="7"/>
  <c r="FF142" i="7"/>
  <c r="FE142" i="7"/>
  <c r="FD142" i="7"/>
  <c r="FI141" i="7"/>
  <c r="FH141" i="7"/>
  <c r="FG141" i="7"/>
  <c r="FF141" i="7"/>
  <c r="FE141" i="7"/>
  <c r="FD141" i="7"/>
  <c r="FI140" i="7"/>
  <c r="FH140" i="7"/>
  <c r="FG140" i="7"/>
  <c r="FF140" i="7"/>
  <c r="FE140" i="7"/>
  <c r="FD140" i="7"/>
  <c r="FI139" i="7"/>
  <c r="FH139" i="7"/>
  <c r="FG139" i="7"/>
  <c r="FF139" i="7"/>
  <c r="FE139" i="7"/>
  <c r="FD139" i="7"/>
  <c r="FI138" i="7"/>
  <c r="FH138" i="7"/>
  <c r="FG138" i="7"/>
  <c r="FF138" i="7"/>
  <c r="FE138" i="7"/>
  <c r="FD138" i="7"/>
  <c r="FI137" i="7"/>
  <c r="FH137" i="7"/>
  <c r="FG137" i="7"/>
  <c r="FF137" i="7"/>
  <c r="FE137" i="7"/>
  <c r="FD137" i="7"/>
  <c r="FI136" i="7"/>
  <c r="FH136" i="7"/>
  <c r="FG136" i="7"/>
  <c r="FF136" i="7"/>
  <c r="FE136" i="7"/>
  <c r="FD136" i="7"/>
  <c r="FI135" i="7"/>
  <c r="FH135" i="7"/>
  <c r="FG135" i="7"/>
  <c r="FF135" i="7"/>
  <c r="FE135" i="7"/>
  <c r="FD135" i="7"/>
  <c r="FI134" i="7"/>
  <c r="FH134" i="7"/>
  <c r="FG134" i="7"/>
  <c r="FF134" i="7"/>
  <c r="FE134" i="7"/>
  <c r="FD134" i="7"/>
  <c r="FI133" i="7"/>
  <c r="FH133" i="7"/>
  <c r="FG133" i="7"/>
  <c r="FF133" i="7"/>
  <c r="FE133" i="7"/>
  <c r="FD133" i="7"/>
  <c r="FI132" i="7"/>
  <c r="FH132" i="7"/>
  <c r="FG132" i="7"/>
  <c r="FF132" i="7"/>
  <c r="FE132" i="7"/>
  <c r="FD132" i="7"/>
  <c r="FI131" i="7"/>
  <c r="FH131" i="7"/>
  <c r="FG131" i="7"/>
  <c r="FF131" i="7"/>
  <c r="FE131" i="7"/>
  <c r="FD131" i="7"/>
  <c r="FI130" i="7"/>
  <c r="FH130" i="7"/>
  <c r="FG130" i="7"/>
  <c r="FF130" i="7"/>
  <c r="FE130" i="7"/>
  <c r="FD130" i="7"/>
  <c r="FI129" i="7"/>
  <c r="FH129" i="7"/>
  <c r="FG129" i="7"/>
  <c r="FF129" i="7"/>
  <c r="FE129" i="7"/>
  <c r="FD129" i="7"/>
  <c r="FI128" i="7"/>
  <c r="FH128" i="7"/>
  <c r="FG128" i="7"/>
  <c r="FF128" i="7"/>
  <c r="FE128" i="7"/>
  <c r="FD128" i="7"/>
  <c r="FI127" i="7"/>
  <c r="FH127" i="7"/>
  <c r="FG127" i="7"/>
  <c r="FF127" i="7"/>
  <c r="FE127" i="7"/>
  <c r="FD127" i="7"/>
  <c r="FI126" i="7"/>
  <c r="FH126" i="7"/>
  <c r="FG126" i="7"/>
  <c r="FF126" i="7"/>
  <c r="FE126" i="7"/>
  <c r="FD126" i="7"/>
  <c r="FI125" i="7"/>
  <c r="FH125" i="7"/>
  <c r="FG125" i="7"/>
  <c r="FF125" i="7"/>
  <c r="FE125" i="7"/>
  <c r="FD125" i="7"/>
  <c r="FI124" i="7"/>
  <c r="FH124" i="7"/>
  <c r="FG124" i="7"/>
  <c r="FF124" i="7"/>
  <c r="FE124" i="7"/>
  <c r="FD124" i="7"/>
  <c r="FI123" i="7"/>
  <c r="FH123" i="7"/>
  <c r="FG123" i="7"/>
  <c r="FF123" i="7"/>
  <c r="FE123" i="7"/>
  <c r="FD123" i="7"/>
  <c r="FI122" i="7"/>
  <c r="FH122" i="7"/>
  <c r="FG122" i="7"/>
  <c r="FF122" i="7"/>
  <c r="FE122" i="7"/>
  <c r="FD122" i="7"/>
  <c r="FI121" i="7"/>
  <c r="FH121" i="7"/>
  <c r="FG121" i="7"/>
  <c r="FF121" i="7"/>
  <c r="FE121" i="7"/>
  <c r="FD121" i="7"/>
  <c r="FI120" i="7"/>
  <c r="FH120" i="7"/>
  <c r="FG120" i="7"/>
  <c r="FF120" i="7"/>
  <c r="FE120" i="7"/>
  <c r="FD120" i="7"/>
  <c r="FI119" i="7"/>
  <c r="FH119" i="7"/>
  <c r="FG119" i="7"/>
  <c r="FF119" i="7"/>
  <c r="FE119" i="7"/>
  <c r="FD119" i="7"/>
  <c r="FI118" i="7"/>
  <c r="FH118" i="7"/>
  <c r="FG118" i="7"/>
  <c r="FF118" i="7"/>
  <c r="FE118" i="7"/>
  <c r="FD118" i="7"/>
  <c r="FI117" i="7"/>
  <c r="FH117" i="7"/>
  <c r="FG117" i="7"/>
  <c r="FF117" i="7"/>
  <c r="FE117" i="7"/>
  <c r="FD117" i="7"/>
  <c r="FI116" i="7"/>
  <c r="FH116" i="7"/>
  <c r="FG116" i="7"/>
  <c r="FF116" i="7"/>
  <c r="FE116" i="7"/>
  <c r="FD116" i="7"/>
  <c r="FI115" i="7"/>
  <c r="FH115" i="7"/>
  <c r="FG115" i="7"/>
  <c r="FF115" i="7"/>
  <c r="FE115" i="7"/>
  <c r="FD115" i="7"/>
  <c r="FI114" i="7"/>
  <c r="FH114" i="7"/>
  <c r="FG114" i="7"/>
  <c r="FF114" i="7"/>
  <c r="FE114" i="7"/>
  <c r="FD114" i="7"/>
  <c r="FI113" i="7"/>
  <c r="FH113" i="7"/>
  <c r="FG113" i="7"/>
  <c r="FF113" i="7"/>
  <c r="FE113" i="7"/>
  <c r="FD113" i="7"/>
  <c r="FI112" i="7"/>
  <c r="FH112" i="7"/>
  <c r="FG112" i="7"/>
  <c r="FF112" i="7"/>
  <c r="FE112" i="7"/>
  <c r="FD112" i="7"/>
  <c r="FI111" i="7"/>
  <c r="FH111" i="7"/>
  <c r="FG111" i="7"/>
  <c r="FF111" i="7"/>
  <c r="FE111" i="7"/>
  <c r="FD111" i="7"/>
  <c r="FI110" i="7"/>
  <c r="FG110" i="7"/>
  <c r="FF110" i="7"/>
  <c r="FE110" i="7"/>
  <c r="FD110" i="7"/>
  <c r="FI109" i="7"/>
  <c r="FG109" i="7"/>
  <c r="FF109" i="7"/>
  <c r="FE109" i="7"/>
  <c r="FD109" i="7"/>
  <c r="FI108" i="7"/>
  <c r="FG108" i="7"/>
  <c r="FF108" i="7"/>
  <c r="FE108" i="7"/>
  <c r="FD108" i="7"/>
  <c r="FI107" i="7"/>
  <c r="FH107" i="7"/>
  <c r="FG107" i="7"/>
  <c r="FF107" i="7"/>
  <c r="FE107" i="7"/>
  <c r="FD107" i="7"/>
  <c r="CK107" i="7"/>
  <c r="FI106" i="7"/>
  <c r="FG106" i="7"/>
  <c r="FF106" i="7"/>
  <c r="FE106" i="7"/>
  <c r="FD106" i="7"/>
  <c r="CK106" i="7"/>
  <c r="FI105" i="7"/>
  <c r="FG105" i="7"/>
  <c r="FF105" i="7"/>
  <c r="FE105" i="7"/>
  <c r="FD105" i="7"/>
  <c r="CK105" i="7"/>
  <c r="CE105" i="7"/>
  <c r="FI104" i="7"/>
  <c r="FG104" i="7"/>
  <c r="FF104" i="7"/>
  <c r="FE104" i="7"/>
  <c r="FD104" i="7"/>
  <c r="FI103" i="7"/>
  <c r="FH103" i="7"/>
  <c r="FG103" i="7"/>
  <c r="FF103" i="7"/>
  <c r="FE103" i="7"/>
  <c r="FD103" i="7"/>
  <c r="FI102" i="7"/>
  <c r="FH102" i="7"/>
  <c r="FG102" i="7"/>
  <c r="FF102" i="7"/>
  <c r="FE102" i="7"/>
  <c r="FD102" i="7"/>
  <c r="FI101" i="7"/>
  <c r="FG101" i="7"/>
  <c r="FF101" i="7"/>
  <c r="FE101" i="7"/>
  <c r="FD101" i="7"/>
  <c r="AF35" i="7"/>
  <c r="FH110" i="7" s="1"/>
  <c r="AF34" i="7"/>
  <c r="FH109" i="7" s="1"/>
  <c r="AF33" i="7"/>
  <c r="FH108" i="7" s="1"/>
  <c r="AF32" i="7"/>
  <c r="AF31" i="7"/>
  <c r="FH106" i="7" s="1"/>
  <c r="AF30" i="7"/>
  <c r="FH105" i="7" s="1"/>
  <c r="AF29" i="7"/>
  <c r="FH104" i="7" s="1"/>
  <c r="AF28" i="7"/>
  <c r="AF27" i="7"/>
  <c r="AF26" i="7"/>
  <c r="FH101" i="7" s="1"/>
  <c r="FI181" i="6"/>
  <c r="FH181" i="6"/>
  <c r="FG181" i="6"/>
  <c r="FF181" i="6"/>
  <c r="FE181" i="6"/>
  <c r="FD181" i="6"/>
  <c r="FI180" i="6"/>
  <c r="FH180" i="6"/>
  <c r="FG180" i="6"/>
  <c r="FF180" i="6"/>
  <c r="FE180" i="6"/>
  <c r="FD180" i="6"/>
  <c r="FI179" i="6"/>
  <c r="FH179" i="6"/>
  <c r="FG179" i="6"/>
  <c r="FF179" i="6"/>
  <c r="FE179" i="6"/>
  <c r="FD179" i="6"/>
  <c r="FI178" i="6"/>
  <c r="FH178" i="6"/>
  <c r="FG178" i="6"/>
  <c r="FF178" i="6"/>
  <c r="FE178" i="6"/>
  <c r="FD178" i="6"/>
  <c r="FI177" i="6"/>
  <c r="FH177" i="6"/>
  <c r="FG177" i="6"/>
  <c r="FF177" i="6"/>
  <c r="FE177" i="6"/>
  <c r="FD177" i="6"/>
  <c r="FI176" i="6"/>
  <c r="FH176" i="6"/>
  <c r="FG176" i="6"/>
  <c r="FF176" i="6"/>
  <c r="FE176" i="6"/>
  <c r="FD176" i="6"/>
  <c r="FI175" i="6"/>
  <c r="FH175" i="6"/>
  <c r="FG175" i="6"/>
  <c r="FF175" i="6"/>
  <c r="FE175" i="6"/>
  <c r="FD175" i="6"/>
  <c r="FI174" i="6"/>
  <c r="FH174" i="6"/>
  <c r="FG174" i="6"/>
  <c r="FF174" i="6"/>
  <c r="FE174" i="6"/>
  <c r="FD174" i="6"/>
  <c r="FI173" i="6"/>
  <c r="FH173" i="6"/>
  <c r="FG173" i="6"/>
  <c r="FF173" i="6"/>
  <c r="FE173" i="6"/>
  <c r="FD173" i="6"/>
  <c r="FI172" i="6"/>
  <c r="FH172" i="6"/>
  <c r="FG172" i="6"/>
  <c r="FF172" i="6"/>
  <c r="FE172" i="6"/>
  <c r="FD172" i="6"/>
  <c r="FI171" i="6"/>
  <c r="FH171" i="6"/>
  <c r="FG171" i="6"/>
  <c r="FF171" i="6"/>
  <c r="FE171" i="6"/>
  <c r="FD171" i="6"/>
  <c r="FI170" i="6"/>
  <c r="FH170" i="6"/>
  <c r="FG170" i="6"/>
  <c r="FF170" i="6"/>
  <c r="FE170" i="6"/>
  <c r="FD170" i="6"/>
  <c r="FI169" i="6"/>
  <c r="FH169" i="6"/>
  <c r="FG169" i="6"/>
  <c r="FF169" i="6"/>
  <c r="FE169" i="6"/>
  <c r="FD169" i="6"/>
  <c r="FI168" i="6"/>
  <c r="FH168" i="6"/>
  <c r="FG168" i="6"/>
  <c r="FF168" i="6"/>
  <c r="FE168" i="6"/>
  <c r="FD168" i="6"/>
  <c r="FI167" i="6"/>
  <c r="FH167" i="6"/>
  <c r="FG167" i="6"/>
  <c r="FF167" i="6"/>
  <c r="FE167" i="6"/>
  <c r="FD167" i="6"/>
  <c r="FI166" i="6"/>
  <c r="FH166" i="6"/>
  <c r="FG166" i="6"/>
  <c r="FF166" i="6"/>
  <c r="FE166" i="6"/>
  <c r="FD166" i="6"/>
  <c r="FI165" i="6"/>
  <c r="FH165" i="6"/>
  <c r="FG165" i="6"/>
  <c r="FF165" i="6"/>
  <c r="FE165" i="6"/>
  <c r="FD165" i="6"/>
  <c r="FI164" i="6"/>
  <c r="FH164" i="6"/>
  <c r="FG164" i="6"/>
  <c r="FF164" i="6"/>
  <c r="FE164" i="6"/>
  <c r="FD164" i="6"/>
  <c r="FI163" i="6"/>
  <c r="FH163" i="6"/>
  <c r="FG163" i="6"/>
  <c r="FF163" i="6"/>
  <c r="FE163" i="6"/>
  <c r="FD163" i="6"/>
  <c r="FI162" i="6"/>
  <c r="FH162" i="6"/>
  <c r="FG162" i="6"/>
  <c r="FF162" i="6"/>
  <c r="FE162" i="6"/>
  <c r="FD162" i="6"/>
  <c r="FI161" i="6"/>
  <c r="FH161" i="6"/>
  <c r="FG161" i="6"/>
  <c r="FF161" i="6"/>
  <c r="FE161" i="6"/>
  <c r="FD161" i="6"/>
  <c r="FI160" i="6"/>
  <c r="FH160" i="6"/>
  <c r="FG160" i="6"/>
  <c r="FF160" i="6"/>
  <c r="FE160" i="6"/>
  <c r="FD160" i="6"/>
  <c r="FI159" i="6"/>
  <c r="FH159" i="6"/>
  <c r="FG159" i="6"/>
  <c r="FF159" i="6"/>
  <c r="FE159" i="6"/>
  <c r="FD159" i="6"/>
  <c r="FI158" i="6"/>
  <c r="FH158" i="6"/>
  <c r="FG158" i="6"/>
  <c r="FF158" i="6"/>
  <c r="FE158" i="6"/>
  <c r="FD158" i="6"/>
  <c r="FI157" i="6"/>
  <c r="FH157" i="6"/>
  <c r="FG157" i="6"/>
  <c r="FF157" i="6"/>
  <c r="FE157" i="6"/>
  <c r="FD157" i="6"/>
  <c r="FI156" i="6"/>
  <c r="FH156" i="6"/>
  <c r="FG156" i="6"/>
  <c r="FF156" i="6"/>
  <c r="FE156" i="6"/>
  <c r="FD156" i="6"/>
  <c r="FI155" i="6"/>
  <c r="FH155" i="6"/>
  <c r="FG155" i="6"/>
  <c r="FF155" i="6"/>
  <c r="FE155" i="6"/>
  <c r="FD155" i="6"/>
  <c r="FI154" i="6"/>
  <c r="FH154" i="6"/>
  <c r="FG154" i="6"/>
  <c r="FF154" i="6"/>
  <c r="FE154" i="6"/>
  <c r="FD154" i="6"/>
  <c r="FI153" i="6"/>
  <c r="FH153" i="6"/>
  <c r="FG153" i="6"/>
  <c r="FF153" i="6"/>
  <c r="FE153" i="6"/>
  <c r="FD153" i="6"/>
  <c r="FI152" i="6"/>
  <c r="FH152" i="6"/>
  <c r="FG152" i="6"/>
  <c r="FF152" i="6"/>
  <c r="FE152" i="6"/>
  <c r="FD152" i="6"/>
  <c r="FI151" i="6"/>
  <c r="FH151" i="6"/>
  <c r="FG151" i="6"/>
  <c r="FF151" i="6"/>
  <c r="FE151" i="6"/>
  <c r="FD151" i="6"/>
  <c r="FI150" i="6"/>
  <c r="FH150" i="6"/>
  <c r="FG150" i="6"/>
  <c r="FF150" i="6"/>
  <c r="FE150" i="6"/>
  <c r="FD150" i="6"/>
  <c r="FI149" i="6"/>
  <c r="FH149" i="6"/>
  <c r="FG149" i="6"/>
  <c r="FF149" i="6"/>
  <c r="FE149" i="6"/>
  <c r="FD149" i="6"/>
  <c r="FI148" i="6"/>
  <c r="FH148" i="6"/>
  <c r="FG148" i="6"/>
  <c r="FF148" i="6"/>
  <c r="FE148" i="6"/>
  <c r="FD148" i="6"/>
  <c r="FI147" i="6"/>
  <c r="FH147" i="6"/>
  <c r="FG147" i="6"/>
  <c r="FF147" i="6"/>
  <c r="FE147" i="6"/>
  <c r="FD147" i="6"/>
  <c r="FI146" i="6"/>
  <c r="FH146" i="6"/>
  <c r="FG146" i="6"/>
  <c r="FF146" i="6"/>
  <c r="FE146" i="6"/>
  <c r="FD146" i="6"/>
  <c r="FI145" i="6"/>
  <c r="FH145" i="6"/>
  <c r="FG145" i="6"/>
  <c r="FF145" i="6"/>
  <c r="FE145" i="6"/>
  <c r="FD145" i="6"/>
  <c r="FI144" i="6"/>
  <c r="FH144" i="6"/>
  <c r="FG144" i="6"/>
  <c r="FF144" i="6"/>
  <c r="FE144" i="6"/>
  <c r="FD144" i="6"/>
  <c r="FI143" i="6"/>
  <c r="FH143" i="6"/>
  <c r="FG143" i="6"/>
  <c r="FF143" i="6"/>
  <c r="FE143" i="6"/>
  <c r="FD143" i="6"/>
  <c r="FI142" i="6"/>
  <c r="FH142" i="6"/>
  <c r="FG142" i="6"/>
  <c r="FF142" i="6"/>
  <c r="FE142" i="6"/>
  <c r="FD142" i="6"/>
  <c r="FI141" i="6"/>
  <c r="FH141" i="6"/>
  <c r="FG141" i="6"/>
  <c r="FF141" i="6"/>
  <c r="FE141" i="6"/>
  <c r="FD141" i="6"/>
  <c r="FI140" i="6"/>
  <c r="FH140" i="6"/>
  <c r="FG140" i="6"/>
  <c r="FF140" i="6"/>
  <c r="FE140" i="6"/>
  <c r="FD140" i="6"/>
  <c r="FI139" i="6"/>
  <c r="FH139" i="6"/>
  <c r="FG139" i="6"/>
  <c r="FF139" i="6"/>
  <c r="FE139" i="6"/>
  <c r="FD139" i="6"/>
  <c r="FI138" i="6"/>
  <c r="FH138" i="6"/>
  <c r="FG138" i="6"/>
  <c r="FF138" i="6"/>
  <c r="FE138" i="6"/>
  <c r="FD138" i="6"/>
  <c r="FI137" i="6"/>
  <c r="FH137" i="6"/>
  <c r="FG137" i="6"/>
  <c r="FF137" i="6"/>
  <c r="FE137" i="6"/>
  <c r="FD137" i="6"/>
  <c r="FI136" i="6"/>
  <c r="FH136" i="6"/>
  <c r="FG136" i="6"/>
  <c r="FF136" i="6"/>
  <c r="FE136" i="6"/>
  <c r="FD136" i="6"/>
  <c r="FI135" i="6"/>
  <c r="FH135" i="6"/>
  <c r="FG135" i="6"/>
  <c r="FF135" i="6"/>
  <c r="FE135" i="6"/>
  <c r="FD135" i="6"/>
  <c r="FI134" i="6"/>
  <c r="FH134" i="6"/>
  <c r="FG134" i="6"/>
  <c r="FF134" i="6"/>
  <c r="FE134" i="6"/>
  <c r="FD134" i="6"/>
  <c r="FI133" i="6"/>
  <c r="FH133" i="6"/>
  <c r="FG133" i="6"/>
  <c r="FF133" i="6"/>
  <c r="FE133" i="6"/>
  <c r="FD133" i="6"/>
  <c r="FI132" i="6"/>
  <c r="FH132" i="6"/>
  <c r="FG132" i="6"/>
  <c r="FF132" i="6"/>
  <c r="FE132" i="6"/>
  <c r="FD132" i="6"/>
  <c r="FI131" i="6"/>
  <c r="FH131" i="6"/>
  <c r="FG131" i="6"/>
  <c r="FF131" i="6"/>
  <c r="FE131" i="6"/>
  <c r="FD131" i="6"/>
  <c r="FI130" i="6"/>
  <c r="FH130" i="6"/>
  <c r="FG130" i="6"/>
  <c r="FF130" i="6"/>
  <c r="FE130" i="6"/>
  <c r="FD130" i="6"/>
  <c r="FI129" i="6"/>
  <c r="FH129" i="6"/>
  <c r="FG129" i="6"/>
  <c r="FF129" i="6"/>
  <c r="FE129" i="6"/>
  <c r="FD129" i="6"/>
  <c r="FI128" i="6"/>
  <c r="FH128" i="6"/>
  <c r="FG128" i="6"/>
  <c r="FF128" i="6"/>
  <c r="FE128" i="6"/>
  <c r="FD128" i="6"/>
  <c r="FI127" i="6"/>
  <c r="FH127" i="6"/>
  <c r="FG127" i="6"/>
  <c r="FF127" i="6"/>
  <c r="FE127" i="6"/>
  <c r="FD127" i="6"/>
  <c r="FI126" i="6"/>
  <c r="FH126" i="6"/>
  <c r="FG126" i="6"/>
  <c r="FF126" i="6"/>
  <c r="FE126" i="6"/>
  <c r="FD126" i="6"/>
  <c r="FI125" i="6"/>
  <c r="FH125" i="6"/>
  <c r="FG125" i="6"/>
  <c r="FF125" i="6"/>
  <c r="FE125" i="6"/>
  <c r="FD125" i="6"/>
  <c r="FI124" i="6"/>
  <c r="FH124" i="6"/>
  <c r="FG124" i="6"/>
  <c r="FF124" i="6"/>
  <c r="FE124" i="6"/>
  <c r="FD124" i="6"/>
  <c r="FI123" i="6"/>
  <c r="FH123" i="6"/>
  <c r="FG123" i="6"/>
  <c r="FF123" i="6"/>
  <c r="FE123" i="6"/>
  <c r="FD123" i="6"/>
  <c r="FI122" i="6"/>
  <c r="FH122" i="6"/>
  <c r="FG122" i="6"/>
  <c r="FF122" i="6"/>
  <c r="FE122" i="6"/>
  <c r="FD122" i="6"/>
  <c r="FI121" i="6"/>
  <c r="FH121" i="6"/>
  <c r="FG121" i="6"/>
  <c r="FF121" i="6"/>
  <c r="FE121" i="6"/>
  <c r="FD121" i="6"/>
  <c r="FI120" i="6"/>
  <c r="FH120" i="6"/>
  <c r="FG120" i="6"/>
  <c r="FF120" i="6"/>
  <c r="FE120" i="6"/>
  <c r="FD120" i="6"/>
  <c r="FI119" i="6"/>
  <c r="FH119" i="6"/>
  <c r="FG119" i="6"/>
  <c r="FF119" i="6"/>
  <c r="FE119" i="6"/>
  <c r="FD119" i="6"/>
  <c r="FI118" i="6"/>
  <c r="FH118" i="6"/>
  <c r="FG118" i="6"/>
  <c r="FF118" i="6"/>
  <c r="FE118" i="6"/>
  <c r="FD118" i="6"/>
  <c r="FI117" i="6"/>
  <c r="FH117" i="6"/>
  <c r="FG117" i="6"/>
  <c r="FF117" i="6"/>
  <c r="FE117" i="6"/>
  <c r="FD117" i="6"/>
  <c r="FI116" i="6"/>
  <c r="FH116" i="6"/>
  <c r="FG116" i="6"/>
  <c r="FF116" i="6"/>
  <c r="FE116" i="6"/>
  <c r="FD116" i="6"/>
  <c r="FI115" i="6"/>
  <c r="FH115" i="6"/>
  <c r="FG115" i="6"/>
  <c r="FF115" i="6"/>
  <c r="FE115" i="6"/>
  <c r="FD115" i="6"/>
  <c r="FI114" i="6"/>
  <c r="FH114" i="6"/>
  <c r="FG114" i="6"/>
  <c r="FF114" i="6"/>
  <c r="FE114" i="6"/>
  <c r="FD114" i="6"/>
  <c r="FI113" i="6"/>
  <c r="FH113" i="6"/>
  <c r="FG113" i="6"/>
  <c r="FF113" i="6"/>
  <c r="FE113" i="6"/>
  <c r="FD113" i="6"/>
  <c r="FI112" i="6"/>
  <c r="FG112" i="6"/>
  <c r="FF112" i="6"/>
  <c r="FE112" i="6"/>
  <c r="FD112" i="6"/>
  <c r="FI111" i="6"/>
  <c r="FG111" i="6"/>
  <c r="FF111" i="6"/>
  <c r="FE111" i="6"/>
  <c r="FD111" i="6"/>
  <c r="FI110" i="6"/>
  <c r="FG110" i="6"/>
  <c r="FF110" i="6"/>
  <c r="FE110" i="6"/>
  <c r="FD110" i="6"/>
  <c r="FI109" i="6"/>
  <c r="FG109" i="6"/>
  <c r="FF109" i="6"/>
  <c r="FE109" i="6"/>
  <c r="FD109" i="6"/>
  <c r="FI108" i="6"/>
  <c r="FG108" i="6"/>
  <c r="FF108" i="6"/>
  <c r="FE108" i="6"/>
  <c r="FD108" i="6"/>
  <c r="FI107" i="6"/>
  <c r="FG107" i="6"/>
  <c r="FF107" i="6"/>
  <c r="FE107" i="6"/>
  <c r="FD107" i="6"/>
  <c r="CK107" i="6"/>
  <c r="FI106" i="6"/>
  <c r="FG106" i="6"/>
  <c r="FF106" i="6"/>
  <c r="FE106" i="6"/>
  <c r="FD106" i="6"/>
  <c r="CK106" i="6"/>
  <c r="FI105" i="6"/>
  <c r="FG105" i="6"/>
  <c r="FF105" i="6"/>
  <c r="FE105" i="6"/>
  <c r="FD105" i="6"/>
  <c r="CK105" i="6"/>
  <c r="CE105" i="6"/>
  <c r="FI104" i="6"/>
  <c r="FG104" i="6"/>
  <c r="FF104" i="6"/>
  <c r="FE104" i="6"/>
  <c r="FD104" i="6"/>
  <c r="FI103" i="6"/>
  <c r="FG103" i="6"/>
  <c r="FF103" i="6"/>
  <c r="FE103" i="6"/>
  <c r="FD103" i="6"/>
  <c r="FI102" i="6"/>
  <c r="FG102" i="6"/>
  <c r="FF102" i="6"/>
  <c r="FE102" i="6"/>
  <c r="FD102" i="6"/>
  <c r="FI101" i="6"/>
  <c r="FG101" i="6"/>
  <c r="FF101" i="6"/>
  <c r="FE101" i="6"/>
  <c r="FD101" i="6"/>
  <c r="AF37" i="6"/>
  <c r="FH112" i="6" s="1"/>
  <c r="AF36" i="6"/>
  <c r="FH111" i="6" s="1"/>
  <c r="AF35" i="6"/>
  <c r="FH110" i="6" s="1"/>
  <c r="AF34" i="6"/>
  <c r="AF33" i="6"/>
  <c r="FH108" i="6" s="1"/>
  <c r="AF32" i="6"/>
  <c r="FH107" i="6" s="1"/>
  <c r="AF31" i="6"/>
  <c r="FH106" i="6" s="1"/>
  <c r="AF30" i="6"/>
  <c r="FH105" i="6" s="1"/>
  <c r="AF29" i="6"/>
  <c r="FH104" i="6" s="1"/>
  <c r="AF28" i="6"/>
  <c r="FH103" i="6" s="1"/>
  <c r="AF27" i="6"/>
  <c r="FH102" i="6" s="1"/>
  <c r="AF26" i="6"/>
  <c r="FH101" i="6" s="1"/>
  <c r="CK104" i="12" l="1"/>
  <c r="CK115" i="12" s="1"/>
  <c r="H38" i="12"/>
  <c r="H38" i="11"/>
  <c r="H39" i="11" s="1"/>
  <c r="J20" i="11" s="1"/>
  <c r="CK104" i="10"/>
  <c r="CK115" i="10" s="1"/>
  <c r="P56" i="10" s="1"/>
  <c r="AA38" i="7"/>
  <c r="AA38" i="6"/>
  <c r="H38" i="6" s="1"/>
  <c r="FH109" i="6"/>
  <c r="AF29" i="1"/>
  <c r="AF30" i="1"/>
  <c r="P56" i="12" l="1"/>
  <c r="H39" i="12"/>
  <c r="J19" i="11"/>
  <c r="H39" i="10"/>
  <c r="J20" i="10" s="1"/>
  <c r="CK104" i="7"/>
  <c r="CK115" i="7" s="1"/>
  <c r="H38" i="7"/>
  <c r="CK104" i="6"/>
  <c r="CK115" i="6" s="1"/>
  <c r="P56" i="6" s="1"/>
  <c r="AF28" i="1"/>
  <c r="J20" i="12" l="1"/>
  <c r="J19" i="12"/>
  <c r="J19" i="10"/>
  <c r="P56" i="7"/>
  <c r="H39" i="7"/>
  <c r="H39" i="6"/>
  <c r="J20" i="6" s="1"/>
  <c r="AF32" i="1"/>
  <c r="AF31" i="1"/>
  <c r="AF27" i="1"/>
  <c r="J20" i="7" l="1"/>
  <c r="J19" i="7"/>
  <c r="J19" i="6"/>
  <c r="AF33" i="1"/>
  <c r="AF35" i="1" l="1"/>
  <c r="FH110" i="1" s="1"/>
  <c r="AF34" i="1"/>
  <c r="FH109" i="1" s="1"/>
  <c r="AF37" i="1"/>
  <c r="FH112" i="1" s="1"/>
  <c r="FH106" i="1"/>
  <c r="FH105" i="1"/>
  <c r="FH104" i="1"/>
  <c r="FH103" i="1"/>
  <c r="FH102" i="1"/>
  <c r="AF26" i="1"/>
  <c r="FH101" i="1" s="1"/>
  <c r="FH107" i="1"/>
  <c r="FH108" i="1"/>
  <c r="FH135" i="1"/>
  <c r="FH134" i="1"/>
  <c r="FH132" i="1"/>
  <c r="FH130" i="1"/>
  <c r="FH127" i="1"/>
  <c r="FH126" i="1"/>
  <c r="FH125" i="1"/>
  <c r="FH124" i="1"/>
  <c r="FH123" i="1"/>
  <c r="FH122" i="1"/>
  <c r="FH120" i="1"/>
  <c r="FH119" i="1"/>
  <c r="FH118" i="1"/>
  <c r="FH117" i="1"/>
  <c r="FH116" i="1"/>
  <c r="FH115" i="1"/>
  <c r="FH114" i="1"/>
  <c r="FH113" i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AF36" i="1"/>
  <c r="FH111" i="1" s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<sst xmlns="http://schemas.openxmlformats.org/spreadsheetml/2006/main" count="829" uniqueCount="190">
  <si>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</si>
  <si>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</si>
  <si>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</si>
  <si>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</si>
  <si>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</si>
  <si>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</si>
  <si>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</si>
  <si>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</si>
  <si>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</si>
  <si>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</si>
  <si>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</si>
  <si>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</si>
  <si>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</si>
  <si>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</si>
  <si>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</si>
  <si>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</si>
  <si>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</si>
  <si>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</si>
  <si>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</si>
  <si>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</si>
  <si>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</si>
  <si>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</si>
  <si>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</si>
  <si>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</si>
  <si>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</si>
  <si>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</si>
  <si>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</si>
  <si>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</si>
  <si>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</si>
  <si>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</si>
  <si>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</si>
  <si>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</si>
  <si>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</si>
  <si>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</si>
  <si>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</si>
  <si>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</si>
  <si>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</si>
  <si>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</si>
  <si>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</si>
  <si>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</si>
  <si>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</si>
  <si>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</si>
  <si>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</si>
  <si>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</si>
  <si>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</si>
  <si>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</si>
  <si>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</si>
  <si>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</si>
  <si>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</si>
  <si>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</si>
  <si>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</si>
  <si>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</si>
  <si>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</si>
  <si>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</si>
  <si>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</si>
  <si>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</si>
  <si>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</si>
  <si>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</si>
  <si>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</si>
  <si>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</si>
  <si>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</si>
  <si>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</si>
  <si>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</si>
  <si>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</si>
  <si>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</si>
  <si>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</si>
  <si>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</si>
  <si>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</si>
  <si>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</si>
  <si>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</si>
  <si>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</si>
  <si>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</si>
  <si>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</si>
  <si>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</si>
  <si>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</si>
  <si>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</si>
  <si>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</si>
  <si>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</si>
  <si>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</si>
  <si>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</si>
  <si>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</si>
  <si>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</si>
  <si>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00-F-20-75-29-7C</t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</si>
  <si>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</si>
  <si>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</si>
  <si>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</si>
  <si>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</si>
  <si>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</si>
  <si>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消費税10%</t>
    <phoneticPr fontId="4"/>
  </si>
  <si>
    <t>現金支払</t>
    <rPh sb="0" eb="4">
      <t>ゲンキンシハラ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</si>
  <si>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</si>
  <si>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見積書有効期限発効後60日</t>
    <rPh sb="0" eb="3">
      <t>ミツモリショ</t>
    </rPh>
    <rPh sb="3" eb="7">
      <t>ユウコウキゲン</t>
    </rPh>
    <rPh sb="7" eb="10">
      <t>ハッコウゴ</t>
    </rPh>
    <rPh sb="12" eb="13">
      <t>ニチ</t>
    </rPh>
    <phoneticPr fontId="4"/>
  </si>
  <si>
    <t>展示会参加デモ用消耗品費</t>
    <rPh sb="0" eb="3">
      <t>テンジカイ</t>
    </rPh>
    <rPh sb="3" eb="5">
      <t>サンカ</t>
    </rPh>
    <rPh sb="7" eb="8">
      <t>ヨウ</t>
    </rPh>
    <rPh sb="8" eb="12">
      <t>ショウモウヒンヒ</t>
    </rPh>
    <phoneticPr fontId="4"/>
  </si>
  <si>
    <t>期日</t>
    <rPh sb="0" eb="2">
      <t>キジツ</t>
    </rPh>
    <phoneticPr fontId="4"/>
  </si>
  <si>
    <t>場所</t>
    <rPh sb="0" eb="2">
      <t>バショ</t>
    </rPh>
    <phoneticPr fontId="4"/>
  </si>
  <si>
    <t>〒160-8511</t>
    <phoneticPr fontId="4"/>
  </si>
  <si>
    <t>東京都新宿区四谷4-1</t>
    <phoneticPr fontId="4"/>
  </si>
  <si>
    <t>大塚刷毛製造株式会社</t>
    <rPh sb="8" eb="10">
      <t>カイシャ</t>
    </rPh>
    <phoneticPr fontId="4"/>
  </si>
  <si>
    <t>2025/4/5-6</t>
    <phoneticPr fontId="4"/>
  </si>
  <si>
    <t>新潟マルテーフェア</t>
    <rPh sb="0" eb="2">
      <t>ニイガタ</t>
    </rPh>
    <phoneticPr fontId="4"/>
  </si>
  <si>
    <t>遮光パネル　溶接用机　ご用意ください。</t>
    <rPh sb="0" eb="2">
      <t>シャコウ</t>
    </rPh>
    <rPh sb="6" eb="9">
      <t>ヨウセツヨウ</t>
    </rPh>
    <rPh sb="9" eb="10">
      <t>ツクエ</t>
    </rPh>
    <rPh sb="12" eb="14">
      <t>ヨウイ</t>
    </rPh>
    <phoneticPr fontId="4"/>
  </si>
  <si>
    <t>交通費　岐阜-新潟　片道　5 時間 41 分（448 km）</t>
    <rPh sb="0" eb="3">
      <t>コウツウヒ</t>
    </rPh>
    <rPh sb="4" eb="6">
      <t>ギフ</t>
    </rPh>
    <rPh sb="7" eb="9">
      <t>ニイガタ</t>
    </rPh>
    <rPh sb="10" eb="12">
      <t>カタミチ</t>
    </rPh>
    <phoneticPr fontId="4"/>
  </si>
  <si>
    <t>ETC18,520円</t>
    <rPh sb="9" eb="10">
      <t>エン</t>
    </rPh>
    <phoneticPr fontId="4"/>
  </si>
  <si>
    <t>FL-LCW　デモ機追加設置費用　錆び取り専用として</t>
    <rPh sb="10" eb="12">
      <t>ツイカ</t>
    </rPh>
    <rPh sb="12" eb="14">
      <t>セッチ</t>
    </rPh>
    <rPh sb="14" eb="16">
      <t>ヒヨウ</t>
    </rPh>
    <rPh sb="17" eb="18">
      <t>サ</t>
    </rPh>
    <rPh sb="19" eb="20">
      <t>ト</t>
    </rPh>
    <rPh sb="21" eb="23">
      <t>センヨウ</t>
    </rPh>
    <phoneticPr fontId="4"/>
  </si>
  <si>
    <t>代理店協力50％値引き</t>
    <rPh sb="0" eb="3">
      <t>ダイリテン</t>
    </rPh>
    <rPh sb="3" eb="5">
      <t>キョウリョク</t>
    </rPh>
    <rPh sb="8" eb="10">
      <t>ネビ</t>
    </rPh>
    <phoneticPr fontId="4"/>
  </si>
  <si>
    <t>デモ機の搬入撤収時男性3名手伝い要します。</t>
    <rPh sb="2" eb="3">
      <t>キ</t>
    </rPh>
    <rPh sb="4" eb="6">
      <t>ハンニュウ</t>
    </rPh>
    <rPh sb="6" eb="8">
      <t>テッシュウ</t>
    </rPh>
    <rPh sb="8" eb="9">
      <t>ジ</t>
    </rPh>
    <rPh sb="9" eb="11">
      <t>ダンセイ</t>
    </rPh>
    <rPh sb="12" eb="13">
      <t>メイ</t>
    </rPh>
    <rPh sb="13" eb="15">
      <t>テツダ</t>
    </rPh>
    <rPh sb="16" eb="17">
      <t>ヨウ</t>
    </rPh>
    <phoneticPr fontId="4"/>
  </si>
  <si>
    <t>日当　2日分　土日</t>
    <rPh sb="7" eb="9">
      <t>ドニチ</t>
    </rPh>
    <phoneticPr fontId="4"/>
  </si>
  <si>
    <t>日当　2日分　平日</t>
    <rPh sb="0" eb="2">
      <t>ニットウ</t>
    </rPh>
    <rPh sb="4" eb="5">
      <t>ニチ</t>
    </rPh>
    <rPh sb="5" eb="6">
      <t>ブン</t>
    </rPh>
    <rPh sb="7" eb="9">
      <t>ヘイジツ</t>
    </rPh>
    <phoneticPr fontId="4"/>
  </si>
  <si>
    <t xml:space="preserve">展示会　R7/4/5-6 </t>
    <rPh sb="0" eb="3">
      <t>テンジカイ</t>
    </rPh>
    <phoneticPr fontId="4"/>
  </si>
  <si>
    <t>FL2503195</t>
    <phoneticPr fontId="4"/>
  </si>
  <si>
    <t>宿泊費　3泊4日</t>
    <rPh sb="0" eb="3">
      <t>シュクハクヒ</t>
    </rPh>
    <rPh sb="5" eb="6">
      <t>ハク</t>
    </rPh>
    <rPh sb="7" eb="8">
      <t>ニチ</t>
    </rPh>
    <phoneticPr fontId="4"/>
  </si>
  <si>
    <t>2025/9/5-6</t>
    <phoneticPr fontId="4"/>
  </si>
  <si>
    <t>オートビジネスフェアKYOTO2025</t>
    <phoneticPr fontId="4"/>
  </si>
  <si>
    <t>展示会参加諸経費</t>
    <rPh sb="0" eb="8">
      <t>テンジカイサンカショケイヒ</t>
    </rPh>
    <phoneticPr fontId="4"/>
  </si>
  <si>
    <t>交通費　岐阜-新潟　片道　2 時間 12 分（154 km）</t>
    <rPh sb="0" eb="3">
      <t>コウツウヒ</t>
    </rPh>
    <rPh sb="4" eb="6">
      <t>ギフ</t>
    </rPh>
    <rPh sb="7" eb="9">
      <t>ニイガタ</t>
    </rPh>
    <rPh sb="10" eb="12">
      <t>カタミチ</t>
    </rPh>
    <phoneticPr fontId="4"/>
  </si>
  <si>
    <t>ETC利用料金</t>
    <rPh sb="3" eb="7">
      <t>リヨウリョウキン</t>
    </rPh>
    <phoneticPr fontId="4"/>
  </si>
  <si>
    <t>10k＝600円</t>
    <rPh sb="7" eb="8">
      <t>エン</t>
    </rPh>
    <phoneticPr fontId="4"/>
  </si>
  <si>
    <t>日当１日分　平日</t>
    <rPh sb="0" eb="2">
      <t>ニットウ</t>
    </rPh>
    <rPh sb="3" eb="5">
      <t>ニチブン</t>
    </rPh>
    <rPh sb="6" eb="8">
      <t>ヘイジツ</t>
    </rPh>
    <phoneticPr fontId="4"/>
  </si>
  <si>
    <t>日当１日分　土日</t>
    <rPh sb="0" eb="2">
      <t>ニットウ</t>
    </rPh>
    <rPh sb="3" eb="5">
      <t>ニチブン</t>
    </rPh>
    <rPh sb="6" eb="8">
      <t>ドニチ</t>
    </rPh>
    <phoneticPr fontId="4"/>
  </si>
  <si>
    <t>宿泊費　1泊2日　　1名分</t>
    <rPh sb="0" eb="3">
      <t>シュクハクヒ</t>
    </rPh>
    <rPh sb="5" eb="6">
      <t>ハク</t>
    </rPh>
    <rPh sb="7" eb="8">
      <t>ニチ</t>
    </rPh>
    <rPh sb="11" eb="13">
      <t>メイブン</t>
    </rPh>
    <phoneticPr fontId="4"/>
  </si>
  <si>
    <t>北陸営業所</t>
    <phoneticPr fontId="4"/>
  </si>
  <si>
    <t>〒922-0857</t>
    <phoneticPr fontId="4"/>
  </si>
  <si>
    <t>石川県加賀市永井町89</t>
    <phoneticPr fontId="4"/>
  </si>
  <si>
    <t>FL2505085</t>
    <phoneticPr fontId="4"/>
  </si>
  <si>
    <t>遮光パネル付き溶接台準備します。</t>
    <rPh sb="0" eb="2">
      <t>シャコウ</t>
    </rPh>
    <rPh sb="5" eb="6">
      <t>ツ</t>
    </rPh>
    <rPh sb="7" eb="10">
      <t>ヨウセツダイ</t>
    </rPh>
    <rPh sb="10" eb="12">
      <t>ジュンビ</t>
    </rPh>
    <phoneticPr fontId="4"/>
  </si>
  <si>
    <t>108-0023</t>
    <phoneticPr fontId="4"/>
  </si>
  <si>
    <t>FL2504225</t>
    <phoneticPr fontId="4"/>
  </si>
  <si>
    <t>東京都港区芝浦４－１６－２５</t>
    <phoneticPr fontId="4"/>
  </si>
  <si>
    <t>安全自動車株式会社</t>
    <rPh sb="0" eb="5">
      <t>アンゼンジドウシャ</t>
    </rPh>
    <rPh sb="5" eb="9">
      <t>カブシキガイシャ</t>
    </rPh>
    <phoneticPr fontId="4"/>
  </si>
  <si>
    <t>受渡期日</t>
    <rPh sb="0" eb="2">
      <t>ウケワタシ</t>
    </rPh>
    <rPh sb="2" eb="4">
      <t>キジツ</t>
    </rPh>
    <phoneticPr fontId="4"/>
  </si>
  <si>
    <t>展示会開催</t>
    <rPh sb="0" eb="5">
      <t>テンジカイカイサイ</t>
    </rPh>
    <phoneticPr fontId="4"/>
  </si>
  <si>
    <t>受渡場所</t>
    <rPh sb="0" eb="2">
      <t>ウケワタシ</t>
    </rPh>
    <rPh sb="2" eb="4">
      <t>バショ</t>
    </rPh>
    <phoneticPr fontId="4"/>
  </si>
  <si>
    <t>東京ビッグサイト</t>
    <rPh sb="0" eb="2">
      <t>トウキョウ</t>
    </rPh>
    <phoneticPr fontId="4"/>
  </si>
  <si>
    <t>見積書有効期限発効後1年</t>
    <rPh sb="0" eb="3">
      <t>ミツモリショ</t>
    </rPh>
    <rPh sb="3" eb="7">
      <t>ユウコウキゲン</t>
    </rPh>
    <rPh sb="7" eb="10">
      <t>ハッコウゴ</t>
    </rPh>
    <rPh sb="11" eb="12">
      <t>ネン</t>
    </rPh>
    <phoneticPr fontId="4"/>
  </si>
  <si>
    <t>東京ビッグサイト展示会</t>
    <rPh sb="0" eb="2">
      <t>トウキョウ</t>
    </rPh>
    <rPh sb="8" eb="11">
      <t>テンジカイ</t>
    </rPh>
    <phoneticPr fontId="4"/>
  </si>
  <si>
    <t>　溶接テスト用材料費　アルミ　ステンレス　鉄</t>
    <rPh sb="1" eb="3">
      <t>ヨウセツ</t>
    </rPh>
    <rPh sb="6" eb="7">
      <t>ヨウ</t>
    </rPh>
    <rPh sb="7" eb="10">
      <t>ザイリョウヒ</t>
    </rPh>
    <rPh sb="21" eb="22">
      <t>テツ</t>
    </rPh>
    <phoneticPr fontId="4"/>
  </si>
  <si>
    <t>　送料　事前送付</t>
    <rPh sb="1" eb="3">
      <t>ソウリョウ</t>
    </rPh>
    <rPh sb="4" eb="8">
      <t>ジゼンソウフ</t>
    </rPh>
    <phoneticPr fontId="4"/>
  </si>
  <si>
    <t>消費税10%</t>
    <rPh sb="0" eb="3">
      <t>ショウヒゼイ</t>
    </rPh>
    <phoneticPr fontId="4"/>
  </si>
  <si>
    <t>単　価</t>
    <rPh sb="0" eb="1">
      <t>タン</t>
    </rPh>
    <rPh sb="2" eb="3">
      <t>アタイ</t>
    </rPh>
    <phoneticPr fontId="4"/>
  </si>
  <si>
    <t>　FAX感熱紙(A4)</t>
    <phoneticPr fontId="4"/>
  </si>
  <si>
    <t>小 計</t>
    <rPh sb="0" eb="1">
      <t>ショウケイ</t>
    </rPh>
    <phoneticPr fontId="4"/>
  </si>
  <si>
    <t>データパス</t>
    <phoneticPr fontId="4"/>
  </si>
  <si>
    <t>一覧</t>
    <rPh sb="0" eb="2">
      <t>イチラン</t>
    </rPh>
    <phoneticPr fontId="4"/>
  </si>
  <si>
    <t>準備　品　名</t>
    <rPh sb="0" eb="2">
      <t>ジュンビ</t>
    </rPh>
    <rPh sb="3" eb="4">
      <t>シナ</t>
    </rPh>
    <rPh sb="5" eb="6">
      <t>メイ</t>
    </rPh>
    <phoneticPr fontId="4"/>
  </si>
  <si>
    <t>遮光パネル／保護カーテン</t>
    <rPh sb="6" eb="8">
      <t>ホゴ</t>
    </rPh>
    <phoneticPr fontId="4"/>
  </si>
  <si>
    <t>1日1本目安</t>
    <rPh sb="1" eb="2">
      <t>ニチ</t>
    </rPh>
    <rPh sb="3" eb="6">
      <t>ポンメヤス</t>
    </rPh>
    <phoneticPr fontId="4"/>
  </si>
  <si>
    <t>錆び取り洗浄用デモ実演用素材</t>
    <rPh sb="12" eb="14">
      <t>ソザイ</t>
    </rPh>
    <phoneticPr fontId="4"/>
  </si>
  <si>
    <t>自動車外板パネル等</t>
    <rPh sb="0" eb="3">
      <t>ジドウシャ</t>
    </rPh>
    <rPh sb="3" eb="5">
      <t>ガイハン</t>
    </rPh>
    <rPh sb="8" eb="9">
      <t>トウ</t>
    </rPh>
    <phoneticPr fontId="4"/>
  </si>
  <si>
    <t>溶接ワーク(溶接素材、自動車外板パネル等)</t>
    <rPh sb="0" eb="2">
      <t>ヨウセツ</t>
    </rPh>
    <rPh sb="6" eb="10">
      <t>ヨウセツソザイ</t>
    </rPh>
    <rPh sb="11" eb="16">
      <t>ジドウシャガイハン</t>
    </rPh>
    <rPh sb="19" eb="20">
      <t>トウ</t>
    </rPh>
    <phoneticPr fontId="4"/>
  </si>
  <si>
    <t>ボンデ鋼板 2.3t 100x50</t>
    <rPh sb="3" eb="5">
      <t>コウハン</t>
    </rPh>
    <phoneticPr fontId="4"/>
  </si>
  <si>
    <t>ZAM材 2.3t 100x50</t>
    <rPh sb="3" eb="4">
      <t>ザイ</t>
    </rPh>
    <phoneticPr fontId="4"/>
  </si>
  <si>
    <t>ステンレス 2t 100x50</t>
    <phoneticPr fontId="4"/>
  </si>
  <si>
    <t>アルミ 2t 100x50</t>
    <phoneticPr fontId="4"/>
  </si>
  <si>
    <t xml:space="preserve">自動車外板パネル 0.8/0/6t </t>
    <rPh sb="0" eb="5">
      <t>ジドウシャガイハン</t>
    </rPh>
    <phoneticPr fontId="4"/>
  </si>
  <si>
    <t>FL-LCW　デモ機追加設置費用LCW1.5kw錆び取り</t>
    <rPh sb="10" eb="12">
      <t>ツイカ</t>
    </rPh>
    <rPh sb="12" eb="14">
      <t>セッチ</t>
    </rPh>
    <rPh sb="14" eb="16">
      <t>ヒヨウ</t>
    </rPh>
    <rPh sb="24" eb="25">
      <t>サ</t>
    </rPh>
    <rPh sb="26" eb="27">
      <t>ト</t>
    </rPh>
    <phoneticPr fontId="4"/>
  </si>
  <si>
    <t>弊社準備</t>
    <rPh sb="0" eb="4">
      <t>ヘイシャジュンビ</t>
    </rPh>
    <phoneticPr fontId="4"/>
  </si>
  <si>
    <t>御社準備</t>
    <rPh sb="0" eb="4">
      <t>オンシャジュンビ</t>
    </rPh>
    <phoneticPr fontId="4"/>
  </si>
  <si>
    <t>溶接机　1台　溶接サンプル</t>
    <phoneticPr fontId="4"/>
  </si>
  <si>
    <t>展示用の机</t>
    <phoneticPr fontId="4"/>
  </si>
  <si>
    <t>会期中窒素ボンベ(1日1本目安)</t>
    <rPh sb="10" eb="11">
      <t>ニチ</t>
    </rPh>
    <rPh sb="12" eb="13">
      <t>ポン</t>
    </rPh>
    <rPh sb="13" eb="15">
      <t>メヤス</t>
    </rPh>
    <phoneticPr fontId="4"/>
  </si>
  <si>
    <t>三相200V　30A　ストレートタイプコンセント</t>
    <phoneticPr fontId="4"/>
  </si>
  <si>
    <t>100ｖ　10Aコンセント　</t>
    <phoneticPr fontId="4"/>
  </si>
  <si>
    <t>宿泊費　1泊2日　　2名分</t>
    <rPh sb="0" eb="3">
      <t>シュクハクヒ</t>
    </rPh>
    <rPh sb="5" eb="6">
      <t>ハク</t>
    </rPh>
    <rPh sb="7" eb="8">
      <t>ニチ</t>
    </rPh>
    <rPh sb="11" eb="13">
      <t>メイブン</t>
    </rPh>
    <phoneticPr fontId="4"/>
  </si>
  <si>
    <t>電源　遮光パネル　窒素　御社手配</t>
    <rPh sb="0" eb="2">
      <t>デンゲン</t>
    </rPh>
    <rPh sb="3" eb="5">
      <t>シャコウ</t>
    </rPh>
    <rPh sb="9" eb="11">
      <t>チッソ</t>
    </rPh>
    <rPh sb="12" eb="14">
      <t>オンシャ</t>
    </rPh>
    <rPh sb="14" eb="16">
      <t>テハイ</t>
    </rPh>
    <phoneticPr fontId="4"/>
  </si>
  <si>
    <t>デモ機の搬入撤収時男性お手伝い要します。</t>
    <rPh sb="2" eb="3">
      <t>キ</t>
    </rPh>
    <rPh sb="4" eb="6">
      <t>ハンニュウ</t>
    </rPh>
    <rPh sb="6" eb="8">
      <t>テッシュウ</t>
    </rPh>
    <rPh sb="8" eb="9">
      <t>ジ</t>
    </rPh>
    <rPh sb="9" eb="11">
      <t>ダンセイ</t>
    </rPh>
    <rPh sb="12" eb="14">
      <t>テツダ</t>
    </rPh>
    <rPh sb="15" eb="16">
      <t>ヨウ</t>
    </rPh>
    <phoneticPr fontId="4"/>
  </si>
  <si>
    <t>FL-LCW　デモ機展示設置費用LCW1.5kw</t>
    <rPh sb="10" eb="12">
      <t>テンジ</t>
    </rPh>
    <rPh sb="12" eb="14">
      <t>セッチ</t>
    </rPh>
    <rPh sb="14" eb="16">
      <t>ヒヨウ</t>
    </rPh>
    <phoneticPr fontId="4"/>
  </si>
  <si>
    <t>太田市産業支援センター　 〒373-0019群馬県太田市吉沢町1058-5</t>
    <phoneticPr fontId="4"/>
  </si>
  <si>
    <t>保護メガネ５人分程度、手袋、溶接台　弊社手配</t>
    <rPh sb="18" eb="20">
      <t>ヘイシャ</t>
    </rPh>
    <rPh sb="20" eb="22">
      <t>テハイ</t>
    </rPh>
    <phoneticPr fontId="4"/>
  </si>
  <si>
    <t>交通費　往復　岐阜-太田市　商用車使用</t>
    <rPh sb="0" eb="3">
      <t>コウツウヒ</t>
    </rPh>
    <rPh sb="4" eb="6">
      <t>オウフク</t>
    </rPh>
    <rPh sb="7" eb="9">
      <t>ギフ</t>
    </rPh>
    <rPh sb="10" eb="13">
      <t>オオタシ</t>
    </rPh>
    <rPh sb="14" eb="17">
      <t>ショウヨウシャ</t>
    </rPh>
    <rPh sb="17" eb="19">
      <t>シヨウ</t>
    </rPh>
    <phoneticPr fontId="4"/>
  </si>
  <si>
    <t>群馬県太田市吉沢町1058-5</t>
    <phoneticPr fontId="4"/>
  </si>
  <si>
    <t>東京都新宿区四谷4-1</t>
    <rPh sb="0" eb="3">
      <t>トウキョウト</t>
    </rPh>
    <rPh sb="3" eb="6">
      <t>シンジュクク</t>
    </rPh>
    <rPh sb="6" eb="7">
      <t>ヨ</t>
    </rPh>
    <rPh sb="7" eb="8">
      <t>タニ</t>
    </rPh>
    <phoneticPr fontId="4"/>
  </si>
  <si>
    <t>2025/9/6-7</t>
    <phoneticPr fontId="4"/>
  </si>
  <si>
    <t>展示会参加諸経費　9/6土曜　9/7日曜</t>
    <rPh sb="0" eb="8">
      <t>テンジカイサンカショケイヒ</t>
    </rPh>
    <rPh sb="12" eb="14">
      <t>ドヨウ</t>
    </rPh>
    <rPh sb="18" eb="20">
      <t>ニチヨウ</t>
    </rPh>
    <phoneticPr fontId="4"/>
  </si>
  <si>
    <t>日当１日1名分　土日</t>
    <rPh sb="0" eb="2">
      <t>ニットウ</t>
    </rPh>
    <rPh sb="3" eb="4">
      <t>ニチ</t>
    </rPh>
    <rPh sb="5" eb="6">
      <t>メイ</t>
    </rPh>
    <rPh sb="6" eb="7">
      <t>ブン</t>
    </rPh>
    <rPh sb="8" eb="10">
      <t>ドニチ</t>
    </rPh>
    <phoneticPr fontId="4"/>
  </si>
  <si>
    <t>出展協力50％値引き</t>
    <rPh sb="0" eb="2">
      <t>シュッテン</t>
    </rPh>
    <rPh sb="2" eb="4">
      <t>キョウリョク</t>
    </rPh>
    <rPh sb="7" eb="9">
      <t>ネビ</t>
    </rPh>
    <phoneticPr fontId="4"/>
  </si>
  <si>
    <t>城東営業所</t>
    <phoneticPr fontId="4"/>
  </si>
  <si>
    <t>展示会参加諸経費　10/17金曜　10/18土曜</t>
    <rPh sb="0" eb="8">
      <t>テンジカイサンカショケイヒ</t>
    </rPh>
    <rPh sb="14" eb="16">
      <t>キンヨウ</t>
    </rPh>
    <rPh sb="22" eb="24">
      <t>ドヨウ</t>
    </rPh>
    <phoneticPr fontId="4"/>
  </si>
  <si>
    <t>城東営業所　〒121-0064 東京都足立区保木間１丁目３−１２</t>
    <rPh sb="0" eb="2">
      <t>ジョウトウ</t>
    </rPh>
    <rPh sb="2" eb="5">
      <t>エイギョウショ</t>
    </rPh>
    <phoneticPr fontId="4"/>
  </si>
  <si>
    <t>公共交通費　往復　</t>
    <rPh sb="0" eb="2">
      <t>コウキョウ</t>
    </rPh>
    <rPh sb="2" eb="5">
      <t>コウツウヒ</t>
    </rPh>
    <rPh sb="6" eb="8">
      <t>オウフク</t>
    </rPh>
    <phoneticPr fontId="4"/>
  </si>
  <si>
    <t>展示会参加デモ用消耗品費　事前送付</t>
    <rPh sb="0" eb="3">
      <t>テンジカイ</t>
    </rPh>
    <rPh sb="3" eb="5">
      <t>サンカ</t>
    </rPh>
    <rPh sb="7" eb="8">
      <t>ヨウ</t>
    </rPh>
    <rPh sb="8" eb="12">
      <t>ショウモウヒンヒ</t>
    </rPh>
    <rPh sb="13" eb="17">
      <t>ジゼンソウフ</t>
    </rPh>
    <phoneticPr fontId="4"/>
  </si>
  <si>
    <t>日当１日1名分　10/17平日</t>
    <rPh sb="0" eb="2">
      <t>ニットウ</t>
    </rPh>
    <rPh sb="3" eb="4">
      <t>ニチ</t>
    </rPh>
    <rPh sb="5" eb="6">
      <t>メイ</t>
    </rPh>
    <rPh sb="6" eb="7">
      <t>ブン</t>
    </rPh>
    <rPh sb="13" eb="15">
      <t>ヘイジツ</t>
    </rPh>
    <phoneticPr fontId="4"/>
  </si>
  <si>
    <t>日当１日1名分　10/18土日</t>
    <rPh sb="0" eb="2">
      <t>ニットウ</t>
    </rPh>
    <rPh sb="3" eb="4">
      <t>ニチ</t>
    </rPh>
    <rPh sb="5" eb="6">
      <t>メイ</t>
    </rPh>
    <rPh sb="6" eb="7">
      <t>ブン</t>
    </rPh>
    <rPh sb="13" eb="15">
      <t>ドニチ</t>
    </rPh>
    <phoneticPr fontId="4"/>
  </si>
  <si>
    <t>城東営業所</t>
    <rPh sb="0" eb="5">
      <t>ジョウトウエイギョウショ</t>
    </rPh>
    <phoneticPr fontId="4"/>
  </si>
  <si>
    <t>電源　遮光パネル　窒素　本体一式　御社手配</t>
    <rPh sb="0" eb="2">
      <t>デンゲン</t>
    </rPh>
    <rPh sb="3" eb="5">
      <t>シャコウ</t>
    </rPh>
    <rPh sb="9" eb="11">
      <t>チッソ</t>
    </rPh>
    <rPh sb="12" eb="14">
      <t>ホンタイ</t>
    </rPh>
    <rPh sb="14" eb="16">
      <t>イッシキ</t>
    </rPh>
    <rPh sb="17" eb="19">
      <t>オンシャ</t>
    </rPh>
    <rPh sb="19" eb="21">
      <t>テハイ</t>
    </rPh>
    <phoneticPr fontId="4"/>
  </si>
  <si>
    <t>FL2507175</t>
    <phoneticPr fontId="4"/>
  </si>
  <si>
    <t>追加値引き</t>
    <rPh sb="0" eb="4">
      <t>ツイカネビ</t>
    </rPh>
    <phoneticPr fontId="4"/>
  </si>
  <si>
    <t>FL2507186</t>
    <phoneticPr fontId="4"/>
  </si>
  <si>
    <t>発注書No2489059</t>
    <rPh sb="0" eb="3">
      <t>ハッチュウショ</t>
    </rPh>
    <phoneticPr fontId="4"/>
  </si>
  <si>
    <t>RSD-SUNMAX-FL-LCW-PRO 講習会</t>
    <rPh sb="22" eb="25">
      <t>コウシュウカイ</t>
    </rPh>
    <phoneticPr fontId="4"/>
  </si>
  <si>
    <t>場所　株式会社フジペックス栃木営業所　栃木県下野市下石橋148-4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</si>
</sst>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#,##0;&quot;△ &quot;#,##0;"/>
    <numFmt numFmtId="181" formatCode="[Black]0;[Black]\-0;[White]0;[Black]@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0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5" fillId="2" borderId="0" xfId="0" applyFont="1" applyFill="1"/>
    <xf numFmtId="176" fontId="26" fillId="0" borderId="0" xfId="0" applyNumberFormat="1" applyFont="1" applyAlignment="1">
      <alignment horizontal="right"/>
    </xf>
    <xf numFmtId="0" fontId="27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176" fontId="12" fillId="0" borderId="0" xfId="0" applyNumberFormat="1" applyFont="1" applyAlignment="1">
      <alignment horizontal="right" vertical="center"/>
    </xf>
    <xf numFmtId="180" fontId="2" fillId="3" borderId="4" xfId="0" applyNumberFormat="1" applyFont="1" applyFill="1" applyBorder="1" applyAlignment="1" applyProtection="1">
      <alignment horizontal="left"/>
      <protection locked="0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0" fillId="0" borderId="0" xfId="0" applyFont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/>
    </xf>
    <xf numFmtId="0" fontId="15" fillId="4" borderId="3" xfId="0" applyFont="1" applyFill="1" applyBorder="1" applyAlignment="1">
      <alignment horizontal="center" vertical="center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0" fillId="4" borderId="3" xfId="0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9" fontId="0" fillId="2" borderId="0" xfId="0" applyNumberFormat="1" applyFill="1" applyAlignment="1">
      <alignment horizontal="right"/>
    </xf>
    <xf numFmtId="0" fontId="0" fillId="4" borderId="3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right" vertical="center"/>
    </xf>
    <xf numFmtId="0" fontId="0" fillId="4" borderId="6" xfId="0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 wrapText="1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0" fontId="12" fillId="0" borderId="7" xfId="0" applyNumberFormat="1" applyFont="1" applyBorder="1" applyAlignment="1">
      <alignment horizontal="right" vertical="center"/>
    </xf>
    <xf numFmtId="180" fontId="12" fillId="0" borderId="8" xfId="0" applyNumberFormat="1" applyFont="1" applyBorder="1" applyAlignment="1">
      <alignment horizontal="right" vertical="center"/>
    </xf>
    <xf numFmtId="180" fontId="12" fillId="0" borderId="9" xfId="0" applyNumberFormat="1" applyFont="1" applyBorder="1" applyAlignment="1">
      <alignment horizontal="right" vertical="center"/>
    </xf>
    <xf numFmtId="180" fontId="15" fillId="0" borderId="24" xfId="0" applyNumberFormat="1" applyFont="1" applyBorder="1" applyAlignment="1">
      <alignment horizontal="left" vertical="center" wrapText="1"/>
    </xf>
    <xf numFmtId="180" fontId="15" fillId="0" borderId="6" xfId="0" applyNumberFormat="1" applyFont="1" applyBorder="1" applyAlignment="1">
      <alignment horizontal="left" vertical="center" wrapText="1"/>
    </xf>
    <xf numFmtId="180" fontId="15" fillId="0" borderId="5" xfId="0" applyNumberFormat="1" applyFont="1" applyBorder="1" applyAlignment="1">
      <alignment horizontal="left" vertical="center" wrapText="1"/>
    </xf>
    <xf numFmtId="180" fontId="9" fillId="0" borderId="7" xfId="0" applyNumberFormat="1" applyFont="1" applyBorder="1" applyAlignment="1">
      <alignment horizontal="right" vertical="center"/>
    </xf>
    <xf numFmtId="180" fontId="9" fillId="0" borderId="8" xfId="0" applyNumberFormat="1" applyFont="1" applyBorder="1" applyAlignment="1">
      <alignment horizontal="right" vertical="center"/>
    </xf>
    <xf numFmtId="180" fontId="0" fillId="0" borderId="8" xfId="0" applyNumberFormat="1" applyBorder="1" applyAlignment="1">
      <alignment horizontal="left" vertical="center"/>
    </xf>
    <xf numFmtId="180" fontId="0" fillId="0" borderId="9" xfId="0" applyNumberFormat="1" applyBorder="1" applyAlignment="1">
      <alignment horizontal="left" vertical="center"/>
    </xf>
    <xf numFmtId="180" fontId="9" fillId="0" borderId="9" xfId="0" applyNumberFormat="1" applyFont="1" applyBorder="1" applyAlignment="1">
      <alignment horizontal="right" vertical="center"/>
    </xf>
    <xf numFmtId="180" fontId="11" fillId="0" borderId="4" xfId="0" applyNumberFormat="1" applyFont="1" applyBorder="1" applyAlignment="1">
      <alignment horizontal="left" vertical="center" wrapText="1"/>
    </xf>
    <xf numFmtId="180" fontId="11" fillId="0" borderId="6" xfId="0" applyNumberFormat="1" applyFont="1" applyBorder="1" applyAlignment="1">
      <alignment horizontal="left" vertical="center" wrapText="1"/>
    </xf>
    <xf numFmtId="180" fontId="11" fillId="0" borderId="19" xfId="0" applyNumberFormat="1" applyFont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0" fontId="1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176" fontId="26" fillId="0" borderId="0" xfId="0" applyNumberFormat="1" applyFont="1" applyAlignment="1">
      <alignment horizontal="right" vertical="center"/>
    </xf>
    <xf numFmtId="176" fontId="26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0" fillId="0" borderId="39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180" fontId="17" fillId="0" borderId="3" xfId="1" applyNumberFormat="1" applyFill="1" applyBorder="1" applyAlignment="1" applyProtection="1">
      <alignment horizontal="left" vertical="center"/>
    </xf>
    <xf numFmtId="180" fontId="11" fillId="0" borderId="3" xfId="0" applyNumberFormat="1" applyFont="1" applyBorder="1" applyAlignment="1">
      <alignment horizontal="left" vertical="center"/>
    </xf>
    <xf numFmtId="180" fontId="0" fillId="0" borderId="24" xfId="0" applyNumberFormat="1" applyBorder="1" applyAlignment="1">
      <alignment horizontal="left" vertical="center" wrapText="1"/>
    </xf>
    <xf numFmtId="180" fontId="0" fillId="0" borderId="6" xfId="0" applyNumberFormat="1" applyBorder="1" applyAlignment="1">
      <alignment horizontal="left" vertical="center" wrapText="1"/>
    </xf>
    <xf numFmtId="180" fontId="0" fillId="0" borderId="5" xfId="0" applyNumberFormat="1" applyBorder="1" applyAlignment="1">
      <alignment horizontal="left" vertical="center" wrapText="1"/>
    </xf>
    <xf numFmtId="180" fontId="9" fillId="0" borderId="4" xfId="0" applyNumberFormat="1" applyFont="1" applyBorder="1" applyAlignment="1">
      <alignment horizontal="right" vertical="center"/>
    </xf>
    <xf numFmtId="180" fontId="9" fillId="0" borderId="6" xfId="0" applyNumberFormat="1" applyFont="1" applyBorder="1" applyAlignment="1">
      <alignment horizontal="right" vertical="center"/>
    </xf>
    <xf numFmtId="180" fontId="9" fillId="0" borderId="5" xfId="0" applyNumberFormat="1" applyFont="1" applyBorder="1" applyAlignment="1">
      <alignment horizontal="right" vertical="center"/>
    </xf>
    <xf numFmtId="180" fontId="0" fillId="0" borderId="4" xfId="0" applyNumberFormat="1" applyBorder="1" applyAlignment="1">
      <alignment horizontal="left" vertical="center" wrapText="1"/>
    </xf>
    <xf numFmtId="180" fontId="0" fillId="0" borderId="19" xfId="0" applyNumberFormat="1" applyBorder="1" applyAlignment="1">
      <alignment horizontal="left" vertical="center" wrapText="1"/>
    </xf>
    <xf numFmtId="180" fontId="0" fillId="0" borderId="6" xfId="0" applyNumberFormat="1" applyBorder="1" applyAlignment="1">
      <alignment horizontal="left" vertical="center"/>
    </xf>
    <xf numFmtId="180" fontId="0" fillId="0" borderId="5" xfId="0" applyNumberFormat="1" applyBorder="1" applyAlignment="1">
      <alignment horizontal="left" vertical="center"/>
    </xf>
    <xf numFmtId="180" fontId="22" fillId="0" borderId="4" xfId="0" applyNumberFormat="1" applyFont="1" applyBorder="1" applyAlignment="1">
      <alignment horizontal="left" vertical="center" wrapText="1"/>
    </xf>
    <xf numFmtId="180" fontId="22" fillId="0" borderId="6" xfId="0" applyNumberFormat="1" applyFont="1" applyBorder="1" applyAlignment="1">
      <alignment horizontal="left" vertical="center" wrapText="1"/>
    </xf>
    <xf numFmtId="180" fontId="22" fillId="0" borderId="19" xfId="0" applyNumberFormat="1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1" fontId="0" fillId="0" borderId="1" xfId="0" applyNumberFormat="1" applyBorder="1" applyAlignment="1">
      <alignment horizontal="right" vertical="center"/>
    </xf>
    <xf numFmtId="0" fontId="0" fillId="7" borderId="13" xfId="0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180" fontId="15" fillId="0" borderId="4" xfId="0" applyNumberFormat="1" applyFont="1" applyBorder="1" applyAlignment="1">
      <alignment horizontal="left" vertical="center" wrapText="1"/>
    </xf>
    <xf numFmtId="180" fontId="15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ctrlProps/ctrlProp179.xml><?xml version="1.0" encoding="utf-8"?>
<formControlPr xmlns="http://schemas.microsoft.com/office/spreadsheetml/2009/9/main" objectType="Button" lockText="1"/>
</file>

<file path=xl/ctrlProps/ctrlProp180.xml><?xml version="1.0" encoding="utf-8"?>
<formControlPr xmlns="http://schemas.microsoft.com/office/spreadsheetml/2009/9/main" objectType="Button" lockText="1"/>
</file>

<file path=xl/ctrlProps/ctrlProp181.xml><?xml version="1.0" encoding="utf-8"?>
<formControlPr xmlns="http://schemas.microsoft.com/office/spreadsheetml/2009/9/main" objectType="Button" lockText="1"/>
</file>

<file path=xl/ctrlProps/ctrlProp182.xml><?xml version="1.0" encoding="utf-8"?>
<formControlPr xmlns="http://schemas.microsoft.com/office/spreadsheetml/2009/9/main" objectType="Button" lockText="1"/>
</file>

<file path=xl/ctrlProps/ctrlProp183.xml><?xml version="1.0" encoding="utf-8"?>
<formControlPr xmlns="http://schemas.microsoft.com/office/spreadsheetml/2009/9/main" objectType="Button" lockText="1"/>
</file>

<file path=xl/ctrlProps/ctrlProp184.xml><?xml version="1.0" encoding="utf-8"?>
<formControlPr xmlns="http://schemas.microsoft.com/office/spreadsheetml/2009/9/main" objectType="Button" lockText="1"/>
</file>

<file path=xl/ctrlProps/ctrlProp185.xml><?xml version="1.0" encoding="utf-8"?>
<formControlPr xmlns="http://schemas.microsoft.com/office/spreadsheetml/2009/9/main" objectType="Button" lockText="1"/>
</file>

<file path=xl/ctrlProps/ctrlProp186.xml><?xml version="1.0" encoding="utf-8"?>
<formControlPr xmlns="http://schemas.microsoft.com/office/spreadsheetml/2009/9/main" objectType="Button" lockText="1"/>
</file>

<file path=xl/ctrlProps/ctrlProp187.xml><?xml version="1.0" encoding="utf-8"?>
<formControlPr xmlns="http://schemas.microsoft.com/office/spreadsheetml/2009/9/main" objectType="Button" lockText="1"/>
</file>

<file path=xl/ctrlProps/ctrlProp188.xml><?xml version="1.0" encoding="utf-8"?>
<formControlPr xmlns="http://schemas.microsoft.com/office/spreadsheetml/2009/9/main" objectType="Button" lockText="1"/>
</file>

<file path=xl/ctrlProps/ctrlProp189.xml><?xml version="1.0" encoding="utf-8"?>
<formControlPr xmlns="http://schemas.microsoft.com/office/spreadsheetml/2009/9/main" objectType="Button" lockText="1"/>
</file>

<file path=xl/ctrlProps/ctrlProp190.xml><?xml version="1.0" encoding="utf-8"?>
<formControlPr xmlns="http://schemas.microsoft.com/office/spreadsheetml/2009/9/main" objectType="Button" lockText="1"/>
</file>

<file path=xl/ctrlProps/ctrlProp191.xml><?xml version="1.0" encoding="utf-8"?>
<formControlPr xmlns="http://schemas.microsoft.com/office/spreadsheetml/2009/9/main" objectType="Button" lockText="1"/>
</file>

<file path=xl/ctrlProps/ctrlProp192.xml><?xml version="1.0" encoding="utf-8"?>
<formControlPr xmlns="http://schemas.microsoft.com/office/spreadsheetml/2009/9/main" objectType="Button" lockText="1"/>
</file>

<file path=xl/ctrlProps/ctrlProp193.xml><?xml version="1.0" encoding="utf-8"?>
<formControlPr xmlns="http://schemas.microsoft.com/office/spreadsheetml/2009/9/main" objectType="Button" lockText="1"/>
</file>

<file path=xl/ctrlProps/ctrlProp194.xml><?xml version="1.0" encoding="utf-8"?>
<formControlPr xmlns="http://schemas.microsoft.com/office/spreadsheetml/2009/9/main" objectType="Button" lockText="1"/>
</file>

<file path=xl/ctrlProps/ctrlProp195.xml><?xml version="1.0" encoding="utf-8"?>
<formControlPr xmlns="http://schemas.microsoft.com/office/spreadsheetml/2009/9/main" objectType="Button" lockText="1"/>
</file>

<file path=xl/ctrlProps/ctrlProp196.xml><?xml version="1.0" encoding="utf-8"?>
<formControlPr xmlns="http://schemas.microsoft.com/office/spreadsheetml/2009/9/main" objectType="Button" lockText="1"/>
</file>

<file path=xl/ctrlProps/ctrlProp197.xml><?xml version="1.0" encoding="utf-8"?>
<formControlPr xmlns="http://schemas.microsoft.com/office/spreadsheetml/2009/9/main" objectType="Button" lockText="1"/>
</file>

<file path=xl/ctrlProps/ctrlProp198.xml><?xml version="1.0" encoding="utf-8"?>
<formControlPr xmlns="http://schemas.microsoft.com/office/spreadsheetml/2009/9/main" objectType="Button" lockText="1"/>
</file>

<file path=xl/ctrlProps/ctrlProp199.xml><?xml version="1.0" encoding="utf-8"?>
<formControlPr xmlns="http://schemas.microsoft.com/office/spreadsheetml/2009/9/main" objectType="Button" lockText="1"/>
</file>

<file path=xl/ctrlProps/ctrlProp200.xml><?xml version="1.0" encoding="utf-8"?>
<formControlPr xmlns="http://schemas.microsoft.com/office/spreadsheetml/2009/9/main" objectType="Button" lockText="1"/>
</file>

<file path=xl/ctrlProps/ctrlProp201.xml><?xml version="1.0" encoding="utf-8"?>
<formControlPr xmlns="http://schemas.microsoft.com/office/spreadsheetml/2009/9/main" objectType="Button" lockText="1"/>
</file>

<file path=xl/ctrlProps/ctrlProp202.xml><?xml version="1.0" encoding="utf-8"?>
<formControlPr xmlns="http://schemas.microsoft.com/office/spreadsheetml/2009/9/main" objectType="Button" lockText="1"/>
</file>

<file path=xl/ctrlProps/ctrlProp203.xml><?xml version="1.0" encoding="utf-8"?>
<formControlPr xmlns="http://schemas.microsoft.com/office/spreadsheetml/2009/9/main" objectType="Button" lockText="1"/>
</file>

<file path=xl/ctrlProps/ctrlProp204.xml><?xml version="1.0" encoding="utf-8"?>
<formControlPr xmlns="http://schemas.microsoft.com/office/spreadsheetml/2009/9/main" objectType="Button" lockText="1"/>
</file>

<file path=xl/ctrlProps/ctrlProp205.xml><?xml version="1.0" encoding="utf-8"?>
<formControlPr xmlns="http://schemas.microsoft.com/office/spreadsheetml/2009/9/main" objectType="Button" lockText="1"/>
</file>

<file path=xl/ctrlProps/ctrlProp206.xml><?xml version="1.0" encoding="utf-8"?>
<formControlPr xmlns="http://schemas.microsoft.com/office/spreadsheetml/2009/9/main" objectType="Button" lockText="1"/>
</file>

<file path=xl/ctrlProps/ctrlProp207.xml><?xml version="1.0" encoding="utf-8"?>
<formControlPr xmlns="http://schemas.microsoft.com/office/spreadsheetml/2009/9/main" objectType="Button" lockText="1"/>
</file>

<file path=xl/ctrlProps/ctrlProp208.xml><?xml version="1.0" encoding="utf-8"?>
<formControlPr xmlns="http://schemas.microsoft.com/office/spreadsheetml/2009/9/main" objectType="Button" lockText="1"/>
</file>

<file path=xl/ctrlProps/ctrlProp209.xml><?xml version="1.0" encoding="utf-8"?>
<formControlPr xmlns="http://schemas.microsoft.com/office/spreadsheetml/2009/9/main" objectType="Button" lockText="1"/>
</file>

<file path=xl/ctrlProps/ctrlProp210.xml><?xml version="1.0" encoding="utf-8"?>
<formControlPr xmlns="http://schemas.microsoft.com/office/spreadsheetml/2009/9/main" objectType="Button" lockText="1"/>
</file>

<file path=xl/ctrlProps/ctrlProp211.xml><?xml version="1.0" encoding="utf-8"?>
<formControlPr xmlns="http://schemas.microsoft.com/office/spreadsheetml/2009/9/main" objectType="Button" lockText="1"/>
</file>

<file path=xl/ctrlProps/ctrlProp212.xml><?xml version="1.0" encoding="utf-8"?>
<formControlPr xmlns="http://schemas.microsoft.com/office/spreadsheetml/2009/9/main" objectType="Button" lockText="1"/>
</file>

<file path=xl/ctrlProps/ctrlProp213.xml><?xml version="1.0" encoding="utf-8"?>
<formControlPr xmlns="http://schemas.microsoft.com/office/spreadsheetml/2009/9/main" objectType="Button" lockText="1"/>
</file>

<file path=xl/ctrlProps/ctrlProp214.xml><?xml version="1.0" encoding="utf-8"?>
<formControlPr xmlns="http://schemas.microsoft.com/office/spreadsheetml/2009/9/main" objectType="Button" lockText="1"/>
</file>

<file path=xl/ctrlProps/ctrlProp215.xml><?xml version="1.0" encoding="utf-8"?>
<formControlPr xmlns="http://schemas.microsoft.com/office/spreadsheetml/2009/9/main" objectType="Button" lockText="1"/>
</file>

<file path=xl/ctrlProps/ctrlProp216.xml><?xml version="1.0" encoding="utf-8"?>
<formControlPr xmlns="http://schemas.microsoft.com/office/spreadsheetml/2009/9/main" objectType="Button" lockText="1"/>
</file>

<file path=xl/ctrlProps/ctrlProp217.xml><?xml version="1.0" encoding="utf-8"?>
<formControlPr xmlns="http://schemas.microsoft.com/office/spreadsheetml/2009/9/main" objectType="Button" lockText="1"/>
</file>

<file path=xl/ctrlProps/ctrlProp218.xml><?xml version="1.0" encoding="utf-8"?>
<formControlPr xmlns="http://schemas.microsoft.com/office/spreadsheetml/2009/9/main" objectType="Button" lockText="1"/>
</file>

<file path=xl/ctrlProps/ctrlProp219.xml><?xml version="1.0" encoding="utf-8"?>
<formControlPr xmlns="http://schemas.microsoft.com/office/spreadsheetml/2009/9/main" objectType="Button" lockText="1"/>
</file>

<file path=xl/ctrlProps/ctrlProp220.xml><?xml version="1.0" encoding="utf-8"?>
<formControlPr xmlns="http://schemas.microsoft.com/office/spreadsheetml/2009/9/main" objectType="Button" lockText="1"/>
</file>

<file path=xl/ctrlProps/ctrlProp221.xml><?xml version="1.0" encoding="utf-8"?>
<formControlPr xmlns="http://schemas.microsoft.com/office/spreadsheetml/2009/9/main" objectType="Button" lockText="1"/>
</file>

<file path=xl/ctrlProps/ctrlProp222.xml><?xml version="1.0" encoding="utf-8"?>
<formControlPr xmlns="http://schemas.microsoft.com/office/spreadsheetml/2009/9/main" objectType="Button" lockText="1"/>
</file>

<file path=xl/ctrlProps/ctrlProp223.xml><?xml version="1.0" encoding="utf-8"?>
<formControlPr xmlns="http://schemas.microsoft.com/office/spreadsheetml/2009/9/main" objectType="Button" lockText="1"/>
</file>

<file path=xl/ctrlProps/ctrlProp224.xml><?xml version="1.0" encoding="utf-8"?>
<formControlPr xmlns="http://schemas.microsoft.com/office/spreadsheetml/2009/9/main" objectType="Button" lockText="1"/>
</file>

<file path=xl/ctrlProps/ctrlProp225.xml><?xml version="1.0" encoding="utf-8"?>
<formControlPr xmlns="http://schemas.microsoft.com/office/spreadsheetml/2009/9/main" objectType="Button" lockText="1"/>
</file>

<file path=xl/ctrlProps/ctrlProp226.xml><?xml version="1.0" encoding="utf-8"?>
<formControlPr xmlns="http://schemas.microsoft.com/office/spreadsheetml/2009/9/main" objectType="Button" lockText="1"/>
</file>

<file path=xl/ctrlProps/ctrlProp227.xml><?xml version="1.0" encoding="utf-8"?>
<formControlPr xmlns="http://schemas.microsoft.com/office/spreadsheetml/2009/9/main" objectType="Button" lockText="1"/>
</file>

<file path=xl/ctrlProps/ctrlProp228.xml><?xml version="1.0" encoding="utf-8"?>
<formControlPr xmlns="http://schemas.microsoft.com/office/spreadsheetml/2009/9/main" objectType="Button" lockText="1"/>
</file>

<file path=xl/ctrlProps/ctrlProp229.xml><?xml version="1.0" encoding="utf-8"?>
<formControlPr xmlns="http://schemas.microsoft.com/office/spreadsheetml/2009/9/main" objectType="Button" lockText="1"/>
</file>

<file path=xl/ctrlProps/ctrlProp230.xml><?xml version="1.0" encoding="utf-8"?>
<formControlPr xmlns="http://schemas.microsoft.com/office/spreadsheetml/2009/9/main" objectType="Button" lockText="1"/>
</file>

<file path=xl/ctrlProps/ctrlProp231.xml><?xml version="1.0" encoding="utf-8"?>
<formControlPr xmlns="http://schemas.microsoft.com/office/spreadsheetml/2009/9/main" objectType="Button" lockText="1"/>
</file>

<file path=xl/ctrlProps/ctrlProp232.xml><?xml version="1.0" encoding="utf-8"?>
<formControlPr xmlns="http://schemas.microsoft.com/office/spreadsheetml/2009/9/main" objectType="Button" lockText="1"/>
</file>

<file path=xl/ctrlProps/ctrlProp233.xml><?xml version="1.0" encoding="utf-8"?>
<formControlPr xmlns="http://schemas.microsoft.com/office/spreadsheetml/2009/9/main" objectType="Button" lockText="1"/>
</file>

<file path=xl/ctrlProps/ctrlProp234.xml><?xml version="1.0" encoding="utf-8"?>
<formControlPr xmlns="http://schemas.microsoft.com/office/spreadsheetml/2009/9/main" objectType="Button" lockText="1"/>
</file>

<file path=xl/ctrlProps/ctrlProp235.xml><?xml version="1.0" encoding="utf-8"?>
<formControlPr xmlns="http://schemas.microsoft.com/office/spreadsheetml/2009/9/main" objectType="Button" lockText="1"/>
</file>

<file path=xl/ctrlProps/ctrlProp236.xml><?xml version="1.0" encoding="utf-8"?>
<formControlPr xmlns="http://schemas.microsoft.com/office/spreadsheetml/2009/9/main" objectType="Button" lockText="1"/>
</file>

<file path=xl/ctrlProps/ctrlProp237.xml><?xml version="1.0" encoding="utf-8"?>
<formControlPr xmlns="http://schemas.microsoft.com/office/spreadsheetml/2009/9/main" objectType="Button" lockText="1"/>
</file>

<file path=xl/ctrlProps/ctrlProp238.xml><?xml version="1.0" encoding="utf-8"?>
<formControlPr xmlns="http://schemas.microsoft.com/office/spreadsheetml/2009/9/main" objectType="Button" lockText="1"/>
</file>

<file path=xl/ctrlProps/ctrlProp239.xml><?xml version="1.0" encoding="utf-8"?>
<formControlPr xmlns="http://schemas.microsoft.com/office/spreadsheetml/2009/9/main" objectType="Button" lockText="1"/>
</file>

<file path=xl/ctrlProps/ctrlProp240.xml><?xml version="1.0" encoding="utf-8"?>
<formControlPr xmlns="http://schemas.microsoft.com/office/spreadsheetml/2009/9/main" objectType="Button" lockText="1"/>
</file>

<file path=xl/ctrlProps/ctrlProp241.xml><?xml version="1.0" encoding="utf-8"?>
<formControlPr xmlns="http://schemas.microsoft.com/office/spreadsheetml/2009/9/main" objectType="Button" lockText="1"/>
</file>

<file path=xl/ctrlProps/ctrlProp242.xml><?xml version="1.0" encoding="utf-8"?>
<formControlPr xmlns="http://schemas.microsoft.com/office/spreadsheetml/2009/9/main" objectType="Button" lockText="1"/>
</file>

<file path=xl/ctrlProps/ctrlProp243.xml><?xml version="1.0" encoding="utf-8"?>
<formControlPr xmlns="http://schemas.microsoft.com/office/spreadsheetml/2009/9/main" objectType="Button" lockText="1"/>
</file>

<file path=xl/ctrlProps/ctrlProp244.xml><?xml version="1.0" encoding="utf-8"?>
<formControlPr xmlns="http://schemas.microsoft.com/office/spreadsheetml/2009/9/main" objectType="Button" lockText="1"/>
</file>

<file path=xl/ctrlProps/ctrlProp245.xml><?xml version="1.0" encoding="utf-8"?>
<formControlPr xmlns="http://schemas.microsoft.com/office/spreadsheetml/2009/9/main" objectType="Button" lockText="1"/>
</file>

<file path=xl/ctrlProps/ctrlProp246.xml><?xml version="1.0" encoding="utf-8"?>
<formControlPr xmlns="http://schemas.microsoft.com/office/spreadsheetml/2009/9/main" objectType="Button" lockText="1"/>
</file>

<file path=xl/ctrlProps/ctrlProp247.xml><?xml version="1.0" encoding="utf-8"?>
<formControlPr xmlns="http://schemas.microsoft.com/office/spreadsheetml/2009/9/main" objectType="Button" lockText="1"/>
</file>

<file path=xl/ctrlProps/ctrlProp248.xml><?xml version="1.0" encoding="utf-8"?>
<formControlPr xmlns="http://schemas.microsoft.com/office/spreadsheetml/2009/9/main" objectType="Button" lockText="1"/>
</file>

<file path=xl/ctrlProps/ctrlProp249.xml><?xml version="1.0" encoding="utf-8"?>
<formControlPr xmlns="http://schemas.microsoft.com/office/spreadsheetml/2009/9/main" objectType="Button" lockText="1"/>
</file>

<file path=xl/ctrlProps/ctrlProp250.xml><?xml version="1.0" encoding="utf-8"?>
<formControlPr xmlns="http://schemas.microsoft.com/office/spreadsheetml/2009/9/main" objectType="Button" lockText="1"/>
</file>

<file path=xl/ctrlProps/ctrlProp251.xml><?xml version="1.0" encoding="utf-8"?>
<formControlPr xmlns="http://schemas.microsoft.com/office/spreadsheetml/2009/9/main" objectType="Button" lockText="1"/>
</file>

<file path=xl/ctrlProps/ctrlProp252.xml><?xml version="1.0" encoding="utf-8"?>
<formControlPr xmlns="http://schemas.microsoft.com/office/spreadsheetml/2009/9/main" objectType="Button" lockText="1"/>
</file>

<file path=xl/ctrlProps/ctrlProp253.xml><?xml version="1.0" encoding="utf-8"?>
<formControlPr xmlns="http://schemas.microsoft.com/office/spreadsheetml/2009/9/main" objectType="Button" lockText="1"/>
</file>

<file path=xl/ctrlProps/ctrlProp254.xml><?xml version="1.0" encoding="utf-8"?>
<formControlPr xmlns="http://schemas.microsoft.com/office/spreadsheetml/2009/9/main" objectType="Button" lockText="1"/>
</file>

<file path=xl/ctrlProps/ctrlProp255.xml><?xml version="1.0" encoding="utf-8"?>
<formControlPr xmlns="http://schemas.microsoft.com/office/spreadsheetml/2009/9/main" objectType="Button" lockText="1"/>
</file>

<file path=xl/ctrlProps/ctrlProp256.xml><?xml version="1.0" encoding="utf-8"?>
<formControlPr xmlns="http://schemas.microsoft.com/office/spreadsheetml/2009/9/main" objectType="Button" lockText="1"/>
</file>

<file path=xl/ctrlProps/ctrlProp257.xml><?xml version="1.0" encoding="utf-8"?>
<formControlPr xmlns="http://schemas.microsoft.com/office/spreadsheetml/2009/9/main" objectType="Button" lockText="1"/>
</file>

<file path=xl/ctrlProps/ctrlProp258.xml><?xml version="1.0" encoding="utf-8"?>
<formControlPr xmlns="http://schemas.microsoft.com/office/spreadsheetml/2009/9/main" objectType="Button" lockText="1"/>
</file>

<file path=xl/ctrlProps/ctrlProp259.xml><?xml version="1.0" encoding="utf-8"?>
<formControlPr xmlns="http://schemas.microsoft.com/office/spreadsheetml/2009/9/main" objectType="Button" lockText="1"/>
</file>

<file path=xl/ctrlProps/ctrlProp260.xml><?xml version="1.0" encoding="utf-8"?>
<formControlPr xmlns="http://schemas.microsoft.com/office/spreadsheetml/2009/9/main" objectType="Button" lockText="1"/>
</file>

<file path=xl/ctrlProps/ctrlProp261.xml><?xml version="1.0" encoding="utf-8"?>
<formControlPr xmlns="http://schemas.microsoft.com/office/spreadsheetml/2009/9/main" objectType="Button" lockText="1"/>
</file>

<file path=xl/ctrlProps/ctrlProp262.xml><?xml version="1.0" encoding="utf-8"?>
<formControlPr xmlns="http://schemas.microsoft.com/office/spreadsheetml/2009/9/main" objectType="Button" lockText="1"/>
</file>

<file path=xl/ctrlProps/ctrlProp263.xml><?xml version="1.0" encoding="utf-8"?>
<formControlPr xmlns="http://schemas.microsoft.com/office/spreadsheetml/2009/9/main" objectType="Button" lockText="1"/>
</file>

<file path=xl/ctrlProps/ctrlProp264.xml><?xml version="1.0" encoding="utf-8"?>
<formControlPr xmlns="http://schemas.microsoft.com/office/spreadsheetml/2009/9/main" objectType="Button" lockText="1"/>
</file>

<file path=xl/ctrlProps/ctrlProp265.xml><?xml version="1.0" encoding="utf-8"?>
<formControlPr xmlns="http://schemas.microsoft.com/office/spreadsheetml/2009/9/main" objectType="Button" lockText="1"/>
</file>

<file path=xl/ctrlProps/ctrlProp266.xml><?xml version="1.0" encoding="utf-8"?>
<formControlPr xmlns="http://schemas.microsoft.com/office/spreadsheetml/2009/9/main" objectType="Button" lockText="1"/>
</file>

<file path=xl/ctrlProps/ctrlProp267.xml><?xml version="1.0" encoding="utf-8"?>
<formControlPr xmlns="http://schemas.microsoft.com/office/spreadsheetml/2009/9/main" objectType="Button" lockText="1"/>
</file>

<file path=xl/ctrlProps/ctrlProp268.xml><?xml version="1.0" encoding="utf-8"?>
<formControlPr xmlns="http://schemas.microsoft.com/office/spreadsheetml/2009/9/main" objectType="Button" lockText="1"/>
</file>

<file path=xl/ctrlProps/ctrlProp269.xml><?xml version="1.0" encoding="utf-8"?>
<formControlPr xmlns="http://schemas.microsoft.com/office/spreadsheetml/2009/9/main" objectType="Button" lockText="1"/>
</file>

<file path=xl/ctrlProps/ctrlProp270.xml><?xml version="1.0" encoding="utf-8"?>
<formControlPr xmlns="http://schemas.microsoft.com/office/spreadsheetml/2009/9/main" objectType="Button" lockText="1"/>
</file>

<file path=xl/ctrlProps/ctrlProp271.xml><?xml version="1.0" encoding="utf-8"?>
<formControlPr xmlns="http://schemas.microsoft.com/office/spreadsheetml/2009/9/main" objectType="Button" lockText="1"/>
</file>

<file path=xl/ctrlProps/ctrlProp272.xml><?xml version="1.0" encoding="utf-8"?>
<formControlPr xmlns="http://schemas.microsoft.com/office/spreadsheetml/2009/9/main" objectType="Button" lockText="1"/>
</file>

<file path=xl/ctrlProps/ctrlProp273.xml><?xml version="1.0" encoding="utf-8"?>
<formControlPr xmlns="http://schemas.microsoft.com/office/spreadsheetml/2009/9/main" objectType="Button" lockText="1"/>
</file>

<file path=xl/ctrlProps/ctrlProp274.xml><?xml version="1.0" encoding="utf-8"?>
<formControlPr xmlns="http://schemas.microsoft.com/office/spreadsheetml/2009/9/main" objectType="Button" lockText="1"/>
</file>

<file path=xl/ctrlProps/ctrlProp275.xml><?xml version="1.0" encoding="utf-8"?>
<formControlPr xmlns="http://schemas.microsoft.com/office/spreadsheetml/2009/9/main" objectType="Button" lockText="1"/>
</file>

<file path=xl/ctrlProps/ctrlProp276.xml><?xml version="1.0" encoding="utf-8"?>
<formControlPr xmlns="http://schemas.microsoft.com/office/spreadsheetml/2009/9/main" objectType="Button" lockText="1"/>
</file>

<file path=xl/ctrlProps/ctrlProp277.xml><?xml version="1.0" encoding="utf-8"?>
<formControlPr xmlns="http://schemas.microsoft.com/office/spreadsheetml/2009/9/main" objectType="Button" lockText="1"/>
</file>

<file path=xl/ctrlProps/ctrlProp278.xml><?xml version="1.0" encoding="utf-8"?>
<formControlPr xmlns="http://schemas.microsoft.com/office/spreadsheetml/2009/9/main" objectType="Button" lockText="1"/>
</file>

<file path=xl/ctrlProps/ctrlProp279.xml><?xml version="1.0" encoding="utf-8"?>
<formControlPr xmlns="http://schemas.microsoft.com/office/spreadsheetml/2009/9/main" objectType="Button" lockText="1"/>
</file>

<file path=xl/ctrlProps/ctrlProp280.xml><?xml version="1.0" encoding="utf-8"?>
<formControlPr xmlns="http://schemas.microsoft.com/office/spreadsheetml/2009/9/main" objectType="Button" lockText="1"/>
</file>

<file path=xl/ctrlProps/ctrlProp281.xml><?xml version="1.0" encoding="utf-8"?>
<formControlPr xmlns="http://schemas.microsoft.com/office/spreadsheetml/2009/9/main" objectType="Button" lockText="1"/>
</file>

<file path=xl/ctrlProps/ctrlProp282.xml><?xml version="1.0" encoding="utf-8"?>
<formControlPr xmlns="http://schemas.microsoft.com/office/spreadsheetml/2009/9/main" objectType="Button" lockText="1"/>
</file>

<file path=xl/ctrlProps/ctrlProp283.xml><?xml version="1.0" encoding="utf-8"?>
<formControlPr xmlns="http://schemas.microsoft.com/office/spreadsheetml/2009/9/main" objectType="Button" lockText="1"/>
</file>

<file path=xl/ctrlProps/ctrlProp284.xml><?xml version="1.0" encoding="utf-8"?>
<formControlPr xmlns="http://schemas.microsoft.com/office/spreadsheetml/2009/9/main" objectType="Button" lockText="1"/>
</file>

<file path=xl/ctrlProps/ctrlProp285.xml><?xml version="1.0" encoding="utf-8"?>
<formControlPr xmlns="http://schemas.microsoft.com/office/spreadsheetml/2009/9/main" objectType="Button" lockText="1"/>
</file>

<file path=xl/ctrlProps/ctrlProp286.xml><?xml version="1.0" encoding="utf-8"?>
<formControlPr xmlns="http://schemas.microsoft.com/office/spreadsheetml/2009/9/main" objectType="Button" lockText="1"/>
</file>

<file path=xl/ctrlProps/ctrlProp287.xml><?xml version="1.0" encoding="utf-8"?>
<formControlPr xmlns="http://schemas.microsoft.com/office/spreadsheetml/2009/9/main" objectType="Button" lockText="1"/>
</file>

<file path=xl/ctrlProps/ctrlProp288.xml><?xml version="1.0" encoding="utf-8"?>
<formControlPr xmlns="http://schemas.microsoft.com/office/spreadsheetml/2009/9/main" objectType="Button" lockText="1"/>
</file>

<file path=xl/ctrlProps/ctrlProp289.xml><?xml version="1.0" encoding="utf-8"?>
<formControlPr xmlns="http://schemas.microsoft.com/office/spreadsheetml/2009/9/main" objectType="Button" lockText="1"/>
</file>

<file path=xl/ctrlProps/ctrlProp290.xml><?xml version="1.0" encoding="utf-8"?>
<formControlPr xmlns="http://schemas.microsoft.com/office/spreadsheetml/2009/9/main" objectType="Button" lockText="1"/>
</file>

<file path=xl/ctrlProps/ctrlProp291.xml><?xml version="1.0" encoding="utf-8"?>
<formControlPr xmlns="http://schemas.microsoft.com/office/spreadsheetml/2009/9/main" objectType="Button" lockText="1"/>
</file>

<file path=xl/ctrlProps/ctrlProp292.xml><?xml version="1.0" encoding="utf-8"?>
<formControlPr xmlns="http://schemas.microsoft.com/office/spreadsheetml/2009/9/main" objectType="Button" lockText="1"/>
</file>

<file path=xl/ctrlProps/ctrlProp293.xml><?xml version="1.0" encoding="utf-8"?>
<formControlPr xmlns="http://schemas.microsoft.com/office/spreadsheetml/2009/9/main" objectType="Button" lockText="1"/>
</file>

<file path=xl/ctrlProps/ctrlProp294.xml><?xml version="1.0" encoding="utf-8"?>
<formControlPr xmlns="http://schemas.microsoft.com/office/spreadsheetml/2009/9/main" objectType="Button" lockText="1"/>
</file>

<file path=xl/ctrlProps/ctrlProp295.xml><?xml version="1.0" encoding="utf-8"?>
<formControlPr xmlns="http://schemas.microsoft.com/office/spreadsheetml/2009/9/main" objectType="Button" lockText="1"/>
</file>

<file path=xl/ctrlProps/ctrlProp296.xml><?xml version="1.0" encoding="utf-8"?>
<formControlPr xmlns="http://schemas.microsoft.com/office/spreadsheetml/2009/9/main" objectType="Button" lockText="1"/>
</file>

<file path=xl/ctrlProps/ctrlProp297.xml><?xml version="1.0" encoding="utf-8"?>
<formControlPr xmlns="http://schemas.microsoft.com/office/spreadsheetml/2009/9/main" objectType="Button" lockText="1"/>
</file>

<file path=xl/ctrlProps/ctrlProp298.xml><?xml version="1.0" encoding="utf-8"?>
<formControlPr xmlns="http://schemas.microsoft.com/office/spreadsheetml/2009/9/main" objectType="Button" lockText="1"/>
</file>

<file path=xl/ctrlProps/ctrlProp299.xml><?xml version="1.0" encoding="utf-8"?>
<formControlPr xmlns="http://schemas.microsoft.com/office/spreadsheetml/2009/9/main" objectType="Button" lockText="1"/>
</file>

<file path=xl/ctrlProps/ctrlProp300.xml><?xml version="1.0" encoding="utf-8"?>
<formControlPr xmlns="http://schemas.microsoft.com/office/spreadsheetml/2009/9/main" objectType="Button" lockText="1"/>
</file>

<file path=xl/ctrlProps/ctrlProp301.xml><?xml version="1.0" encoding="utf-8"?>
<formControlPr xmlns="http://schemas.microsoft.com/office/spreadsheetml/2009/9/main" objectType="Button" lockText="1"/>
</file>

<file path=xl/ctrlProps/ctrlProp302.xml><?xml version="1.0" encoding="utf-8"?>
<formControlPr xmlns="http://schemas.microsoft.com/office/spreadsheetml/2009/9/main" objectType="Button" lockText="1"/>
</file>

<file path=xl/ctrlProps/ctrlProp303.xml><?xml version="1.0" encoding="utf-8"?>
<formControlPr xmlns="http://schemas.microsoft.com/office/spreadsheetml/2009/9/main" objectType="Button" lockText="1"/>
</file>

<file path=xl/ctrlProps/ctrlProp304.xml><?xml version="1.0" encoding="utf-8"?>
<formControlPr xmlns="http://schemas.microsoft.com/office/spreadsheetml/2009/9/main" objectType="Button" lockText="1"/>
</file>

<file path=xl/ctrlProps/ctrlProp305.xml><?xml version="1.0" encoding="utf-8"?>
<formControlPr xmlns="http://schemas.microsoft.com/office/spreadsheetml/2009/9/main" objectType="Button" lockText="1"/>
</file>

<file path=xl/ctrlProps/ctrlProp306.xml><?xml version="1.0" encoding="utf-8"?>
<formControlPr xmlns="http://schemas.microsoft.com/office/spreadsheetml/2009/9/main" objectType="Button" lockText="1"/>
</file>

<file path=xl/ctrlProps/ctrlProp307.xml><?xml version="1.0" encoding="utf-8"?>
<formControlPr xmlns="http://schemas.microsoft.com/office/spreadsheetml/2009/9/main" objectType="Button" lockText="1"/>
</file>

<file path=xl/ctrlProps/ctrlProp308.xml><?xml version="1.0" encoding="utf-8"?>
<formControlPr xmlns="http://schemas.microsoft.com/office/spreadsheetml/2009/9/main" objectType="Button" lockText="1"/>
</file>

<file path=xl/ctrlProps/ctrlProp309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66675</xdr:colOff>
      <xdr:row>9</xdr:row>
      <xdr:rowOff>247650</xdr:rowOff>
    </xdr:from>
    <xdr:to>
      <xdr:col>45</xdr:col>
      <xdr:colOff>38100</xdr:colOff>
      <xdr:row>10</xdr:row>
      <xdr:rowOff>47625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95850" y="2505075"/>
          <a:ext cx="27336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/>
            <a:t>502-0013</a:t>
          </a:r>
          <a:r>
            <a:rPr lang="ja-JP" altLang="en-US"/>
            <a:t>岐阜市中川原サンマックスビル</a:t>
          </a:r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FL/RD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9217" name="表示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9218" name="表示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9219" name="呼出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9220" name="保存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9221" name="終了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9222" name="印刷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1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9223" name="入力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1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9224" name="削除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1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9225" name="合計無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1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9226" name="ヘルプ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1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9227" name="税無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1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9228" name="画像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1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9229" name="画像PW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1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9230" name="明細入力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1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9231" name="明細書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1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F00528A6-CD97-4805-B445-3D425A0A9FDC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CF3247CB-4CCC-4C4C-99CD-8330EFE00662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66675</xdr:colOff>
      <xdr:row>9</xdr:row>
      <xdr:rowOff>247650</xdr:rowOff>
    </xdr:from>
    <xdr:to>
      <xdr:col>45</xdr:col>
      <xdr:colOff>38100</xdr:colOff>
      <xdr:row>10</xdr:row>
      <xdr:rowOff>47625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B2DF0ADC-9539-4038-99E2-AB71F1F4C0CF}"/>
            </a:ext>
          </a:extLst>
        </xdr:cNvPr>
        <xdr:cNvSpPr>
          <a:spLocks noChangeArrowheads="1"/>
        </xdr:cNvSpPr>
      </xdr:nvSpPr>
      <xdr:spPr bwMode="auto">
        <a:xfrm>
          <a:off x="4895850" y="2505075"/>
          <a:ext cx="27336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/>
            <a:t>502-0013</a:t>
          </a:r>
          <a:r>
            <a:rPr lang="ja-JP" altLang="en-US"/>
            <a:t>岐阜市中川原サンマックスビル</a:t>
          </a:r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DC7D6F5E-F933-4754-B732-E1E36DDA3C39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9232" name="客呼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1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9233" name="入力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1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9234" name="担当呼出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1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9235" name="品名呼出01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1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9236" name="品名呼出02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1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9237" name="品名呼出03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1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9238" name="品名呼出04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1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9239" name="品名呼出05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1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9240" name="品名呼出06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1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9241" name="品名呼出07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1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9242" name="品名呼出08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1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9243" name="品名呼出09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1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9244" name="品名呼出10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1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9245" name="品名呼出11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1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9246" name="品名呼出12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1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9247" name="更新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1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9248" name="プレビュー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1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9249" name="環境設定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1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9250" name="詳細無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1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9251" name="電卓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1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9252" name="データ更新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1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9253" name="並替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1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9254" name="戻る2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1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9255" name="環境設定2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1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9256" name="再選択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1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9257" name="ﾃﾞｰﾀ処理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1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9258" name="詳細無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1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9259" name="参照1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1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9260" name="参照2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1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9261" name="入力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1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9262" name="入力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1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4640CAFA-E1ED-493E-BFF4-60503A4CA4AA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FL/RD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5FC15DFE-99AB-4A46-9E08-2B293ECB9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1DF5225D-396A-495F-B599-298C2D58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4337" name="表示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2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4338" name="表示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2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4339" name="呼出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2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4340" name="保存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2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4341" name="終了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2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4342" name="印刷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2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4343" name="入力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2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4344" name="削除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2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4345" name="合計無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2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4346" name="ヘルプ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2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4347" name="税無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2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4348" name="画像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2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4349" name="画像PW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02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4350" name="明細入力" hidden="1">
              <a:extLst>
                <a:ext uri="{63B3BB69-23CF-44E3-9099-C40C66FF867C}">
                  <a14:compatExt spid="_x0000_s14350"/>
                </a:ext>
                <a:ext uri="{FF2B5EF4-FFF2-40B4-BE49-F238E27FC236}">
                  <a16:creationId xmlns:a16="http://schemas.microsoft.com/office/drawing/2014/main" id="{00000000-0008-0000-0200-00000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4351" name="明細書" hidden="1">
              <a:extLst>
                <a:ext uri="{63B3BB69-23CF-44E3-9099-C40C66FF867C}">
                  <a14:compatExt spid="_x0000_s14351"/>
                </a:ext>
                <a:ext uri="{FF2B5EF4-FFF2-40B4-BE49-F238E27FC236}">
                  <a16:creationId xmlns:a16="http://schemas.microsoft.com/office/drawing/2014/main" id="{00000000-0008-0000-0200-00000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7C864254-DEE1-4D41-BE98-0F939F139F3D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AAA48150-88E9-46ED-B209-FA60023D604F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66675</xdr:colOff>
      <xdr:row>9</xdr:row>
      <xdr:rowOff>247650</xdr:rowOff>
    </xdr:from>
    <xdr:to>
      <xdr:col>45</xdr:col>
      <xdr:colOff>38100</xdr:colOff>
      <xdr:row>10</xdr:row>
      <xdr:rowOff>47625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4CA46477-4126-44F2-AEC5-C3D104B2A0AA}"/>
            </a:ext>
          </a:extLst>
        </xdr:cNvPr>
        <xdr:cNvSpPr>
          <a:spLocks noChangeArrowheads="1"/>
        </xdr:cNvSpPr>
      </xdr:nvSpPr>
      <xdr:spPr bwMode="auto">
        <a:xfrm>
          <a:off x="4895850" y="2505075"/>
          <a:ext cx="27336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/>
            <a:t>502-0013</a:t>
          </a:r>
          <a:r>
            <a:rPr lang="ja-JP" altLang="en-US"/>
            <a:t>岐阜市中川原サンマックスビル</a:t>
          </a:r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C7E81172-6656-4B60-A641-E7D76F2ABE5E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4352" name="客呼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00000000-0008-0000-0200-00001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4353" name="入力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00000000-0008-0000-0200-00001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4354" name="担当呼出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2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4355" name="品名呼出01" hidden="1">
              <a:extLst>
                <a:ext uri="{63B3BB69-23CF-44E3-9099-C40C66FF867C}">
                  <a14:compatExt spid="_x0000_s14355"/>
                </a:ext>
                <a:ext uri="{FF2B5EF4-FFF2-40B4-BE49-F238E27FC236}">
                  <a16:creationId xmlns:a16="http://schemas.microsoft.com/office/drawing/2014/main" id="{00000000-0008-0000-0200-00001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4356" name="品名呼出02" hidden="1">
              <a:extLst>
                <a:ext uri="{63B3BB69-23CF-44E3-9099-C40C66FF867C}">
                  <a14:compatExt spid="_x0000_s14356"/>
                </a:ext>
                <a:ext uri="{FF2B5EF4-FFF2-40B4-BE49-F238E27FC236}">
                  <a16:creationId xmlns:a16="http://schemas.microsoft.com/office/drawing/2014/main" id="{00000000-0008-0000-0200-00001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4357" name="品名呼出03" hidden="1">
              <a:extLst>
                <a:ext uri="{63B3BB69-23CF-44E3-9099-C40C66FF867C}">
                  <a14:compatExt spid="_x0000_s14357"/>
                </a:ext>
                <a:ext uri="{FF2B5EF4-FFF2-40B4-BE49-F238E27FC236}">
                  <a16:creationId xmlns:a16="http://schemas.microsoft.com/office/drawing/2014/main" id="{00000000-0008-0000-0200-00001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4358" name="品名呼出04" hidden="1">
              <a:extLst>
                <a:ext uri="{63B3BB69-23CF-44E3-9099-C40C66FF867C}">
                  <a14:compatExt spid="_x0000_s14358"/>
                </a:ext>
                <a:ext uri="{FF2B5EF4-FFF2-40B4-BE49-F238E27FC236}">
                  <a16:creationId xmlns:a16="http://schemas.microsoft.com/office/drawing/2014/main" id="{00000000-0008-0000-0200-00001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4359" name="品名呼出05" hidden="1">
              <a:extLst>
                <a:ext uri="{63B3BB69-23CF-44E3-9099-C40C66FF867C}">
                  <a14:compatExt spid="_x0000_s14359"/>
                </a:ext>
                <a:ext uri="{FF2B5EF4-FFF2-40B4-BE49-F238E27FC236}">
                  <a16:creationId xmlns:a16="http://schemas.microsoft.com/office/drawing/2014/main" id="{00000000-0008-0000-0200-00001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4360" name="品名呼出06" hidden="1">
              <a:extLst>
                <a:ext uri="{63B3BB69-23CF-44E3-9099-C40C66FF867C}">
                  <a14:compatExt spid="_x0000_s14360"/>
                </a:ext>
                <a:ext uri="{FF2B5EF4-FFF2-40B4-BE49-F238E27FC236}">
                  <a16:creationId xmlns:a16="http://schemas.microsoft.com/office/drawing/2014/main" id="{00000000-0008-0000-0200-00001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4361" name="品名呼出07" hidden="1">
              <a:extLst>
                <a:ext uri="{63B3BB69-23CF-44E3-9099-C40C66FF867C}">
                  <a14:compatExt spid="_x0000_s14361"/>
                </a:ext>
                <a:ext uri="{FF2B5EF4-FFF2-40B4-BE49-F238E27FC236}">
                  <a16:creationId xmlns:a16="http://schemas.microsoft.com/office/drawing/2014/main" id="{00000000-0008-0000-0200-00001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4362" name="品名呼出08" hidden="1">
              <a:extLst>
                <a:ext uri="{63B3BB69-23CF-44E3-9099-C40C66FF867C}">
                  <a14:compatExt spid="_x0000_s14362"/>
                </a:ext>
                <a:ext uri="{FF2B5EF4-FFF2-40B4-BE49-F238E27FC236}">
                  <a16:creationId xmlns:a16="http://schemas.microsoft.com/office/drawing/2014/main" id="{00000000-0008-0000-0200-00001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4363" name="品名呼出09" hidden="1">
              <a:extLst>
                <a:ext uri="{63B3BB69-23CF-44E3-9099-C40C66FF867C}">
                  <a14:compatExt spid="_x0000_s14363"/>
                </a:ext>
                <a:ext uri="{FF2B5EF4-FFF2-40B4-BE49-F238E27FC236}">
                  <a16:creationId xmlns:a16="http://schemas.microsoft.com/office/drawing/2014/main" id="{00000000-0008-0000-0200-00001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4364" name="品名呼出10" hidden="1">
              <a:extLst>
                <a:ext uri="{63B3BB69-23CF-44E3-9099-C40C66FF867C}">
                  <a14:compatExt spid="_x0000_s14364"/>
                </a:ext>
                <a:ext uri="{FF2B5EF4-FFF2-40B4-BE49-F238E27FC236}">
                  <a16:creationId xmlns:a16="http://schemas.microsoft.com/office/drawing/2014/main" id="{00000000-0008-0000-0200-00001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4365" name="品名呼出11" hidden="1">
              <a:extLst>
                <a:ext uri="{63B3BB69-23CF-44E3-9099-C40C66FF867C}">
                  <a14:compatExt spid="_x0000_s14365"/>
                </a:ext>
                <a:ext uri="{FF2B5EF4-FFF2-40B4-BE49-F238E27FC236}">
                  <a16:creationId xmlns:a16="http://schemas.microsoft.com/office/drawing/2014/main" id="{00000000-0008-0000-0200-00001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4366" name="品名呼出12" hidden="1">
              <a:extLst>
                <a:ext uri="{63B3BB69-23CF-44E3-9099-C40C66FF867C}">
                  <a14:compatExt spid="_x0000_s14366"/>
                </a:ext>
                <a:ext uri="{FF2B5EF4-FFF2-40B4-BE49-F238E27FC236}">
                  <a16:creationId xmlns:a16="http://schemas.microsoft.com/office/drawing/2014/main" id="{00000000-0008-0000-0200-00001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4367" name="更新" hidden="1">
              <a:extLst>
                <a:ext uri="{63B3BB69-23CF-44E3-9099-C40C66FF867C}">
                  <a14:compatExt spid="_x0000_s14367"/>
                </a:ext>
                <a:ext uri="{FF2B5EF4-FFF2-40B4-BE49-F238E27FC236}">
                  <a16:creationId xmlns:a16="http://schemas.microsoft.com/office/drawing/2014/main" id="{00000000-0008-0000-0200-00001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4368" name="プレビュー" hidden="1">
              <a:extLst>
                <a:ext uri="{63B3BB69-23CF-44E3-9099-C40C66FF867C}">
                  <a14:compatExt spid="_x0000_s14368"/>
                </a:ext>
                <a:ext uri="{FF2B5EF4-FFF2-40B4-BE49-F238E27FC236}">
                  <a16:creationId xmlns:a16="http://schemas.microsoft.com/office/drawing/2014/main" id="{00000000-0008-0000-0200-00002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4369" name="環境設定" hidden="1">
              <a:extLst>
                <a:ext uri="{63B3BB69-23CF-44E3-9099-C40C66FF867C}">
                  <a14:compatExt spid="_x0000_s14369"/>
                </a:ext>
                <a:ext uri="{FF2B5EF4-FFF2-40B4-BE49-F238E27FC236}">
                  <a16:creationId xmlns:a16="http://schemas.microsoft.com/office/drawing/2014/main" id="{00000000-0008-0000-0200-00002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4370" name="詳細無" hidden="1">
              <a:extLst>
                <a:ext uri="{63B3BB69-23CF-44E3-9099-C40C66FF867C}">
                  <a14:compatExt spid="_x0000_s14370"/>
                </a:ext>
                <a:ext uri="{FF2B5EF4-FFF2-40B4-BE49-F238E27FC236}">
                  <a16:creationId xmlns:a16="http://schemas.microsoft.com/office/drawing/2014/main" id="{00000000-0008-0000-0200-00002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4371" name="電卓" hidden="1">
              <a:extLst>
                <a:ext uri="{63B3BB69-23CF-44E3-9099-C40C66FF867C}">
                  <a14:compatExt spid="_x0000_s14371"/>
                </a:ext>
                <a:ext uri="{FF2B5EF4-FFF2-40B4-BE49-F238E27FC236}">
                  <a16:creationId xmlns:a16="http://schemas.microsoft.com/office/drawing/2014/main" id="{00000000-0008-0000-0200-00002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4372" name="データ更新" hidden="1">
              <a:extLst>
                <a:ext uri="{63B3BB69-23CF-44E3-9099-C40C66FF867C}">
                  <a14:compatExt spid="_x0000_s14372"/>
                </a:ext>
                <a:ext uri="{FF2B5EF4-FFF2-40B4-BE49-F238E27FC236}">
                  <a16:creationId xmlns:a16="http://schemas.microsoft.com/office/drawing/2014/main" id="{00000000-0008-0000-0200-00002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4373" name="並替" hidden="1">
              <a:extLst>
                <a:ext uri="{63B3BB69-23CF-44E3-9099-C40C66FF867C}">
                  <a14:compatExt spid="_x0000_s14373"/>
                </a:ext>
                <a:ext uri="{FF2B5EF4-FFF2-40B4-BE49-F238E27FC236}">
                  <a16:creationId xmlns:a16="http://schemas.microsoft.com/office/drawing/2014/main" id="{00000000-0008-0000-0200-00002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4374" name="戻る2" hidden="1">
              <a:extLst>
                <a:ext uri="{63B3BB69-23CF-44E3-9099-C40C66FF867C}">
                  <a14:compatExt spid="_x0000_s14374"/>
                </a:ext>
                <a:ext uri="{FF2B5EF4-FFF2-40B4-BE49-F238E27FC236}">
                  <a16:creationId xmlns:a16="http://schemas.microsoft.com/office/drawing/2014/main" id="{00000000-0008-0000-0200-00002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4375" name="環境設定2" hidden="1">
              <a:extLst>
                <a:ext uri="{63B3BB69-23CF-44E3-9099-C40C66FF867C}">
                  <a14:compatExt spid="_x0000_s14375"/>
                </a:ext>
                <a:ext uri="{FF2B5EF4-FFF2-40B4-BE49-F238E27FC236}">
                  <a16:creationId xmlns:a16="http://schemas.microsoft.com/office/drawing/2014/main" id="{00000000-0008-0000-0200-00002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4376" name="再選択" hidden="1">
              <a:extLst>
                <a:ext uri="{63B3BB69-23CF-44E3-9099-C40C66FF867C}">
                  <a14:compatExt spid="_x0000_s14376"/>
                </a:ext>
                <a:ext uri="{FF2B5EF4-FFF2-40B4-BE49-F238E27FC236}">
                  <a16:creationId xmlns:a16="http://schemas.microsoft.com/office/drawing/2014/main" id="{00000000-0008-0000-0200-00002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4377" name="ﾃﾞｰﾀ処理" hidden="1">
              <a:extLst>
                <a:ext uri="{63B3BB69-23CF-44E3-9099-C40C66FF867C}">
                  <a14:compatExt spid="_x0000_s14377"/>
                </a:ext>
                <a:ext uri="{FF2B5EF4-FFF2-40B4-BE49-F238E27FC236}">
                  <a16:creationId xmlns:a16="http://schemas.microsoft.com/office/drawing/2014/main" id="{00000000-0008-0000-0200-00002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4378" name="詳細無" hidden="1">
              <a:extLst>
                <a:ext uri="{63B3BB69-23CF-44E3-9099-C40C66FF867C}">
                  <a14:compatExt spid="_x0000_s14378"/>
                </a:ext>
                <a:ext uri="{FF2B5EF4-FFF2-40B4-BE49-F238E27FC236}">
                  <a16:creationId xmlns:a16="http://schemas.microsoft.com/office/drawing/2014/main" id="{00000000-0008-0000-0200-00002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4379" name="参照1" hidden="1">
              <a:extLst>
                <a:ext uri="{63B3BB69-23CF-44E3-9099-C40C66FF867C}">
                  <a14:compatExt spid="_x0000_s14379"/>
                </a:ext>
                <a:ext uri="{FF2B5EF4-FFF2-40B4-BE49-F238E27FC236}">
                  <a16:creationId xmlns:a16="http://schemas.microsoft.com/office/drawing/2014/main" id="{00000000-0008-0000-0200-00002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4380" name="参照2" hidden="1">
              <a:extLst>
                <a:ext uri="{63B3BB69-23CF-44E3-9099-C40C66FF867C}">
                  <a14:compatExt spid="_x0000_s14380"/>
                </a:ext>
                <a:ext uri="{FF2B5EF4-FFF2-40B4-BE49-F238E27FC236}">
                  <a16:creationId xmlns:a16="http://schemas.microsoft.com/office/drawing/2014/main" id="{00000000-0008-0000-0200-00002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4381" name="入力" hidden="1">
              <a:extLst>
                <a:ext uri="{63B3BB69-23CF-44E3-9099-C40C66FF867C}">
                  <a14:compatExt spid="_x0000_s14381"/>
                </a:ext>
                <a:ext uri="{FF2B5EF4-FFF2-40B4-BE49-F238E27FC236}">
                  <a16:creationId xmlns:a16="http://schemas.microsoft.com/office/drawing/2014/main" id="{00000000-0008-0000-0200-00002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4382" name="入力" hidden="1">
              <a:extLst>
                <a:ext uri="{63B3BB69-23CF-44E3-9099-C40C66FF867C}">
                  <a14:compatExt spid="_x0000_s14382"/>
                </a:ext>
                <a:ext uri="{FF2B5EF4-FFF2-40B4-BE49-F238E27FC236}">
                  <a16:creationId xmlns:a16="http://schemas.microsoft.com/office/drawing/2014/main" id="{00000000-0008-0000-0200-00002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7AB51442-7E42-489A-AEE1-6D1BCD9F1537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FL/RD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DB44DC82-A9A4-4C07-9526-27BA42CD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5DF48A8D-6B62-4E5B-A491-37C8A1F4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7409" name="表示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7410" name="表示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3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7411" name="呼出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3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7412" name="保存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03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7413" name="終了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00000000-0008-0000-0300-00000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7414" name="印刷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00000000-0008-0000-0300-00000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7415" name="入力" hidden="1">
              <a:extLst>
                <a:ext uri="{63B3BB69-23CF-44E3-9099-C40C66FF867C}">
                  <a14:compatExt spid="_x0000_s17415"/>
                </a:ext>
                <a:ext uri="{FF2B5EF4-FFF2-40B4-BE49-F238E27FC236}">
                  <a16:creationId xmlns:a16="http://schemas.microsoft.com/office/drawing/2014/main" id="{00000000-0008-0000-0300-00000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7416" name="削除" hidden="1">
              <a:extLst>
                <a:ext uri="{63B3BB69-23CF-44E3-9099-C40C66FF867C}">
                  <a14:compatExt spid="_x0000_s17416"/>
                </a:ext>
                <a:ext uri="{FF2B5EF4-FFF2-40B4-BE49-F238E27FC236}">
                  <a16:creationId xmlns:a16="http://schemas.microsoft.com/office/drawing/2014/main" id="{00000000-0008-0000-0300-00000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7417" name="合計無" hidden="1">
              <a:extLst>
                <a:ext uri="{63B3BB69-23CF-44E3-9099-C40C66FF867C}">
                  <a14:compatExt spid="_x0000_s17417"/>
                </a:ext>
                <a:ext uri="{FF2B5EF4-FFF2-40B4-BE49-F238E27FC236}">
                  <a16:creationId xmlns:a16="http://schemas.microsoft.com/office/drawing/2014/main" id="{00000000-0008-0000-0300-00000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7418" name="ヘルプ" hidden="1">
              <a:extLst>
                <a:ext uri="{63B3BB69-23CF-44E3-9099-C40C66FF867C}">
                  <a14:compatExt spid="_x0000_s17418"/>
                </a:ext>
                <a:ext uri="{FF2B5EF4-FFF2-40B4-BE49-F238E27FC236}">
                  <a16:creationId xmlns:a16="http://schemas.microsoft.com/office/drawing/2014/main" id="{00000000-0008-0000-0300-00000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7419" name="税無" hidden="1">
              <a:extLst>
                <a:ext uri="{63B3BB69-23CF-44E3-9099-C40C66FF867C}">
                  <a14:compatExt spid="_x0000_s17419"/>
                </a:ext>
                <a:ext uri="{FF2B5EF4-FFF2-40B4-BE49-F238E27FC236}">
                  <a16:creationId xmlns:a16="http://schemas.microsoft.com/office/drawing/2014/main" id="{00000000-0008-0000-0300-00000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7420" name="画像" hidden="1">
              <a:extLst>
                <a:ext uri="{63B3BB69-23CF-44E3-9099-C40C66FF867C}">
                  <a14:compatExt spid="_x0000_s17420"/>
                </a:ext>
                <a:ext uri="{FF2B5EF4-FFF2-40B4-BE49-F238E27FC236}">
                  <a16:creationId xmlns:a16="http://schemas.microsoft.com/office/drawing/2014/main" id="{00000000-0008-0000-0300-00000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7421" name="画像PW" hidden="1">
              <a:extLst>
                <a:ext uri="{63B3BB69-23CF-44E3-9099-C40C66FF867C}">
                  <a14:compatExt spid="_x0000_s17421"/>
                </a:ext>
                <a:ext uri="{FF2B5EF4-FFF2-40B4-BE49-F238E27FC236}">
                  <a16:creationId xmlns:a16="http://schemas.microsoft.com/office/drawing/2014/main" id="{00000000-0008-0000-0300-00000D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7422" name="明細入力" hidden="1">
              <a:extLst>
                <a:ext uri="{63B3BB69-23CF-44E3-9099-C40C66FF867C}">
                  <a14:compatExt spid="_x0000_s17422"/>
                </a:ext>
                <a:ext uri="{FF2B5EF4-FFF2-40B4-BE49-F238E27FC236}">
                  <a16:creationId xmlns:a16="http://schemas.microsoft.com/office/drawing/2014/main" id="{00000000-0008-0000-0300-00000E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7423" name="明細書" hidden="1">
              <a:extLst>
                <a:ext uri="{63B3BB69-23CF-44E3-9099-C40C66FF867C}">
                  <a14:compatExt spid="_x0000_s17423"/>
                </a:ext>
                <a:ext uri="{FF2B5EF4-FFF2-40B4-BE49-F238E27FC236}">
                  <a16:creationId xmlns:a16="http://schemas.microsoft.com/office/drawing/2014/main" id="{00000000-0008-0000-0300-00000F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2D45FB01-7116-4F7A-ABD3-317FFBABC473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C4790DA0-98EA-4D2C-8F62-9B7E0DBBE3AB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66675</xdr:colOff>
      <xdr:row>9</xdr:row>
      <xdr:rowOff>247650</xdr:rowOff>
    </xdr:from>
    <xdr:to>
      <xdr:col>45</xdr:col>
      <xdr:colOff>38100</xdr:colOff>
      <xdr:row>10</xdr:row>
      <xdr:rowOff>47625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1D7C2C26-53AC-442A-920A-2CB9B97534FB}"/>
            </a:ext>
          </a:extLst>
        </xdr:cNvPr>
        <xdr:cNvSpPr>
          <a:spLocks noChangeArrowheads="1"/>
        </xdr:cNvSpPr>
      </xdr:nvSpPr>
      <xdr:spPr bwMode="auto">
        <a:xfrm>
          <a:off x="4895850" y="2505075"/>
          <a:ext cx="27336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/>
            <a:t>502-0013</a:t>
          </a:r>
          <a:r>
            <a:rPr lang="ja-JP" altLang="en-US"/>
            <a:t>岐阜市中川原サンマックスビル</a:t>
          </a:r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9F9D04FC-6DCD-49A5-B0AA-1E8C185961EB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7424" name="客呼" hidden="1">
              <a:extLst>
                <a:ext uri="{63B3BB69-23CF-44E3-9099-C40C66FF867C}">
                  <a14:compatExt spid="_x0000_s17424"/>
                </a:ext>
                <a:ext uri="{FF2B5EF4-FFF2-40B4-BE49-F238E27FC236}">
                  <a16:creationId xmlns:a16="http://schemas.microsoft.com/office/drawing/2014/main" id="{00000000-0008-0000-0300-000010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7425" name="入力" hidden="1">
              <a:extLst>
                <a:ext uri="{63B3BB69-23CF-44E3-9099-C40C66FF867C}">
                  <a14:compatExt spid="_x0000_s17425"/>
                </a:ext>
                <a:ext uri="{FF2B5EF4-FFF2-40B4-BE49-F238E27FC236}">
                  <a16:creationId xmlns:a16="http://schemas.microsoft.com/office/drawing/2014/main" id="{00000000-0008-0000-0300-00001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7426" name="担当呼出" hidden="1">
              <a:extLst>
                <a:ext uri="{63B3BB69-23CF-44E3-9099-C40C66FF867C}">
                  <a14:compatExt spid="_x0000_s17426"/>
                </a:ext>
                <a:ext uri="{FF2B5EF4-FFF2-40B4-BE49-F238E27FC236}">
                  <a16:creationId xmlns:a16="http://schemas.microsoft.com/office/drawing/2014/main" id="{00000000-0008-0000-0300-00001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7427" name="品名呼出01" hidden="1">
              <a:extLst>
                <a:ext uri="{63B3BB69-23CF-44E3-9099-C40C66FF867C}">
                  <a14:compatExt spid="_x0000_s17427"/>
                </a:ext>
                <a:ext uri="{FF2B5EF4-FFF2-40B4-BE49-F238E27FC236}">
                  <a16:creationId xmlns:a16="http://schemas.microsoft.com/office/drawing/2014/main" id="{00000000-0008-0000-0300-00001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7428" name="品名呼出02" hidden="1">
              <a:extLst>
                <a:ext uri="{63B3BB69-23CF-44E3-9099-C40C66FF867C}">
                  <a14:compatExt spid="_x0000_s17428"/>
                </a:ext>
                <a:ext uri="{FF2B5EF4-FFF2-40B4-BE49-F238E27FC236}">
                  <a16:creationId xmlns:a16="http://schemas.microsoft.com/office/drawing/2014/main" id="{00000000-0008-0000-0300-00001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7429" name="品名呼出03" hidden="1">
              <a:extLst>
                <a:ext uri="{63B3BB69-23CF-44E3-9099-C40C66FF867C}">
                  <a14:compatExt spid="_x0000_s17429"/>
                </a:ext>
                <a:ext uri="{FF2B5EF4-FFF2-40B4-BE49-F238E27FC236}">
                  <a16:creationId xmlns:a16="http://schemas.microsoft.com/office/drawing/2014/main" id="{00000000-0008-0000-0300-00001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7430" name="品名呼出04" hidden="1">
              <a:extLst>
                <a:ext uri="{63B3BB69-23CF-44E3-9099-C40C66FF867C}">
                  <a14:compatExt spid="_x0000_s17430"/>
                </a:ext>
                <a:ext uri="{FF2B5EF4-FFF2-40B4-BE49-F238E27FC236}">
                  <a16:creationId xmlns:a16="http://schemas.microsoft.com/office/drawing/2014/main" id="{00000000-0008-0000-0300-00001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7431" name="品名呼出05" hidden="1">
              <a:extLst>
                <a:ext uri="{63B3BB69-23CF-44E3-9099-C40C66FF867C}">
                  <a14:compatExt spid="_x0000_s17431"/>
                </a:ext>
                <a:ext uri="{FF2B5EF4-FFF2-40B4-BE49-F238E27FC236}">
                  <a16:creationId xmlns:a16="http://schemas.microsoft.com/office/drawing/2014/main" id="{00000000-0008-0000-0300-00001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7432" name="品名呼出06" hidden="1">
              <a:extLst>
                <a:ext uri="{63B3BB69-23CF-44E3-9099-C40C66FF867C}">
                  <a14:compatExt spid="_x0000_s17432"/>
                </a:ext>
                <a:ext uri="{FF2B5EF4-FFF2-40B4-BE49-F238E27FC236}">
                  <a16:creationId xmlns:a16="http://schemas.microsoft.com/office/drawing/2014/main" id="{00000000-0008-0000-0300-00001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7433" name="品名呼出07" hidden="1">
              <a:extLst>
                <a:ext uri="{63B3BB69-23CF-44E3-9099-C40C66FF867C}">
                  <a14:compatExt spid="_x0000_s17433"/>
                </a:ext>
                <a:ext uri="{FF2B5EF4-FFF2-40B4-BE49-F238E27FC236}">
                  <a16:creationId xmlns:a16="http://schemas.microsoft.com/office/drawing/2014/main" id="{00000000-0008-0000-0300-00001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7434" name="品名呼出08" hidden="1">
              <a:extLst>
                <a:ext uri="{63B3BB69-23CF-44E3-9099-C40C66FF867C}">
                  <a14:compatExt spid="_x0000_s17434"/>
                </a:ext>
                <a:ext uri="{FF2B5EF4-FFF2-40B4-BE49-F238E27FC236}">
                  <a16:creationId xmlns:a16="http://schemas.microsoft.com/office/drawing/2014/main" id="{00000000-0008-0000-0300-00001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7435" name="品名呼出09" hidden="1">
              <a:extLst>
                <a:ext uri="{63B3BB69-23CF-44E3-9099-C40C66FF867C}">
                  <a14:compatExt spid="_x0000_s17435"/>
                </a:ext>
                <a:ext uri="{FF2B5EF4-FFF2-40B4-BE49-F238E27FC236}">
                  <a16:creationId xmlns:a16="http://schemas.microsoft.com/office/drawing/2014/main" id="{00000000-0008-0000-0300-00001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7436" name="品名呼出10" hidden="1">
              <a:extLst>
                <a:ext uri="{63B3BB69-23CF-44E3-9099-C40C66FF867C}">
                  <a14:compatExt spid="_x0000_s17436"/>
                </a:ext>
                <a:ext uri="{FF2B5EF4-FFF2-40B4-BE49-F238E27FC236}">
                  <a16:creationId xmlns:a16="http://schemas.microsoft.com/office/drawing/2014/main" id="{00000000-0008-0000-0300-00001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7437" name="品名呼出11" hidden="1">
              <a:extLst>
                <a:ext uri="{63B3BB69-23CF-44E3-9099-C40C66FF867C}">
                  <a14:compatExt spid="_x0000_s17437"/>
                </a:ext>
                <a:ext uri="{FF2B5EF4-FFF2-40B4-BE49-F238E27FC236}">
                  <a16:creationId xmlns:a16="http://schemas.microsoft.com/office/drawing/2014/main" id="{00000000-0008-0000-0300-00001D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7438" name="品名呼出12" hidden="1">
              <a:extLst>
                <a:ext uri="{63B3BB69-23CF-44E3-9099-C40C66FF867C}">
                  <a14:compatExt spid="_x0000_s17438"/>
                </a:ext>
                <a:ext uri="{FF2B5EF4-FFF2-40B4-BE49-F238E27FC236}">
                  <a16:creationId xmlns:a16="http://schemas.microsoft.com/office/drawing/2014/main" id="{00000000-0008-0000-0300-00001E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7439" name="更新" hidden="1">
              <a:extLst>
                <a:ext uri="{63B3BB69-23CF-44E3-9099-C40C66FF867C}">
                  <a14:compatExt spid="_x0000_s17439"/>
                </a:ext>
                <a:ext uri="{FF2B5EF4-FFF2-40B4-BE49-F238E27FC236}">
                  <a16:creationId xmlns:a16="http://schemas.microsoft.com/office/drawing/2014/main" id="{00000000-0008-0000-0300-00001F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7440" name="プレビュー" hidden="1">
              <a:extLst>
                <a:ext uri="{63B3BB69-23CF-44E3-9099-C40C66FF867C}">
                  <a14:compatExt spid="_x0000_s17440"/>
                </a:ext>
                <a:ext uri="{FF2B5EF4-FFF2-40B4-BE49-F238E27FC236}">
                  <a16:creationId xmlns:a16="http://schemas.microsoft.com/office/drawing/2014/main" id="{00000000-0008-0000-0300-000020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7441" name="環境設定" hidden="1">
              <a:extLst>
                <a:ext uri="{63B3BB69-23CF-44E3-9099-C40C66FF867C}">
                  <a14:compatExt spid="_x0000_s17441"/>
                </a:ext>
                <a:ext uri="{FF2B5EF4-FFF2-40B4-BE49-F238E27FC236}">
                  <a16:creationId xmlns:a16="http://schemas.microsoft.com/office/drawing/2014/main" id="{00000000-0008-0000-0300-00002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7442" name="詳細無" hidden="1">
              <a:extLst>
                <a:ext uri="{63B3BB69-23CF-44E3-9099-C40C66FF867C}">
                  <a14:compatExt spid="_x0000_s17442"/>
                </a:ext>
                <a:ext uri="{FF2B5EF4-FFF2-40B4-BE49-F238E27FC236}">
                  <a16:creationId xmlns:a16="http://schemas.microsoft.com/office/drawing/2014/main" id="{00000000-0008-0000-0300-00002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7443" name="電卓" hidden="1">
              <a:extLst>
                <a:ext uri="{63B3BB69-23CF-44E3-9099-C40C66FF867C}">
                  <a14:compatExt spid="_x0000_s17443"/>
                </a:ext>
                <a:ext uri="{FF2B5EF4-FFF2-40B4-BE49-F238E27FC236}">
                  <a16:creationId xmlns:a16="http://schemas.microsoft.com/office/drawing/2014/main" id="{00000000-0008-0000-0300-00002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7444" name="データ更新" hidden="1">
              <a:extLst>
                <a:ext uri="{63B3BB69-23CF-44E3-9099-C40C66FF867C}">
                  <a14:compatExt spid="_x0000_s17444"/>
                </a:ext>
                <a:ext uri="{FF2B5EF4-FFF2-40B4-BE49-F238E27FC236}">
                  <a16:creationId xmlns:a16="http://schemas.microsoft.com/office/drawing/2014/main" id="{00000000-0008-0000-0300-00002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7445" name="並替" hidden="1">
              <a:extLst>
                <a:ext uri="{63B3BB69-23CF-44E3-9099-C40C66FF867C}">
                  <a14:compatExt spid="_x0000_s17445"/>
                </a:ext>
                <a:ext uri="{FF2B5EF4-FFF2-40B4-BE49-F238E27FC236}">
                  <a16:creationId xmlns:a16="http://schemas.microsoft.com/office/drawing/2014/main" id="{00000000-0008-0000-0300-00002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7446" name="戻る2" hidden="1">
              <a:extLst>
                <a:ext uri="{63B3BB69-23CF-44E3-9099-C40C66FF867C}">
                  <a14:compatExt spid="_x0000_s17446"/>
                </a:ext>
                <a:ext uri="{FF2B5EF4-FFF2-40B4-BE49-F238E27FC236}">
                  <a16:creationId xmlns:a16="http://schemas.microsoft.com/office/drawing/2014/main" id="{00000000-0008-0000-0300-00002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7447" name="環境設定2" hidden="1">
              <a:extLst>
                <a:ext uri="{63B3BB69-23CF-44E3-9099-C40C66FF867C}">
                  <a14:compatExt spid="_x0000_s17447"/>
                </a:ext>
                <a:ext uri="{FF2B5EF4-FFF2-40B4-BE49-F238E27FC236}">
                  <a16:creationId xmlns:a16="http://schemas.microsoft.com/office/drawing/2014/main" id="{00000000-0008-0000-0300-00002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7448" name="再選択" hidden="1">
              <a:extLst>
                <a:ext uri="{63B3BB69-23CF-44E3-9099-C40C66FF867C}">
                  <a14:compatExt spid="_x0000_s17448"/>
                </a:ext>
                <a:ext uri="{FF2B5EF4-FFF2-40B4-BE49-F238E27FC236}">
                  <a16:creationId xmlns:a16="http://schemas.microsoft.com/office/drawing/2014/main" id="{00000000-0008-0000-0300-00002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7449" name="ﾃﾞｰﾀ処理" hidden="1">
              <a:extLst>
                <a:ext uri="{63B3BB69-23CF-44E3-9099-C40C66FF867C}">
                  <a14:compatExt spid="_x0000_s17449"/>
                </a:ext>
                <a:ext uri="{FF2B5EF4-FFF2-40B4-BE49-F238E27FC236}">
                  <a16:creationId xmlns:a16="http://schemas.microsoft.com/office/drawing/2014/main" id="{00000000-0008-0000-0300-00002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7450" name="詳細無" hidden="1">
              <a:extLst>
                <a:ext uri="{63B3BB69-23CF-44E3-9099-C40C66FF867C}">
                  <a14:compatExt spid="_x0000_s17450"/>
                </a:ext>
                <a:ext uri="{FF2B5EF4-FFF2-40B4-BE49-F238E27FC236}">
                  <a16:creationId xmlns:a16="http://schemas.microsoft.com/office/drawing/2014/main" id="{00000000-0008-0000-0300-00002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7451" name="参照1" hidden="1">
              <a:extLst>
                <a:ext uri="{63B3BB69-23CF-44E3-9099-C40C66FF867C}">
                  <a14:compatExt spid="_x0000_s17451"/>
                </a:ext>
                <a:ext uri="{FF2B5EF4-FFF2-40B4-BE49-F238E27FC236}">
                  <a16:creationId xmlns:a16="http://schemas.microsoft.com/office/drawing/2014/main" id="{00000000-0008-0000-0300-00002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7452" name="参照2" hidden="1">
              <a:extLst>
                <a:ext uri="{63B3BB69-23CF-44E3-9099-C40C66FF867C}">
                  <a14:compatExt spid="_x0000_s17452"/>
                </a:ext>
                <a:ext uri="{FF2B5EF4-FFF2-40B4-BE49-F238E27FC236}">
                  <a16:creationId xmlns:a16="http://schemas.microsoft.com/office/drawing/2014/main" id="{00000000-0008-0000-0300-00002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7453" name="入力" hidden="1">
              <a:extLst>
                <a:ext uri="{63B3BB69-23CF-44E3-9099-C40C66FF867C}">
                  <a14:compatExt spid="_x0000_s17453"/>
                </a:ext>
                <a:ext uri="{FF2B5EF4-FFF2-40B4-BE49-F238E27FC236}">
                  <a16:creationId xmlns:a16="http://schemas.microsoft.com/office/drawing/2014/main" id="{00000000-0008-0000-0300-00002D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7454" name="入力" hidden="1">
              <a:extLst>
                <a:ext uri="{63B3BB69-23CF-44E3-9099-C40C66FF867C}">
                  <a14:compatExt spid="_x0000_s17454"/>
                </a:ext>
                <a:ext uri="{FF2B5EF4-FFF2-40B4-BE49-F238E27FC236}">
                  <a16:creationId xmlns:a16="http://schemas.microsoft.com/office/drawing/2014/main" id="{00000000-0008-0000-0300-00002E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D754FB2D-68B9-4005-838C-2B1A8F689BC6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FL/RD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C9D60409-AF13-4D82-965B-184477946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E7AEFD09-02B2-46F4-80AB-3BC3DBF7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20481" name="表示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EDF5D357-015B-432D-8505-7291657606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20482" name="表示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5DDBA650-3A12-4930-BCE7-AF0DB329A5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20483" name="呼出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CC387A51-011D-4349-B6C1-A375CB611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20484" name="保存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A4D6C981-043F-4EDE-9CCB-C4E42CCF2C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20485" name="終了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81FDADAA-3D12-43DB-99B1-B1D91BA9EA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20486" name="印刷" hidden="1">
              <a:extLst>
                <a:ext uri="{63B3BB69-23CF-44E3-9099-C40C66FF867C}">
                  <a14:compatExt spid="_x0000_s20486"/>
                </a:ext>
                <a:ext uri="{FF2B5EF4-FFF2-40B4-BE49-F238E27FC236}">
                  <a16:creationId xmlns:a16="http://schemas.microsoft.com/office/drawing/2014/main" id="{CF17E444-B505-4FD6-881D-1521E8ED89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20487" name="入力" hidden="1">
              <a:extLst>
                <a:ext uri="{63B3BB69-23CF-44E3-9099-C40C66FF867C}">
                  <a14:compatExt spid="_x0000_s20487"/>
                </a:ext>
                <a:ext uri="{FF2B5EF4-FFF2-40B4-BE49-F238E27FC236}">
                  <a16:creationId xmlns:a16="http://schemas.microsoft.com/office/drawing/2014/main" id="{E1603EC6-3E12-41F3-86D5-533BF1F34D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20488" name="削除" hidden="1">
              <a:extLst>
                <a:ext uri="{63B3BB69-23CF-44E3-9099-C40C66FF867C}">
                  <a14:compatExt spid="_x0000_s20488"/>
                </a:ext>
                <a:ext uri="{FF2B5EF4-FFF2-40B4-BE49-F238E27FC236}">
                  <a16:creationId xmlns:a16="http://schemas.microsoft.com/office/drawing/2014/main" id="{152C47C4-3B24-4AE5-A3FD-0D04E3C500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20489" name="合計無" hidden="1">
              <a:extLst>
                <a:ext uri="{63B3BB69-23CF-44E3-9099-C40C66FF867C}">
                  <a14:compatExt spid="_x0000_s20489"/>
                </a:ext>
                <a:ext uri="{FF2B5EF4-FFF2-40B4-BE49-F238E27FC236}">
                  <a16:creationId xmlns:a16="http://schemas.microsoft.com/office/drawing/2014/main" id="{2757C586-5A7C-42AB-A452-524A38BEFC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20490" name="ヘルプ" hidden="1">
              <a:extLst>
                <a:ext uri="{63B3BB69-23CF-44E3-9099-C40C66FF867C}">
                  <a14:compatExt spid="_x0000_s20490"/>
                </a:ext>
                <a:ext uri="{FF2B5EF4-FFF2-40B4-BE49-F238E27FC236}">
                  <a16:creationId xmlns:a16="http://schemas.microsoft.com/office/drawing/2014/main" id="{54B3F38F-10E8-4F11-B820-CFD78F1CE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20491" name="税無" hidden="1">
              <a:extLst>
                <a:ext uri="{63B3BB69-23CF-44E3-9099-C40C66FF867C}">
                  <a14:compatExt spid="_x0000_s20491"/>
                </a:ext>
                <a:ext uri="{FF2B5EF4-FFF2-40B4-BE49-F238E27FC236}">
                  <a16:creationId xmlns:a16="http://schemas.microsoft.com/office/drawing/2014/main" id="{A018FD75-AEB3-4BCD-BC2C-6E1C7576D0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20492" name="画像" hidden="1">
              <a:extLst>
                <a:ext uri="{63B3BB69-23CF-44E3-9099-C40C66FF867C}">
                  <a14:compatExt spid="_x0000_s20492"/>
                </a:ext>
                <a:ext uri="{FF2B5EF4-FFF2-40B4-BE49-F238E27FC236}">
                  <a16:creationId xmlns:a16="http://schemas.microsoft.com/office/drawing/2014/main" id="{59EBE438-F01D-4E5D-B31B-525FCDB521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20493" name="画像PW" hidden="1">
              <a:extLst>
                <a:ext uri="{63B3BB69-23CF-44E3-9099-C40C66FF867C}">
                  <a14:compatExt spid="_x0000_s20493"/>
                </a:ext>
                <a:ext uri="{FF2B5EF4-FFF2-40B4-BE49-F238E27FC236}">
                  <a16:creationId xmlns:a16="http://schemas.microsoft.com/office/drawing/2014/main" id="{A4BFD815-9BF6-41D2-A74A-FD32EF4A9E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20494" name="明細入力" hidden="1">
              <a:extLst>
                <a:ext uri="{63B3BB69-23CF-44E3-9099-C40C66FF867C}">
                  <a14:compatExt spid="_x0000_s20494"/>
                </a:ext>
                <a:ext uri="{FF2B5EF4-FFF2-40B4-BE49-F238E27FC236}">
                  <a16:creationId xmlns:a16="http://schemas.microsoft.com/office/drawing/2014/main" id="{F8AB2D9D-B1F7-4D97-BC55-490D4B4FDF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20495" name="明細書" hidden="1">
              <a:extLst>
                <a:ext uri="{63B3BB69-23CF-44E3-9099-C40C66FF867C}">
                  <a14:compatExt spid="_x0000_s20495"/>
                </a:ext>
                <a:ext uri="{FF2B5EF4-FFF2-40B4-BE49-F238E27FC236}">
                  <a16:creationId xmlns:a16="http://schemas.microsoft.com/office/drawing/2014/main" id="{F09017CA-5856-45F5-8738-F6ABAD1165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39A431B2-A941-4624-8FA5-300A27726B21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F15E7446-C9E2-43C5-BC3F-5D2F05B47FCB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66675</xdr:colOff>
      <xdr:row>9</xdr:row>
      <xdr:rowOff>247650</xdr:rowOff>
    </xdr:from>
    <xdr:to>
      <xdr:col>45</xdr:col>
      <xdr:colOff>38100</xdr:colOff>
      <xdr:row>10</xdr:row>
      <xdr:rowOff>47625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561ECE14-4472-43FE-811D-585190AA75B1}"/>
            </a:ext>
          </a:extLst>
        </xdr:cNvPr>
        <xdr:cNvSpPr>
          <a:spLocks noChangeArrowheads="1"/>
        </xdr:cNvSpPr>
      </xdr:nvSpPr>
      <xdr:spPr bwMode="auto">
        <a:xfrm>
          <a:off x="4895850" y="2505075"/>
          <a:ext cx="27336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/>
            <a:t>502-0013</a:t>
          </a:r>
          <a:r>
            <a:rPr lang="ja-JP" altLang="en-US"/>
            <a:t>岐阜市中川原サンマックスビル</a:t>
          </a:r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BC9885D9-737D-4FD4-9C49-A2CB8166B198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20496" name="客呼" hidden="1">
              <a:extLst>
                <a:ext uri="{63B3BB69-23CF-44E3-9099-C40C66FF867C}">
                  <a14:compatExt spid="_x0000_s20496"/>
                </a:ext>
                <a:ext uri="{FF2B5EF4-FFF2-40B4-BE49-F238E27FC236}">
                  <a16:creationId xmlns:a16="http://schemas.microsoft.com/office/drawing/2014/main" id="{12A761F9-8900-488E-B843-7AA7C0DCB0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20497" name="入力" hidden="1">
              <a:extLst>
                <a:ext uri="{63B3BB69-23CF-44E3-9099-C40C66FF867C}">
                  <a14:compatExt spid="_x0000_s20497"/>
                </a:ext>
                <a:ext uri="{FF2B5EF4-FFF2-40B4-BE49-F238E27FC236}">
                  <a16:creationId xmlns:a16="http://schemas.microsoft.com/office/drawing/2014/main" id="{ACD10DF4-00BC-4F45-9082-2FFF55ED97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20498" name="担当呼出" hidden="1">
              <a:extLst>
                <a:ext uri="{63B3BB69-23CF-44E3-9099-C40C66FF867C}">
                  <a14:compatExt spid="_x0000_s20498"/>
                </a:ext>
                <a:ext uri="{FF2B5EF4-FFF2-40B4-BE49-F238E27FC236}">
                  <a16:creationId xmlns:a16="http://schemas.microsoft.com/office/drawing/2014/main" id="{7BEEF23B-1815-49EC-83D9-775DC39562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20499" name="品名呼出01" hidden="1">
              <a:extLst>
                <a:ext uri="{63B3BB69-23CF-44E3-9099-C40C66FF867C}">
                  <a14:compatExt spid="_x0000_s20499"/>
                </a:ext>
                <a:ext uri="{FF2B5EF4-FFF2-40B4-BE49-F238E27FC236}">
                  <a16:creationId xmlns:a16="http://schemas.microsoft.com/office/drawing/2014/main" id="{1C0106D8-A52E-45E0-913C-27F8EB1DBA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20500" name="品名呼出02" hidden="1">
              <a:extLst>
                <a:ext uri="{63B3BB69-23CF-44E3-9099-C40C66FF867C}">
                  <a14:compatExt spid="_x0000_s20500"/>
                </a:ext>
                <a:ext uri="{FF2B5EF4-FFF2-40B4-BE49-F238E27FC236}">
                  <a16:creationId xmlns:a16="http://schemas.microsoft.com/office/drawing/2014/main" id="{621A8414-091A-447C-B485-712FCB6456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20501" name="品名呼出03" hidden="1">
              <a:extLst>
                <a:ext uri="{63B3BB69-23CF-44E3-9099-C40C66FF867C}">
                  <a14:compatExt spid="_x0000_s20501"/>
                </a:ext>
                <a:ext uri="{FF2B5EF4-FFF2-40B4-BE49-F238E27FC236}">
                  <a16:creationId xmlns:a16="http://schemas.microsoft.com/office/drawing/2014/main" id="{21F2634D-7A9C-4C17-AC77-4194C94F5D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502" name="品名呼出04" hidden="1">
              <a:extLst>
                <a:ext uri="{63B3BB69-23CF-44E3-9099-C40C66FF867C}">
                  <a14:compatExt spid="_x0000_s20502"/>
                </a:ext>
                <a:ext uri="{FF2B5EF4-FFF2-40B4-BE49-F238E27FC236}">
                  <a16:creationId xmlns:a16="http://schemas.microsoft.com/office/drawing/2014/main" id="{8CE28D0E-A09B-4436-9886-898CA6011A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20503" name="品名呼出05" hidden="1">
              <a:extLst>
                <a:ext uri="{63B3BB69-23CF-44E3-9099-C40C66FF867C}">
                  <a14:compatExt spid="_x0000_s20503"/>
                </a:ext>
                <a:ext uri="{FF2B5EF4-FFF2-40B4-BE49-F238E27FC236}">
                  <a16:creationId xmlns:a16="http://schemas.microsoft.com/office/drawing/2014/main" id="{F7CF735E-1506-4357-AA7F-74D09D4AFD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20504" name="品名呼出06" hidden="1">
              <a:extLst>
                <a:ext uri="{63B3BB69-23CF-44E3-9099-C40C66FF867C}">
                  <a14:compatExt spid="_x0000_s20504"/>
                </a:ext>
                <a:ext uri="{FF2B5EF4-FFF2-40B4-BE49-F238E27FC236}">
                  <a16:creationId xmlns:a16="http://schemas.microsoft.com/office/drawing/2014/main" id="{36A8EEAF-1777-4180-B905-3E955A1024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20505" name="品名呼出07" hidden="1">
              <a:extLst>
                <a:ext uri="{63B3BB69-23CF-44E3-9099-C40C66FF867C}">
                  <a14:compatExt spid="_x0000_s20505"/>
                </a:ext>
                <a:ext uri="{FF2B5EF4-FFF2-40B4-BE49-F238E27FC236}">
                  <a16:creationId xmlns:a16="http://schemas.microsoft.com/office/drawing/2014/main" id="{77C6E373-0FC9-4083-BB82-037B596CA0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20506" name="品名呼出08" hidden="1">
              <a:extLst>
                <a:ext uri="{63B3BB69-23CF-44E3-9099-C40C66FF867C}">
                  <a14:compatExt spid="_x0000_s20506"/>
                </a:ext>
                <a:ext uri="{FF2B5EF4-FFF2-40B4-BE49-F238E27FC236}">
                  <a16:creationId xmlns:a16="http://schemas.microsoft.com/office/drawing/2014/main" id="{069D3136-C22B-4E62-9B6E-63C4E08FA9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20507" name="品名呼出09" hidden="1">
              <a:extLst>
                <a:ext uri="{63B3BB69-23CF-44E3-9099-C40C66FF867C}">
                  <a14:compatExt spid="_x0000_s20507"/>
                </a:ext>
                <a:ext uri="{FF2B5EF4-FFF2-40B4-BE49-F238E27FC236}">
                  <a16:creationId xmlns:a16="http://schemas.microsoft.com/office/drawing/2014/main" id="{5351FD2A-12FA-465D-A76C-B80FD271C0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20508" name="品名呼出10" hidden="1">
              <a:extLst>
                <a:ext uri="{63B3BB69-23CF-44E3-9099-C40C66FF867C}">
                  <a14:compatExt spid="_x0000_s20508"/>
                </a:ext>
                <a:ext uri="{FF2B5EF4-FFF2-40B4-BE49-F238E27FC236}">
                  <a16:creationId xmlns:a16="http://schemas.microsoft.com/office/drawing/2014/main" id="{85C5E22F-4BFA-4904-87F3-4B49EA7EF4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20509" name="品名呼出11" hidden="1">
              <a:extLst>
                <a:ext uri="{63B3BB69-23CF-44E3-9099-C40C66FF867C}">
                  <a14:compatExt spid="_x0000_s20509"/>
                </a:ext>
                <a:ext uri="{FF2B5EF4-FFF2-40B4-BE49-F238E27FC236}">
                  <a16:creationId xmlns:a16="http://schemas.microsoft.com/office/drawing/2014/main" id="{B1FD5E07-9D4E-4061-97FA-2DCDA25C30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20510" name="品名呼出12" hidden="1">
              <a:extLst>
                <a:ext uri="{63B3BB69-23CF-44E3-9099-C40C66FF867C}">
                  <a14:compatExt spid="_x0000_s20510"/>
                </a:ext>
                <a:ext uri="{FF2B5EF4-FFF2-40B4-BE49-F238E27FC236}">
                  <a16:creationId xmlns:a16="http://schemas.microsoft.com/office/drawing/2014/main" id="{3E5E175B-271C-4259-B676-6032EE67A2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20511" name="更新" hidden="1">
              <a:extLst>
                <a:ext uri="{63B3BB69-23CF-44E3-9099-C40C66FF867C}">
                  <a14:compatExt spid="_x0000_s20511"/>
                </a:ext>
                <a:ext uri="{FF2B5EF4-FFF2-40B4-BE49-F238E27FC236}">
                  <a16:creationId xmlns:a16="http://schemas.microsoft.com/office/drawing/2014/main" id="{10FB42E7-14A4-414F-AA17-7D5CD9ACBB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20512" name="プレビュー" hidden="1">
              <a:extLst>
                <a:ext uri="{63B3BB69-23CF-44E3-9099-C40C66FF867C}">
                  <a14:compatExt spid="_x0000_s20512"/>
                </a:ext>
                <a:ext uri="{FF2B5EF4-FFF2-40B4-BE49-F238E27FC236}">
                  <a16:creationId xmlns:a16="http://schemas.microsoft.com/office/drawing/2014/main" id="{B5D1FE8F-93CD-4638-B7AD-FF27107244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20513" name="環境設定" hidden="1">
              <a:extLst>
                <a:ext uri="{63B3BB69-23CF-44E3-9099-C40C66FF867C}">
                  <a14:compatExt spid="_x0000_s20513"/>
                </a:ext>
                <a:ext uri="{FF2B5EF4-FFF2-40B4-BE49-F238E27FC236}">
                  <a16:creationId xmlns:a16="http://schemas.microsoft.com/office/drawing/2014/main" id="{3EF19527-136D-4CE1-A8D5-E694F30208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20514" name="詳細無" hidden="1">
              <a:extLst>
                <a:ext uri="{63B3BB69-23CF-44E3-9099-C40C66FF867C}">
                  <a14:compatExt spid="_x0000_s20514"/>
                </a:ext>
                <a:ext uri="{FF2B5EF4-FFF2-40B4-BE49-F238E27FC236}">
                  <a16:creationId xmlns:a16="http://schemas.microsoft.com/office/drawing/2014/main" id="{65128D93-905D-4A44-975C-6A1419940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20515" name="電卓" hidden="1">
              <a:extLst>
                <a:ext uri="{63B3BB69-23CF-44E3-9099-C40C66FF867C}">
                  <a14:compatExt spid="_x0000_s20515"/>
                </a:ext>
                <a:ext uri="{FF2B5EF4-FFF2-40B4-BE49-F238E27FC236}">
                  <a16:creationId xmlns:a16="http://schemas.microsoft.com/office/drawing/2014/main" id="{E76B840E-5553-4F1C-8328-6D9FC45068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20516" name="データ更新" hidden="1">
              <a:extLst>
                <a:ext uri="{63B3BB69-23CF-44E3-9099-C40C66FF867C}">
                  <a14:compatExt spid="_x0000_s20516"/>
                </a:ext>
                <a:ext uri="{FF2B5EF4-FFF2-40B4-BE49-F238E27FC236}">
                  <a16:creationId xmlns:a16="http://schemas.microsoft.com/office/drawing/2014/main" id="{D4BDA4DA-AC95-4C1B-8269-81CBEC34A0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20517" name="並替" hidden="1">
              <a:extLst>
                <a:ext uri="{63B3BB69-23CF-44E3-9099-C40C66FF867C}">
                  <a14:compatExt spid="_x0000_s20517"/>
                </a:ext>
                <a:ext uri="{FF2B5EF4-FFF2-40B4-BE49-F238E27FC236}">
                  <a16:creationId xmlns:a16="http://schemas.microsoft.com/office/drawing/2014/main" id="{ADCCDA39-C5C1-4280-8325-0394C05095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20518" name="戻る2" hidden="1">
              <a:extLst>
                <a:ext uri="{63B3BB69-23CF-44E3-9099-C40C66FF867C}">
                  <a14:compatExt spid="_x0000_s20518"/>
                </a:ext>
                <a:ext uri="{FF2B5EF4-FFF2-40B4-BE49-F238E27FC236}">
                  <a16:creationId xmlns:a16="http://schemas.microsoft.com/office/drawing/2014/main" id="{790D71CC-39F7-44D1-997E-73F8672C90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20519" name="環境設定2" hidden="1">
              <a:extLst>
                <a:ext uri="{63B3BB69-23CF-44E3-9099-C40C66FF867C}">
                  <a14:compatExt spid="_x0000_s20519"/>
                </a:ext>
                <a:ext uri="{FF2B5EF4-FFF2-40B4-BE49-F238E27FC236}">
                  <a16:creationId xmlns:a16="http://schemas.microsoft.com/office/drawing/2014/main" id="{160BC051-515A-445C-A975-9439097788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20520" name="再選択" hidden="1">
              <a:extLst>
                <a:ext uri="{63B3BB69-23CF-44E3-9099-C40C66FF867C}">
                  <a14:compatExt spid="_x0000_s20520"/>
                </a:ext>
                <a:ext uri="{FF2B5EF4-FFF2-40B4-BE49-F238E27FC236}">
                  <a16:creationId xmlns:a16="http://schemas.microsoft.com/office/drawing/2014/main" id="{582503DD-5E3E-4202-B30D-AD4E44A404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20521" name="ﾃﾞｰﾀ処理" hidden="1">
              <a:extLst>
                <a:ext uri="{63B3BB69-23CF-44E3-9099-C40C66FF867C}">
                  <a14:compatExt spid="_x0000_s20521"/>
                </a:ext>
                <a:ext uri="{FF2B5EF4-FFF2-40B4-BE49-F238E27FC236}">
                  <a16:creationId xmlns:a16="http://schemas.microsoft.com/office/drawing/2014/main" id="{FD9E1CAB-6B4A-4BBF-942C-07105C2D55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20522" name="詳細無" hidden="1">
              <a:extLst>
                <a:ext uri="{63B3BB69-23CF-44E3-9099-C40C66FF867C}">
                  <a14:compatExt spid="_x0000_s20522"/>
                </a:ext>
                <a:ext uri="{FF2B5EF4-FFF2-40B4-BE49-F238E27FC236}">
                  <a16:creationId xmlns:a16="http://schemas.microsoft.com/office/drawing/2014/main" id="{94D20939-B0A8-494D-8AA5-69724A67F6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20523" name="参照1" hidden="1">
              <a:extLst>
                <a:ext uri="{63B3BB69-23CF-44E3-9099-C40C66FF867C}">
                  <a14:compatExt spid="_x0000_s20523"/>
                </a:ext>
                <a:ext uri="{FF2B5EF4-FFF2-40B4-BE49-F238E27FC236}">
                  <a16:creationId xmlns:a16="http://schemas.microsoft.com/office/drawing/2014/main" id="{6A292826-7D12-4DC2-8C1F-7F5AF4E828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20524" name="参照2" hidden="1">
              <a:extLst>
                <a:ext uri="{63B3BB69-23CF-44E3-9099-C40C66FF867C}">
                  <a14:compatExt spid="_x0000_s20524"/>
                </a:ext>
                <a:ext uri="{FF2B5EF4-FFF2-40B4-BE49-F238E27FC236}">
                  <a16:creationId xmlns:a16="http://schemas.microsoft.com/office/drawing/2014/main" id="{08C798A1-DE90-440A-8996-BA04822238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20525" name="入力" hidden="1">
              <a:extLst>
                <a:ext uri="{63B3BB69-23CF-44E3-9099-C40C66FF867C}">
                  <a14:compatExt spid="_x0000_s20525"/>
                </a:ext>
                <a:ext uri="{FF2B5EF4-FFF2-40B4-BE49-F238E27FC236}">
                  <a16:creationId xmlns:a16="http://schemas.microsoft.com/office/drawing/2014/main" id="{86432615-CCCA-4D4E-AAC1-04702A53C7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20526" name="入力" hidden="1">
              <a:extLst>
                <a:ext uri="{63B3BB69-23CF-44E3-9099-C40C66FF867C}">
                  <a14:compatExt spid="_x0000_s20526"/>
                </a:ext>
                <a:ext uri="{FF2B5EF4-FFF2-40B4-BE49-F238E27FC236}">
                  <a16:creationId xmlns:a16="http://schemas.microsoft.com/office/drawing/2014/main" id="{3B41EAC5-5151-41A5-B369-3DD130DC1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6F7734ED-1C28-48DC-AC02-5C830CAA3F2B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FL/RD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4C0B6FBC-8277-43B5-8FEF-D90BABD8F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A2AA5091-C3AF-4EC2-B895-07854765E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12289" name="明細入力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4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12290" name="表示1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4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12291" name="Button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4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12292" name="Button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4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12293" name="Button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4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12294" name="品名呼出201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4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12295" name="品名呼出202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4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12296" name="品名呼出203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4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12297" name="品名呼出204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4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12298" name="品名呼出205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0400-00000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12299" name="品名呼出206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00000000-0008-0000-0400-00000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12300" name="品名呼出207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00000000-0008-0000-0400-00000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12301" name="品名呼出208" hidden="1">
              <a:extLst>
                <a:ext uri="{63B3BB69-23CF-44E3-9099-C40C66FF867C}">
                  <a14:compatExt spid="_x0000_s12301"/>
                </a:ext>
                <a:ext uri="{FF2B5EF4-FFF2-40B4-BE49-F238E27FC236}">
                  <a16:creationId xmlns:a16="http://schemas.microsoft.com/office/drawing/2014/main" id="{00000000-0008-0000-0400-00000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12302" name="品名呼出209" hidden="1">
              <a:extLst>
                <a:ext uri="{63B3BB69-23CF-44E3-9099-C40C66FF867C}">
                  <a14:compatExt spid="_x0000_s12302"/>
                </a:ext>
                <a:ext uri="{FF2B5EF4-FFF2-40B4-BE49-F238E27FC236}">
                  <a16:creationId xmlns:a16="http://schemas.microsoft.com/office/drawing/2014/main" id="{00000000-0008-0000-0400-00000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12303" name="品名呼出210" hidden="1">
              <a:extLst>
                <a:ext uri="{63B3BB69-23CF-44E3-9099-C40C66FF867C}">
                  <a14:compatExt spid="_x0000_s12303"/>
                </a:ext>
                <a:ext uri="{FF2B5EF4-FFF2-40B4-BE49-F238E27FC236}">
                  <a16:creationId xmlns:a16="http://schemas.microsoft.com/office/drawing/2014/main" id="{00000000-0008-0000-0400-00000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12304" name="品名呼出211" hidden="1">
              <a:extLst>
                <a:ext uri="{63B3BB69-23CF-44E3-9099-C40C66FF867C}">
                  <a14:compatExt spid="_x0000_s12304"/>
                </a:ext>
                <a:ext uri="{FF2B5EF4-FFF2-40B4-BE49-F238E27FC236}">
                  <a16:creationId xmlns:a16="http://schemas.microsoft.com/office/drawing/2014/main" id="{00000000-0008-0000-0400-00001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12305" name="品名呼出212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00000000-0008-0000-0400-00001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12306" name="品名呼出213" hidden="1">
              <a:extLst>
                <a:ext uri="{63B3BB69-23CF-44E3-9099-C40C66FF867C}">
                  <a14:compatExt spid="_x0000_s12306"/>
                </a:ext>
                <a:ext uri="{FF2B5EF4-FFF2-40B4-BE49-F238E27FC236}">
                  <a16:creationId xmlns:a16="http://schemas.microsoft.com/office/drawing/2014/main" id="{00000000-0008-0000-0400-00001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12307" name="品名呼出214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4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12308" name="品名呼出215" hidden="1">
              <a:extLst>
                <a:ext uri="{63B3BB69-23CF-44E3-9099-C40C66FF867C}">
                  <a14:compatExt spid="_x0000_s12308"/>
                </a:ext>
                <a:ext uri="{FF2B5EF4-FFF2-40B4-BE49-F238E27FC236}">
                  <a16:creationId xmlns:a16="http://schemas.microsoft.com/office/drawing/2014/main" id="{00000000-0008-0000-0400-00001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12309" name="品名呼出216" hidden="1">
              <a:extLst>
                <a:ext uri="{63B3BB69-23CF-44E3-9099-C40C66FF867C}">
                  <a14:compatExt spid="_x0000_s12309"/>
                </a:ext>
                <a:ext uri="{FF2B5EF4-FFF2-40B4-BE49-F238E27FC236}">
                  <a16:creationId xmlns:a16="http://schemas.microsoft.com/office/drawing/2014/main" id="{00000000-0008-0000-0400-00001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12310" name="品名呼出217" hidden="1">
              <a:extLst>
                <a:ext uri="{63B3BB69-23CF-44E3-9099-C40C66FF867C}">
                  <a14:compatExt spid="_x0000_s12310"/>
                </a:ext>
                <a:ext uri="{FF2B5EF4-FFF2-40B4-BE49-F238E27FC236}">
                  <a16:creationId xmlns:a16="http://schemas.microsoft.com/office/drawing/2014/main" id="{00000000-0008-0000-0400-00001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12311" name="品名呼出218" hidden="1">
              <a:extLst>
                <a:ext uri="{63B3BB69-23CF-44E3-9099-C40C66FF867C}">
                  <a14:compatExt spid="_x0000_s12311"/>
                </a:ext>
                <a:ext uri="{FF2B5EF4-FFF2-40B4-BE49-F238E27FC236}">
                  <a16:creationId xmlns:a16="http://schemas.microsoft.com/office/drawing/2014/main" id="{00000000-0008-0000-0400-00001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12312" name="品名呼出219" hidden="1">
              <a:extLst>
                <a:ext uri="{63B3BB69-23CF-44E3-9099-C40C66FF867C}">
                  <a14:compatExt spid="_x0000_s12312"/>
                </a:ext>
                <a:ext uri="{FF2B5EF4-FFF2-40B4-BE49-F238E27FC236}">
                  <a16:creationId xmlns:a16="http://schemas.microsoft.com/office/drawing/2014/main" id="{00000000-0008-0000-0400-00001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12313" name="品名呼出220" hidden="1">
              <a:extLst>
                <a:ext uri="{63B3BB69-23CF-44E3-9099-C40C66FF867C}">
                  <a14:compatExt spid="_x0000_s12313"/>
                </a:ext>
                <a:ext uri="{FF2B5EF4-FFF2-40B4-BE49-F238E27FC236}">
                  <a16:creationId xmlns:a16="http://schemas.microsoft.com/office/drawing/2014/main" id="{00000000-0008-0000-0400-00001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12314" name="品名呼出221" hidden="1">
              <a:extLst>
                <a:ext uri="{63B3BB69-23CF-44E3-9099-C40C66FF867C}">
                  <a14:compatExt spid="_x0000_s12314"/>
                </a:ext>
                <a:ext uri="{FF2B5EF4-FFF2-40B4-BE49-F238E27FC236}">
                  <a16:creationId xmlns:a16="http://schemas.microsoft.com/office/drawing/2014/main" id="{00000000-0008-0000-0400-00001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12315" name="品名呼出222" hidden="1">
              <a:extLst>
                <a:ext uri="{63B3BB69-23CF-44E3-9099-C40C66FF867C}">
                  <a14:compatExt spid="_x0000_s12315"/>
                </a:ext>
                <a:ext uri="{FF2B5EF4-FFF2-40B4-BE49-F238E27FC236}">
                  <a16:creationId xmlns:a16="http://schemas.microsoft.com/office/drawing/2014/main" id="{00000000-0008-0000-0400-00001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12316" name="品名呼出223" hidden="1">
              <a:extLst>
                <a:ext uri="{63B3BB69-23CF-44E3-9099-C40C66FF867C}">
                  <a14:compatExt spid="_x0000_s12316"/>
                </a:ext>
                <a:ext uri="{FF2B5EF4-FFF2-40B4-BE49-F238E27FC236}">
                  <a16:creationId xmlns:a16="http://schemas.microsoft.com/office/drawing/2014/main" id="{00000000-0008-0000-0400-00001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12317" name="入力" hidden="1">
              <a:extLst>
                <a:ext uri="{63B3BB69-23CF-44E3-9099-C40C66FF867C}">
                  <a14:compatExt spid="_x0000_s12317"/>
                </a:ext>
                <a:ext uri="{FF2B5EF4-FFF2-40B4-BE49-F238E27FC236}">
                  <a16:creationId xmlns:a16="http://schemas.microsoft.com/office/drawing/2014/main" id="{00000000-0008-0000-0400-00001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12318" name="Button 30" hidden="1">
              <a:extLst>
                <a:ext uri="{63B3BB69-23CF-44E3-9099-C40C66FF867C}">
                  <a14:compatExt spid="_x0000_s12318"/>
                </a:ext>
                <a:ext uri="{FF2B5EF4-FFF2-40B4-BE49-F238E27FC236}">
                  <a16:creationId xmlns:a16="http://schemas.microsoft.com/office/drawing/2014/main" id="{00000000-0008-0000-0400-00001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12319" name="表示2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00000000-0008-0000-0400-00001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12320" name="プレビュー" hidden="1">
              <a:extLst>
                <a:ext uri="{63B3BB69-23CF-44E3-9099-C40C66FF867C}">
                  <a14:compatExt spid="_x0000_s12320"/>
                </a:ext>
                <a:ext uri="{FF2B5EF4-FFF2-40B4-BE49-F238E27FC236}">
                  <a16:creationId xmlns:a16="http://schemas.microsoft.com/office/drawing/2014/main" id="{00000000-0008-0000-0400-00002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12321" name="電卓" hidden="1">
              <a:extLst>
                <a:ext uri="{63B3BB69-23CF-44E3-9099-C40C66FF867C}">
                  <a14:compatExt spid="_x0000_s12321"/>
                </a:ext>
                <a:ext uri="{FF2B5EF4-FFF2-40B4-BE49-F238E27FC236}">
                  <a16:creationId xmlns:a16="http://schemas.microsoft.com/office/drawing/2014/main" id="{00000000-0008-0000-0400-00002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41" name="表示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42" name="表示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5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43" name="呼出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5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44" name="保存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5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45" name="終了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5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246" name="印刷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5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247" name="入力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5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248" name="削除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5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249" name="合計無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5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250" name="ヘルプ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5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251" name="税無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5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252" name="画像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5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253" name="画像PW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5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254" name="明細入力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5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255" name="明細書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5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2B4FF9D9-0AE2-4260-97BA-9E862AD61DEC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    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34CEE523-C003-4058-89A6-9AED3D50429F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B7703A1A-B4E5-44ED-B1BF-F3598A464C74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142CC423-C6E1-4801-A8F8-466A23AAB607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256" name="客呼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5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257" name="入力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5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258" name="担当呼出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5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259" name="品名呼出01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00000000-0008-0000-0500-00001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0260" name="品名呼出02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05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0261" name="品名呼出03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05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0262" name="品名呼出04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5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0263" name="品名呼出05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5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0264" name="品名呼出06" hidden="1">
              <a:extLst>
                <a:ext uri="{63B3BB69-23CF-44E3-9099-C40C66FF867C}">
                  <a14:compatExt spid="_x0000_s10264"/>
                </a:ext>
                <a:ext uri="{FF2B5EF4-FFF2-40B4-BE49-F238E27FC236}">
                  <a16:creationId xmlns:a16="http://schemas.microsoft.com/office/drawing/2014/main" id="{00000000-0008-0000-0500-00001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0265" name="品名呼出07" hidden="1">
              <a:extLst>
                <a:ext uri="{63B3BB69-23CF-44E3-9099-C40C66FF867C}">
                  <a14:compatExt spid="_x0000_s10265"/>
                </a:ext>
                <a:ext uri="{FF2B5EF4-FFF2-40B4-BE49-F238E27FC236}">
                  <a16:creationId xmlns:a16="http://schemas.microsoft.com/office/drawing/2014/main" id="{00000000-0008-0000-0500-00001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0266" name="品名呼出08" hidden="1">
              <a:extLst>
                <a:ext uri="{63B3BB69-23CF-44E3-9099-C40C66FF867C}">
                  <a14:compatExt spid="_x0000_s10266"/>
                </a:ext>
                <a:ext uri="{FF2B5EF4-FFF2-40B4-BE49-F238E27FC236}">
                  <a16:creationId xmlns:a16="http://schemas.microsoft.com/office/drawing/2014/main" id="{00000000-0008-0000-0500-00001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0267" name="品名呼出09" hidden="1">
              <a:extLst>
                <a:ext uri="{63B3BB69-23CF-44E3-9099-C40C66FF867C}">
                  <a14:compatExt spid="_x0000_s10267"/>
                </a:ext>
                <a:ext uri="{FF2B5EF4-FFF2-40B4-BE49-F238E27FC236}">
                  <a16:creationId xmlns:a16="http://schemas.microsoft.com/office/drawing/2014/main" id="{00000000-0008-0000-0500-00001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0268" name="品名呼出10" hidden="1">
              <a:extLst>
                <a:ext uri="{63B3BB69-23CF-44E3-9099-C40C66FF867C}">
                  <a14:compatExt spid="_x0000_s10268"/>
                </a:ext>
                <a:ext uri="{FF2B5EF4-FFF2-40B4-BE49-F238E27FC236}">
                  <a16:creationId xmlns:a16="http://schemas.microsoft.com/office/drawing/2014/main" id="{00000000-0008-0000-0500-00001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0269" name="品名呼出11" hidden="1">
              <a:extLst>
                <a:ext uri="{63B3BB69-23CF-44E3-9099-C40C66FF867C}">
                  <a14:compatExt spid="_x0000_s10269"/>
                </a:ext>
                <a:ext uri="{FF2B5EF4-FFF2-40B4-BE49-F238E27FC236}">
                  <a16:creationId xmlns:a16="http://schemas.microsoft.com/office/drawing/2014/main" id="{00000000-0008-0000-0500-00001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0270" name="品名呼出12" hidden="1">
              <a:extLst>
                <a:ext uri="{63B3BB69-23CF-44E3-9099-C40C66FF867C}">
                  <a14:compatExt spid="_x0000_s10270"/>
                </a:ext>
                <a:ext uri="{FF2B5EF4-FFF2-40B4-BE49-F238E27FC236}">
                  <a16:creationId xmlns:a16="http://schemas.microsoft.com/office/drawing/2014/main" id="{00000000-0008-0000-0500-00001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0271" name="更新" hidden="1">
              <a:extLst>
                <a:ext uri="{63B3BB69-23CF-44E3-9099-C40C66FF867C}">
                  <a14:compatExt spid="_x0000_s10271"/>
                </a:ext>
                <a:ext uri="{FF2B5EF4-FFF2-40B4-BE49-F238E27FC236}">
                  <a16:creationId xmlns:a16="http://schemas.microsoft.com/office/drawing/2014/main" id="{00000000-0008-0000-0500-00001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0272" name="プレビュー" hidden="1">
              <a:extLst>
                <a:ext uri="{63B3BB69-23CF-44E3-9099-C40C66FF867C}">
                  <a14:compatExt spid="_x0000_s10272"/>
                </a:ext>
                <a:ext uri="{FF2B5EF4-FFF2-40B4-BE49-F238E27FC236}">
                  <a16:creationId xmlns:a16="http://schemas.microsoft.com/office/drawing/2014/main" id="{00000000-0008-0000-0500-00002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0273" name="環境設定" hidden="1">
              <a:extLst>
                <a:ext uri="{63B3BB69-23CF-44E3-9099-C40C66FF867C}">
                  <a14:compatExt spid="_x0000_s10273"/>
                </a:ext>
                <a:ext uri="{FF2B5EF4-FFF2-40B4-BE49-F238E27FC236}">
                  <a16:creationId xmlns:a16="http://schemas.microsoft.com/office/drawing/2014/main" id="{00000000-0008-0000-0500-00002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0274" name="詳細無" hidden="1">
              <a:extLst>
                <a:ext uri="{63B3BB69-23CF-44E3-9099-C40C66FF867C}">
                  <a14:compatExt spid="_x0000_s10274"/>
                </a:ext>
                <a:ext uri="{FF2B5EF4-FFF2-40B4-BE49-F238E27FC236}">
                  <a16:creationId xmlns:a16="http://schemas.microsoft.com/office/drawing/2014/main" id="{00000000-0008-0000-0500-00002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0275" name="電卓" hidden="1">
              <a:extLst>
                <a:ext uri="{63B3BB69-23CF-44E3-9099-C40C66FF867C}">
                  <a14:compatExt spid="_x0000_s10275"/>
                </a:ext>
                <a:ext uri="{FF2B5EF4-FFF2-40B4-BE49-F238E27FC236}">
                  <a16:creationId xmlns:a16="http://schemas.microsoft.com/office/drawing/2014/main" id="{00000000-0008-0000-0500-00002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0276" name="データ更新" hidden="1">
              <a:extLst>
                <a:ext uri="{63B3BB69-23CF-44E3-9099-C40C66FF867C}">
                  <a14:compatExt spid="_x0000_s10276"/>
                </a:ext>
                <a:ext uri="{FF2B5EF4-FFF2-40B4-BE49-F238E27FC236}">
                  <a16:creationId xmlns:a16="http://schemas.microsoft.com/office/drawing/2014/main" id="{00000000-0008-0000-0500-00002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0277" name="並替" hidden="1">
              <a:extLst>
                <a:ext uri="{63B3BB69-23CF-44E3-9099-C40C66FF867C}">
                  <a14:compatExt spid="_x0000_s10277"/>
                </a:ext>
                <a:ext uri="{FF2B5EF4-FFF2-40B4-BE49-F238E27FC236}">
                  <a16:creationId xmlns:a16="http://schemas.microsoft.com/office/drawing/2014/main" id="{00000000-0008-0000-0500-00002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0278" name="戻る2" hidden="1">
              <a:extLst>
                <a:ext uri="{63B3BB69-23CF-44E3-9099-C40C66FF867C}">
                  <a14:compatExt spid="_x0000_s10278"/>
                </a:ext>
                <a:ext uri="{FF2B5EF4-FFF2-40B4-BE49-F238E27FC236}">
                  <a16:creationId xmlns:a16="http://schemas.microsoft.com/office/drawing/2014/main" id="{00000000-0008-0000-0500-00002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0279" name="環境設定2" hidden="1">
              <a:extLst>
                <a:ext uri="{63B3BB69-23CF-44E3-9099-C40C66FF867C}">
                  <a14:compatExt spid="_x0000_s10279"/>
                </a:ext>
                <a:ext uri="{FF2B5EF4-FFF2-40B4-BE49-F238E27FC236}">
                  <a16:creationId xmlns:a16="http://schemas.microsoft.com/office/drawing/2014/main" id="{00000000-0008-0000-0500-00002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0280" name="再選択" hidden="1">
              <a:extLst>
                <a:ext uri="{63B3BB69-23CF-44E3-9099-C40C66FF867C}">
                  <a14:compatExt spid="_x0000_s10280"/>
                </a:ext>
                <a:ext uri="{FF2B5EF4-FFF2-40B4-BE49-F238E27FC236}">
                  <a16:creationId xmlns:a16="http://schemas.microsoft.com/office/drawing/2014/main" id="{00000000-0008-0000-0500-00002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0281" name="ﾃﾞｰﾀ処理" hidden="1">
              <a:extLst>
                <a:ext uri="{63B3BB69-23CF-44E3-9099-C40C66FF867C}">
                  <a14:compatExt spid="_x0000_s10281"/>
                </a:ext>
                <a:ext uri="{FF2B5EF4-FFF2-40B4-BE49-F238E27FC236}">
                  <a16:creationId xmlns:a16="http://schemas.microsoft.com/office/drawing/2014/main" id="{00000000-0008-0000-0500-00002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0282" name="詳細無" hidden="1">
              <a:extLst>
                <a:ext uri="{63B3BB69-23CF-44E3-9099-C40C66FF867C}">
                  <a14:compatExt spid="_x0000_s10282"/>
                </a:ext>
                <a:ext uri="{FF2B5EF4-FFF2-40B4-BE49-F238E27FC236}">
                  <a16:creationId xmlns:a16="http://schemas.microsoft.com/office/drawing/2014/main" id="{00000000-0008-0000-0500-00002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0283" name="参照1" hidden="1">
              <a:extLst>
                <a:ext uri="{63B3BB69-23CF-44E3-9099-C40C66FF867C}">
                  <a14:compatExt spid="_x0000_s10283"/>
                </a:ext>
                <a:ext uri="{FF2B5EF4-FFF2-40B4-BE49-F238E27FC236}">
                  <a16:creationId xmlns:a16="http://schemas.microsoft.com/office/drawing/2014/main" id="{00000000-0008-0000-0500-00002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0284" name="参照2" hidden="1">
              <a:extLst>
                <a:ext uri="{63B3BB69-23CF-44E3-9099-C40C66FF867C}">
                  <a14:compatExt spid="_x0000_s10284"/>
                </a:ext>
                <a:ext uri="{FF2B5EF4-FFF2-40B4-BE49-F238E27FC236}">
                  <a16:creationId xmlns:a16="http://schemas.microsoft.com/office/drawing/2014/main" id="{00000000-0008-0000-0500-00002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0285" name="入力" hidden="1">
              <a:extLst>
                <a:ext uri="{63B3BB69-23CF-44E3-9099-C40C66FF867C}">
                  <a14:compatExt spid="_x0000_s10285"/>
                </a:ext>
                <a:ext uri="{FF2B5EF4-FFF2-40B4-BE49-F238E27FC236}">
                  <a16:creationId xmlns:a16="http://schemas.microsoft.com/office/drawing/2014/main" id="{00000000-0008-0000-0500-00002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0286" name="入力" hidden="1">
              <a:extLst>
                <a:ext uri="{63B3BB69-23CF-44E3-9099-C40C66FF867C}">
                  <a14:compatExt spid="_x0000_s10286"/>
                </a:ext>
                <a:ext uri="{FF2B5EF4-FFF2-40B4-BE49-F238E27FC236}">
                  <a16:creationId xmlns:a16="http://schemas.microsoft.com/office/drawing/2014/main" id="{00000000-0008-0000-0500-00002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F9329308-84B8-4433-B454-6F34C13C99F1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19CBE31C-8C1D-40D8-9BFE-CC7D2296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963B5A80-DACE-425A-959C-604DE16DE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200025</xdr:rowOff>
    </xdr:from>
    <xdr:to>
      <xdr:col>43</xdr:col>
      <xdr:colOff>102265</xdr:colOff>
      <xdr:row>10</xdr:row>
      <xdr:rowOff>38100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F2FF965-EB20-4CBA-8EE3-D8D6161FE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457450"/>
          <a:ext cx="2464465" cy="238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S218J\homes\EIJI2023\1&#12469;&#12531;&#12510;&#12483;&#12463;&#12473;&#30330;&#34892;&#26360;&#39006;\1&#20195;&#29702;&#24215;\&#23433;&#20840;&#33258;&#21205;&#36554;\&#23433;&#20840;&#33258;&#21205;&#36554;&#27096;&#26481;&#20140;&#12499;&#12483;&#12464;&#12469;&#12452;&#12488;&#23637;&#31034;&#20250;&#21442;&#21152;&#35211;&#31309;&#26360;.xlsx" TargetMode="External"/><Relationship Id="rId1" Type="http://schemas.openxmlformats.org/officeDocument/2006/relationships/externalLinkPath" Target="/EIJI2023/1&#12469;&#12531;&#12510;&#12483;&#12463;&#12473;&#30330;&#34892;&#26360;&#39006;/1&#20195;&#29702;&#24215;/&#23433;&#20840;&#33258;&#21205;&#36554;/&#23433;&#20840;&#33258;&#21205;&#36554;&#27096;&#26481;&#20140;&#12499;&#12483;&#12464;&#12469;&#12452;&#12488;&#23637;&#31034;&#20250;&#21442;&#21152;&#35211;&#31309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デモ費"/>
      <sheetName val="デモ材料費"/>
      <sheetName val="納入部品20250128"/>
      <sheetName val="納品書遮光版"/>
      <sheetName val="別紙購入おすすめ品"/>
      <sheetName val="USBフラッシュメモリ内一覧"/>
      <sheetName val="工具箱内付属一覧"/>
      <sheetName val="本体装備品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B7">
            <v>0</v>
          </cell>
          <cell r="AG7">
            <v>0</v>
          </cell>
        </row>
        <row r="8">
          <cell r="AG8">
            <v>0</v>
          </cell>
        </row>
        <row r="9">
          <cell r="AG9">
            <v>0</v>
          </cell>
        </row>
        <row r="10">
          <cell r="AG10">
            <v>0</v>
          </cell>
        </row>
        <row r="11">
          <cell r="AG11">
            <v>0</v>
          </cell>
        </row>
        <row r="12">
          <cell r="AG12">
            <v>0</v>
          </cell>
        </row>
        <row r="13">
          <cell r="AG13">
            <v>0</v>
          </cell>
        </row>
        <row r="14">
          <cell r="AG14">
            <v>0</v>
          </cell>
        </row>
        <row r="15">
          <cell r="AG15">
            <v>0</v>
          </cell>
        </row>
        <row r="16">
          <cell r="AG16">
            <v>0</v>
          </cell>
        </row>
        <row r="17">
          <cell r="AG17">
            <v>0</v>
          </cell>
        </row>
        <row r="18">
          <cell r="AG18">
            <v>0</v>
          </cell>
        </row>
        <row r="19">
          <cell r="AG19">
            <v>0</v>
          </cell>
        </row>
        <row r="20">
          <cell r="AG20">
            <v>0</v>
          </cell>
        </row>
        <row r="21">
          <cell r="AG21">
            <v>0</v>
          </cell>
        </row>
        <row r="22">
          <cell r="AG22">
            <v>0</v>
          </cell>
        </row>
        <row r="23">
          <cell r="AG23">
            <v>0</v>
          </cell>
        </row>
        <row r="24">
          <cell r="AG24">
            <v>0</v>
          </cell>
        </row>
        <row r="25">
          <cell r="AG25">
            <v>0</v>
          </cell>
        </row>
        <row r="26">
          <cell r="AG26">
            <v>0</v>
          </cell>
        </row>
        <row r="27">
          <cell r="AG27">
            <v>0</v>
          </cell>
        </row>
        <row r="28">
          <cell r="AG28">
            <v>0</v>
          </cell>
        </row>
        <row r="29">
          <cell r="AG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9" Type="http://schemas.openxmlformats.org/officeDocument/2006/relationships/ctrlProp" Target="../ctrlProps/ctrlProp82.x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42" Type="http://schemas.openxmlformats.org/officeDocument/2006/relationships/ctrlProp" Target="../ctrlProps/ctrlProp85.xml"/><Relationship Id="rId47" Type="http://schemas.openxmlformats.org/officeDocument/2006/relationships/ctrlProp" Target="../ctrlProps/ctrlProp90.xml"/><Relationship Id="rId7" Type="http://schemas.openxmlformats.org/officeDocument/2006/relationships/ctrlProp" Target="../ctrlProps/ctrlProp5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9" Type="http://schemas.openxmlformats.org/officeDocument/2006/relationships/ctrlProp" Target="../ctrlProps/ctrlProp72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37" Type="http://schemas.openxmlformats.org/officeDocument/2006/relationships/ctrlProp" Target="../ctrlProps/ctrlProp80.xml"/><Relationship Id="rId40" Type="http://schemas.openxmlformats.org/officeDocument/2006/relationships/ctrlProp" Target="../ctrlProps/ctrlProp83.xml"/><Relationship Id="rId45" Type="http://schemas.openxmlformats.org/officeDocument/2006/relationships/ctrlProp" Target="../ctrlProps/ctrlProp88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49" Type="http://schemas.openxmlformats.org/officeDocument/2006/relationships/ctrlProp" Target="../ctrlProps/ctrlProp92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4" Type="http://schemas.openxmlformats.org/officeDocument/2006/relationships/ctrlProp" Target="../ctrlProps/ctrlProp87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43" Type="http://schemas.openxmlformats.org/officeDocument/2006/relationships/ctrlProp" Target="../ctrlProps/ctrlProp86.xml"/><Relationship Id="rId48" Type="http://schemas.openxmlformats.org/officeDocument/2006/relationships/ctrlProp" Target="../ctrlProps/ctrlProp91.xml"/><Relationship Id="rId8" Type="http://schemas.openxmlformats.org/officeDocument/2006/relationships/ctrlProp" Target="../ctrlProps/ctrlProp51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38" Type="http://schemas.openxmlformats.org/officeDocument/2006/relationships/ctrlProp" Target="../ctrlProps/ctrlProp81.xml"/><Relationship Id="rId46" Type="http://schemas.openxmlformats.org/officeDocument/2006/relationships/ctrlProp" Target="../ctrlProps/ctrlProp89.xml"/><Relationship Id="rId20" Type="http://schemas.openxmlformats.org/officeDocument/2006/relationships/ctrlProp" Target="../ctrlProps/ctrlProp63.xml"/><Relationship Id="rId41" Type="http://schemas.openxmlformats.org/officeDocument/2006/relationships/ctrlProp" Target="../ctrlProps/ctrlProp8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2.xml"/><Relationship Id="rId18" Type="http://schemas.openxmlformats.org/officeDocument/2006/relationships/ctrlProp" Target="../ctrlProps/ctrlProp107.xml"/><Relationship Id="rId26" Type="http://schemas.openxmlformats.org/officeDocument/2006/relationships/ctrlProp" Target="../ctrlProps/ctrlProp115.xml"/><Relationship Id="rId39" Type="http://schemas.openxmlformats.org/officeDocument/2006/relationships/ctrlProp" Target="../ctrlProps/ctrlProp128.xml"/><Relationship Id="rId21" Type="http://schemas.openxmlformats.org/officeDocument/2006/relationships/ctrlProp" Target="../ctrlProps/ctrlProp110.xml"/><Relationship Id="rId34" Type="http://schemas.openxmlformats.org/officeDocument/2006/relationships/ctrlProp" Target="../ctrlProps/ctrlProp123.xml"/><Relationship Id="rId42" Type="http://schemas.openxmlformats.org/officeDocument/2006/relationships/ctrlProp" Target="../ctrlProps/ctrlProp131.xml"/><Relationship Id="rId47" Type="http://schemas.openxmlformats.org/officeDocument/2006/relationships/ctrlProp" Target="../ctrlProps/ctrlProp136.xml"/><Relationship Id="rId7" Type="http://schemas.openxmlformats.org/officeDocument/2006/relationships/ctrlProp" Target="../ctrlProps/ctrlProp9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05.xml"/><Relationship Id="rId29" Type="http://schemas.openxmlformats.org/officeDocument/2006/relationships/ctrlProp" Target="../ctrlProps/ctrlProp118.xml"/><Relationship Id="rId11" Type="http://schemas.openxmlformats.org/officeDocument/2006/relationships/ctrlProp" Target="../ctrlProps/ctrlProp100.xml"/><Relationship Id="rId24" Type="http://schemas.openxmlformats.org/officeDocument/2006/relationships/ctrlProp" Target="../ctrlProps/ctrlProp113.xml"/><Relationship Id="rId32" Type="http://schemas.openxmlformats.org/officeDocument/2006/relationships/ctrlProp" Target="../ctrlProps/ctrlProp121.xml"/><Relationship Id="rId37" Type="http://schemas.openxmlformats.org/officeDocument/2006/relationships/ctrlProp" Target="../ctrlProps/ctrlProp126.xml"/><Relationship Id="rId40" Type="http://schemas.openxmlformats.org/officeDocument/2006/relationships/ctrlProp" Target="../ctrlProps/ctrlProp129.xml"/><Relationship Id="rId45" Type="http://schemas.openxmlformats.org/officeDocument/2006/relationships/ctrlProp" Target="../ctrlProps/ctrlProp134.xml"/><Relationship Id="rId5" Type="http://schemas.openxmlformats.org/officeDocument/2006/relationships/ctrlProp" Target="../ctrlProps/ctrlProp94.xml"/><Relationship Id="rId15" Type="http://schemas.openxmlformats.org/officeDocument/2006/relationships/ctrlProp" Target="../ctrlProps/ctrlProp104.xml"/><Relationship Id="rId23" Type="http://schemas.openxmlformats.org/officeDocument/2006/relationships/ctrlProp" Target="../ctrlProps/ctrlProp112.xml"/><Relationship Id="rId28" Type="http://schemas.openxmlformats.org/officeDocument/2006/relationships/ctrlProp" Target="../ctrlProps/ctrlProp117.xml"/><Relationship Id="rId36" Type="http://schemas.openxmlformats.org/officeDocument/2006/relationships/ctrlProp" Target="../ctrlProps/ctrlProp125.xml"/><Relationship Id="rId49" Type="http://schemas.openxmlformats.org/officeDocument/2006/relationships/ctrlProp" Target="../ctrlProps/ctrlProp138.xml"/><Relationship Id="rId10" Type="http://schemas.openxmlformats.org/officeDocument/2006/relationships/ctrlProp" Target="../ctrlProps/ctrlProp99.xml"/><Relationship Id="rId19" Type="http://schemas.openxmlformats.org/officeDocument/2006/relationships/ctrlProp" Target="../ctrlProps/ctrlProp108.xml"/><Relationship Id="rId31" Type="http://schemas.openxmlformats.org/officeDocument/2006/relationships/ctrlProp" Target="../ctrlProps/ctrlProp120.xml"/><Relationship Id="rId44" Type="http://schemas.openxmlformats.org/officeDocument/2006/relationships/ctrlProp" Target="../ctrlProps/ctrlProp133.xml"/><Relationship Id="rId4" Type="http://schemas.openxmlformats.org/officeDocument/2006/relationships/ctrlProp" Target="../ctrlProps/ctrlProp93.xml"/><Relationship Id="rId9" Type="http://schemas.openxmlformats.org/officeDocument/2006/relationships/ctrlProp" Target="../ctrlProps/ctrlProp98.xml"/><Relationship Id="rId14" Type="http://schemas.openxmlformats.org/officeDocument/2006/relationships/ctrlProp" Target="../ctrlProps/ctrlProp103.xml"/><Relationship Id="rId22" Type="http://schemas.openxmlformats.org/officeDocument/2006/relationships/ctrlProp" Target="../ctrlProps/ctrlProp111.xml"/><Relationship Id="rId27" Type="http://schemas.openxmlformats.org/officeDocument/2006/relationships/ctrlProp" Target="../ctrlProps/ctrlProp116.xml"/><Relationship Id="rId30" Type="http://schemas.openxmlformats.org/officeDocument/2006/relationships/ctrlProp" Target="../ctrlProps/ctrlProp119.xml"/><Relationship Id="rId35" Type="http://schemas.openxmlformats.org/officeDocument/2006/relationships/ctrlProp" Target="../ctrlProps/ctrlProp124.xml"/><Relationship Id="rId43" Type="http://schemas.openxmlformats.org/officeDocument/2006/relationships/ctrlProp" Target="../ctrlProps/ctrlProp132.xml"/><Relationship Id="rId48" Type="http://schemas.openxmlformats.org/officeDocument/2006/relationships/ctrlProp" Target="../ctrlProps/ctrlProp137.xml"/><Relationship Id="rId8" Type="http://schemas.openxmlformats.org/officeDocument/2006/relationships/ctrlProp" Target="../ctrlProps/ctrlProp97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01.xml"/><Relationship Id="rId17" Type="http://schemas.openxmlformats.org/officeDocument/2006/relationships/ctrlProp" Target="../ctrlProps/ctrlProp106.xml"/><Relationship Id="rId25" Type="http://schemas.openxmlformats.org/officeDocument/2006/relationships/ctrlProp" Target="../ctrlProps/ctrlProp114.xml"/><Relationship Id="rId33" Type="http://schemas.openxmlformats.org/officeDocument/2006/relationships/ctrlProp" Target="../ctrlProps/ctrlProp122.xml"/><Relationship Id="rId38" Type="http://schemas.openxmlformats.org/officeDocument/2006/relationships/ctrlProp" Target="../ctrlProps/ctrlProp127.xml"/><Relationship Id="rId46" Type="http://schemas.openxmlformats.org/officeDocument/2006/relationships/ctrlProp" Target="../ctrlProps/ctrlProp135.xml"/><Relationship Id="rId20" Type="http://schemas.openxmlformats.org/officeDocument/2006/relationships/ctrlProp" Target="../ctrlProps/ctrlProp109.xml"/><Relationship Id="rId41" Type="http://schemas.openxmlformats.org/officeDocument/2006/relationships/ctrlProp" Target="../ctrlProps/ctrlProp130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5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48.xml"/><Relationship Id="rId18" Type="http://schemas.openxmlformats.org/officeDocument/2006/relationships/ctrlProp" Target="../ctrlProps/ctrlProp153.xml"/><Relationship Id="rId26" Type="http://schemas.openxmlformats.org/officeDocument/2006/relationships/ctrlProp" Target="../ctrlProps/ctrlProp161.xml"/><Relationship Id="rId39" Type="http://schemas.openxmlformats.org/officeDocument/2006/relationships/ctrlProp" Target="../ctrlProps/ctrlProp174.xml"/><Relationship Id="rId21" Type="http://schemas.openxmlformats.org/officeDocument/2006/relationships/ctrlProp" Target="../ctrlProps/ctrlProp156.xml"/><Relationship Id="rId34" Type="http://schemas.openxmlformats.org/officeDocument/2006/relationships/ctrlProp" Target="../ctrlProps/ctrlProp169.xml"/><Relationship Id="rId42" Type="http://schemas.openxmlformats.org/officeDocument/2006/relationships/ctrlProp" Target="../ctrlProps/ctrlProp177.xml"/><Relationship Id="rId47" Type="http://schemas.openxmlformats.org/officeDocument/2006/relationships/ctrlProp" Target="../ctrlProps/ctrlProp182.xml"/><Relationship Id="rId7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51.xml"/><Relationship Id="rId29" Type="http://schemas.openxmlformats.org/officeDocument/2006/relationships/ctrlProp" Target="../ctrlProps/ctrlProp164.xml"/><Relationship Id="rId11" Type="http://schemas.openxmlformats.org/officeDocument/2006/relationships/ctrlProp" Target="../ctrlProps/ctrlProp146.xml"/><Relationship Id="rId24" Type="http://schemas.openxmlformats.org/officeDocument/2006/relationships/ctrlProp" Target="../ctrlProps/ctrlProp159.xml"/><Relationship Id="rId32" Type="http://schemas.openxmlformats.org/officeDocument/2006/relationships/ctrlProp" Target="../ctrlProps/ctrlProp167.xml"/><Relationship Id="rId37" Type="http://schemas.openxmlformats.org/officeDocument/2006/relationships/ctrlProp" Target="../ctrlProps/ctrlProp172.xml"/><Relationship Id="rId40" Type="http://schemas.openxmlformats.org/officeDocument/2006/relationships/ctrlProp" Target="../ctrlProps/ctrlProp175.xml"/><Relationship Id="rId45" Type="http://schemas.openxmlformats.org/officeDocument/2006/relationships/ctrlProp" Target="../ctrlProps/ctrlProp180.xml"/><Relationship Id="rId5" Type="http://schemas.openxmlformats.org/officeDocument/2006/relationships/ctrlProp" Target="../ctrlProps/ctrlProp140.xml"/><Relationship Id="rId15" Type="http://schemas.openxmlformats.org/officeDocument/2006/relationships/ctrlProp" Target="../ctrlProps/ctrlProp150.xml"/><Relationship Id="rId23" Type="http://schemas.openxmlformats.org/officeDocument/2006/relationships/ctrlProp" Target="../ctrlProps/ctrlProp158.xml"/><Relationship Id="rId28" Type="http://schemas.openxmlformats.org/officeDocument/2006/relationships/ctrlProp" Target="../ctrlProps/ctrlProp163.xml"/><Relationship Id="rId36" Type="http://schemas.openxmlformats.org/officeDocument/2006/relationships/ctrlProp" Target="../ctrlProps/ctrlProp171.xml"/><Relationship Id="rId49" Type="http://schemas.openxmlformats.org/officeDocument/2006/relationships/ctrlProp" Target="../ctrlProps/ctrlProp184.xml"/><Relationship Id="rId10" Type="http://schemas.openxmlformats.org/officeDocument/2006/relationships/ctrlProp" Target="../ctrlProps/ctrlProp145.xml"/><Relationship Id="rId19" Type="http://schemas.openxmlformats.org/officeDocument/2006/relationships/ctrlProp" Target="../ctrlProps/ctrlProp154.xml"/><Relationship Id="rId31" Type="http://schemas.openxmlformats.org/officeDocument/2006/relationships/ctrlProp" Target="../ctrlProps/ctrlProp166.xml"/><Relationship Id="rId44" Type="http://schemas.openxmlformats.org/officeDocument/2006/relationships/ctrlProp" Target="../ctrlProps/ctrlProp179.xml"/><Relationship Id="rId4" Type="http://schemas.openxmlformats.org/officeDocument/2006/relationships/ctrlProp" Target="../ctrlProps/ctrlProp139.xml"/><Relationship Id="rId9" Type="http://schemas.openxmlformats.org/officeDocument/2006/relationships/ctrlProp" Target="../ctrlProps/ctrlProp144.xml"/><Relationship Id="rId14" Type="http://schemas.openxmlformats.org/officeDocument/2006/relationships/ctrlProp" Target="../ctrlProps/ctrlProp149.xml"/><Relationship Id="rId22" Type="http://schemas.openxmlformats.org/officeDocument/2006/relationships/ctrlProp" Target="../ctrlProps/ctrlProp157.xml"/><Relationship Id="rId27" Type="http://schemas.openxmlformats.org/officeDocument/2006/relationships/ctrlProp" Target="../ctrlProps/ctrlProp162.xml"/><Relationship Id="rId30" Type="http://schemas.openxmlformats.org/officeDocument/2006/relationships/ctrlProp" Target="../ctrlProps/ctrlProp165.xml"/><Relationship Id="rId35" Type="http://schemas.openxmlformats.org/officeDocument/2006/relationships/ctrlProp" Target="../ctrlProps/ctrlProp170.xml"/><Relationship Id="rId43" Type="http://schemas.openxmlformats.org/officeDocument/2006/relationships/ctrlProp" Target="../ctrlProps/ctrlProp178.xml"/><Relationship Id="rId48" Type="http://schemas.openxmlformats.org/officeDocument/2006/relationships/ctrlProp" Target="../ctrlProps/ctrlProp183.xml"/><Relationship Id="rId8" Type="http://schemas.openxmlformats.org/officeDocument/2006/relationships/ctrlProp" Target="../ctrlProps/ctrlProp143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147.xml"/><Relationship Id="rId17" Type="http://schemas.openxmlformats.org/officeDocument/2006/relationships/ctrlProp" Target="../ctrlProps/ctrlProp152.xml"/><Relationship Id="rId25" Type="http://schemas.openxmlformats.org/officeDocument/2006/relationships/ctrlProp" Target="../ctrlProps/ctrlProp160.xml"/><Relationship Id="rId33" Type="http://schemas.openxmlformats.org/officeDocument/2006/relationships/ctrlProp" Target="../ctrlProps/ctrlProp168.xml"/><Relationship Id="rId38" Type="http://schemas.openxmlformats.org/officeDocument/2006/relationships/ctrlProp" Target="../ctrlProps/ctrlProp173.xml"/><Relationship Id="rId46" Type="http://schemas.openxmlformats.org/officeDocument/2006/relationships/ctrlProp" Target="../ctrlProps/ctrlProp181.xml"/><Relationship Id="rId20" Type="http://schemas.openxmlformats.org/officeDocument/2006/relationships/ctrlProp" Target="../ctrlProps/ctrlProp155.xml"/><Relationship Id="rId41" Type="http://schemas.openxmlformats.org/officeDocument/2006/relationships/ctrlProp" Target="../ctrlProps/ctrlProp176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4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94.xml"/><Relationship Id="rId18" Type="http://schemas.openxmlformats.org/officeDocument/2006/relationships/ctrlProp" Target="../ctrlProps/ctrlProp199.xml"/><Relationship Id="rId26" Type="http://schemas.openxmlformats.org/officeDocument/2006/relationships/ctrlProp" Target="../ctrlProps/ctrlProp207.xml"/><Relationship Id="rId39" Type="http://schemas.openxmlformats.org/officeDocument/2006/relationships/ctrlProp" Target="../ctrlProps/ctrlProp220.xml"/><Relationship Id="rId21" Type="http://schemas.openxmlformats.org/officeDocument/2006/relationships/ctrlProp" Target="../ctrlProps/ctrlProp202.xml"/><Relationship Id="rId34" Type="http://schemas.openxmlformats.org/officeDocument/2006/relationships/ctrlProp" Target="../ctrlProps/ctrlProp215.xml"/><Relationship Id="rId42" Type="http://schemas.openxmlformats.org/officeDocument/2006/relationships/ctrlProp" Target="../ctrlProps/ctrlProp223.xml"/><Relationship Id="rId47" Type="http://schemas.openxmlformats.org/officeDocument/2006/relationships/ctrlProp" Target="../ctrlProps/ctrlProp228.xml"/><Relationship Id="rId7" Type="http://schemas.openxmlformats.org/officeDocument/2006/relationships/ctrlProp" Target="../ctrlProps/ctrlProp188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97.xml"/><Relationship Id="rId29" Type="http://schemas.openxmlformats.org/officeDocument/2006/relationships/ctrlProp" Target="../ctrlProps/ctrlProp210.xml"/><Relationship Id="rId11" Type="http://schemas.openxmlformats.org/officeDocument/2006/relationships/ctrlProp" Target="../ctrlProps/ctrlProp192.xml"/><Relationship Id="rId24" Type="http://schemas.openxmlformats.org/officeDocument/2006/relationships/ctrlProp" Target="../ctrlProps/ctrlProp205.xml"/><Relationship Id="rId32" Type="http://schemas.openxmlformats.org/officeDocument/2006/relationships/ctrlProp" Target="../ctrlProps/ctrlProp213.xml"/><Relationship Id="rId37" Type="http://schemas.openxmlformats.org/officeDocument/2006/relationships/ctrlProp" Target="../ctrlProps/ctrlProp218.xml"/><Relationship Id="rId40" Type="http://schemas.openxmlformats.org/officeDocument/2006/relationships/ctrlProp" Target="../ctrlProps/ctrlProp221.xml"/><Relationship Id="rId45" Type="http://schemas.openxmlformats.org/officeDocument/2006/relationships/ctrlProp" Target="../ctrlProps/ctrlProp226.xml"/><Relationship Id="rId5" Type="http://schemas.openxmlformats.org/officeDocument/2006/relationships/ctrlProp" Target="../ctrlProps/ctrlProp186.xml"/><Relationship Id="rId15" Type="http://schemas.openxmlformats.org/officeDocument/2006/relationships/ctrlProp" Target="../ctrlProps/ctrlProp196.xml"/><Relationship Id="rId23" Type="http://schemas.openxmlformats.org/officeDocument/2006/relationships/ctrlProp" Target="../ctrlProps/ctrlProp204.xml"/><Relationship Id="rId28" Type="http://schemas.openxmlformats.org/officeDocument/2006/relationships/ctrlProp" Target="../ctrlProps/ctrlProp209.xml"/><Relationship Id="rId36" Type="http://schemas.openxmlformats.org/officeDocument/2006/relationships/ctrlProp" Target="../ctrlProps/ctrlProp217.xml"/><Relationship Id="rId49" Type="http://schemas.openxmlformats.org/officeDocument/2006/relationships/ctrlProp" Target="../ctrlProps/ctrlProp230.xml"/><Relationship Id="rId10" Type="http://schemas.openxmlformats.org/officeDocument/2006/relationships/ctrlProp" Target="../ctrlProps/ctrlProp191.xml"/><Relationship Id="rId19" Type="http://schemas.openxmlformats.org/officeDocument/2006/relationships/ctrlProp" Target="../ctrlProps/ctrlProp200.xml"/><Relationship Id="rId31" Type="http://schemas.openxmlformats.org/officeDocument/2006/relationships/ctrlProp" Target="../ctrlProps/ctrlProp212.xml"/><Relationship Id="rId44" Type="http://schemas.openxmlformats.org/officeDocument/2006/relationships/ctrlProp" Target="../ctrlProps/ctrlProp225.xml"/><Relationship Id="rId4" Type="http://schemas.openxmlformats.org/officeDocument/2006/relationships/ctrlProp" Target="../ctrlProps/ctrlProp185.xml"/><Relationship Id="rId9" Type="http://schemas.openxmlformats.org/officeDocument/2006/relationships/ctrlProp" Target="../ctrlProps/ctrlProp190.xml"/><Relationship Id="rId14" Type="http://schemas.openxmlformats.org/officeDocument/2006/relationships/ctrlProp" Target="../ctrlProps/ctrlProp195.xml"/><Relationship Id="rId22" Type="http://schemas.openxmlformats.org/officeDocument/2006/relationships/ctrlProp" Target="../ctrlProps/ctrlProp203.xml"/><Relationship Id="rId27" Type="http://schemas.openxmlformats.org/officeDocument/2006/relationships/ctrlProp" Target="../ctrlProps/ctrlProp208.xml"/><Relationship Id="rId30" Type="http://schemas.openxmlformats.org/officeDocument/2006/relationships/ctrlProp" Target="../ctrlProps/ctrlProp211.xml"/><Relationship Id="rId35" Type="http://schemas.openxmlformats.org/officeDocument/2006/relationships/ctrlProp" Target="../ctrlProps/ctrlProp216.xml"/><Relationship Id="rId43" Type="http://schemas.openxmlformats.org/officeDocument/2006/relationships/ctrlProp" Target="../ctrlProps/ctrlProp224.xml"/><Relationship Id="rId48" Type="http://schemas.openxmlformats.org/officeDocument/2006/relationships/ctrlProp" Target="../ctrlProps/ctrlProp229.xml"/><Relationship Id="rId8" Type="http://schemas.openxmlformats.org/officeDocument/2006/relationships/ctrlProp" Target="../ctrlProps/ctrlProp189.xml"/><Relationship Id="rId3" Type="http://schemas.openxmlformats.org/officeDocument/2006/relationships/vmlDrawing" Target="../drawings/vmlDrawing5.vml"/><Relationship Id="rId12" Type="http://schemas.openxmlformats.org/officeDocument/2006/relationships/ctrlProp" Target="../ctrlProps/ctrlProp193.xml"/><Relationship Id="rId17" Type="http://schemas.openxmlformats.org/officeDocument/2006/relationships/ctrlProp" Target="../ctrlProps/ctrlProp198.xml"/><Relationship Id="rId25" Type="http://schemas.openxmlformats.org/officeDocument/2006/relationships/ctrlProp" Target="../ctrlProps/ctrlProp206.xml"/><Relationship Id="rId33" Type="http://schemas.openxmlformats.org/officeDocument/2006/relationships/ctrlProp" Target="../ctrlProps/ctrlProp214.xml"/><Relationship Id="rId38" Type="http://schemas.openxmlformats.org/officeDocument/2006/relationships/ctrlProp" Target="../ctrlProps/ctrlProp219.xml"/><Relationship Id="rId46" Type="http://schemas.openxmlformats.org/officeDocument/2006/relationships/ctrlProp" Target="../ctrlProps/ctrlProp227.xml"/><Relationship Id="rId20" Type="http://schemas.openxmlformats.org/officeDocument/2006/relationships/ctrlProp" Target="../ctrlProps/ctrlProp201.xml"/><Relationship Id="rId41" Type="http://schemas.openxmlformats.org/officeDocument/2006/relationships/ctrlProp" Target="../ctrlProps/ctrlProp222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87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40.xml"/><Relationship Id="rId18" Type="http://schemas.openxmlformats.org/officeDocument/2006/relationships/ctrlProp" Target="../ctrlProps/ctrlProp245.xml"/><Relationship Id="rId26" Type="http://schemas.openxmlformats.org/officeDocument/2006/relationships/ctrlProp" Target="../ctrlProps/ctrlProp253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248.xml"/><Relationship Id="rId34" Type="http://schemas.openxmlformats.org/officeDocument/2006/relationships/ctrlProp" Target="../ctrlProps/ctrlProp261.xml"/><Relationship Id="rId7" Type="http://schemas.openxmlformats.org/officeDocument/2006/relationships/ctrlProp" Target="../ctrlProps/ctrlProp234.xml"/><Relationship Id="rId12" Type="http://schemas.openxmlformats.org/officeDocument/2006/relationships/ctrlProp" Target="../ctrlProps/ctrlProp239.xml"/><Relationship Id="rId17" Type="http://schemas.openxmlformats.org/officeDocument/2006/relationships/ctrlProp" Target="../ctrlProps/ctrlProp244.xml"/><Relationship Id="rId25" Type="http://schemas.openxmlformats.org/officeDocument/2006/relationships/ctrlProp" Target="../ctrlProps/ctrlProp252.xml"/><Relationship Id="rId33" Type="http://schemas.openxmlformats.org/officeDocument/2006/relationships/ctrlProp" Target="../ctrlProps/ctrlProp260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243.xml"/><Relationship Id="rId20" Type="http://schemas.openxmlformats.org/officeDocument/2006/relationships/ctrlProp" Target="../ctrlProps/ctrlProp247.xml"/><Relationship Id="rId29" Type="http://schemas.openxmlformats.org/officeDocument/2006/relationships/ctrlProp" Target="../ctrlProps/ctrlProp25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233.xml"/><Relationship Id="rId11" Type="http://schemas.openxmlformats.org/officeDocument/2006/relationships/ctrlProp" Target="../ctrlProps/ctrlProp238.xml"/><Relationship Id="rId24" Type="http://schemas.openxmlformats.org/officeDocument/2006/relationships/ctrlProp" Target="../ctrlProps/ctrlProp251.xml"/><Relationship Id="rId32" Type="http://schemas.openxmlformats.org/officeDocument/2006/relationships/ctrlProp" Target="../ctrlProps/ctrlProp259.xml"/><Relationship Id="rId5" Type="http://schemas.openxmlformats.org/officeDocument/2006/relationships/ctrlProp" Target="../ctrlProps/ctrlProp232.xml"/><Relationship Id="rId15" Type="http://schemas.openxmlformats.org/officeDocument/2006/relationships/ctrlProp" Target="../ctrlProps/ctrlProp242.xml"/><Relationship Id="rId23" Type="http://schemas.openxmlformats.org/officeDocument/2006/relationships/ctrlProp" Target="../ctrlProps/ctrlProp250.xml"/><Relationship Id="rId28" Type="http://schemas.openxmlformats.org/officeDocument/2006/relationships/ctrlProp" Target="../ctrlProps/ctrlProp255.xml"/><Relationship Id="rId36" Type="http://schemas.openxmlformats.org/officeDocument/2006/relationships/ctrlProp" Target="../ctrlProps/ctrlProp263.xml"/><Relationship Id="rId10" Type="http://schemas.openxmlformats.org/officeDocument/2006/relationships/ctrlProp" Target="../ctrlProps/ctrlProp237.xml"/><Relationship Id="rId19" Type="http://schemas.openxmlformats.org/officeDocument/2006/relationships/ctrlProp" Target="../ctrlProps/ctrlProp246.xml"/><Relationship Id="rId31" Type="http://schemas.openxmlformats.org/officeDocument/2006/relationships/ctrlProp" Target="../ctrlProps/ctrlProp258.xml"/><Relationship Id="rId4" Type="http://schemas.openxmlformats.org/officeDocument/2006/relationships/ctrlProp" Target="../ctrlProps/ctrlProp231.xml"/><Relationship Id="rId9" Type="http://schemas.openxmlformats.org/officeDocument/2006/relationships/ctrlProp" Target="../ctrlProps/ctrlProp236.xml"/><Relationship Id="rId14" Type="http://schemas.openxmlformats.org/officeDocument/2006/relationships/ctrlProp" Target="../ctrlProps/ctrlProp241.xml"/><Relationship Id="rId22" Type="http://schemas.openxmlformats.org/officeDocument/2006/relationships/ctrlProp" Target="../ctrlProps/ctrlProp249.xml"/><Relationship Id="rId27" Type="http://schemas.openxmlformats.org/officeDocument/2006/relationships/ctrlProp" Target="../ctrlProps/ctrlProp254.xml"/><Relationship Id="rId30" Type="http://schemas.openxmlformats.org/officeDocument/2006/relationships/ctrlProp" Target="../ctrlProps/ctrlProp257.xml"/><Relationship Id="rId35" Type="http://schemas.openxmlformats.org/officeDocument/2006/relationships/ctrlProp" Target="../ctrlProps/ctrlProp262.xml"/><Relationship Id="rId8" Type="http://schemas.openxmlformats.org/officeDocument/2006/relationships/ctrlProp" Target="../ctrlProps/ctrlProp235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73.xml"/><Relationship Id="rId18" Type="http://schemas.openxmlformats.org/officeDocument/2006/relationships/ctrlProp" Target="../ctrlProps/ctrlProp278.xml"/><Relationship Id="rId26" Type="http://schemas.openxmlformats.org/officeDocument/2006/relationships/ctrlProp" Target="../ctrlProps/ctrlProp286.xml"/><Relationship Id="rId39" Type="http://schemas.openxmlformats.org/officeDocument/2006/relationships/ctrlProp" Target="../ctrlProps/ctrlProp299.xml"/><Relationship Id="rId21" Type="http://schemas.openxmlformats.org/officeDocument/2006/relationships/ctrlProp" Target="../ctrlProps/ctrlProp281.xml"/><Relationship Id="rId34" Type="http://schemas.openxmlformats.org/officeDocument/2006/relationships/ctrlProp" Target="../ctrlProps/ctrlProp294.xml"/><Relationship Id="rId42" Type="http://schemas.openxmlformats.org/officeDocument/2006/relationships/ctrlProp" Target="../ctrlProps/ctrlProp302.xml"/><Relationship Id="rId47" Type="http://schemas.openxmlformats.org/officeDocument/2006/relationships/ctrlProp" Target="../ctrlProps/ctrlProp307.xml"/><Relationship Id="rId7" Type="http://schemas.openxmlformats.org/officeDocument/2006/relationships/ctrlProp" Target="../ctrlProps/ctrlProp267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276.xml"/><Relationship Id="rId29" Type="http://schemas.openxmlformats.org/officeDocument/2006/relationships/ctrlProp" Target="../ctrlProps/ctrlProp289.xml"/><Relationship Id="rId11" Type="http://schemas.openxmlformats.org/officeDocument/2006/relationships/ctrlProp" Target="../ctrlProps/ctrlProp271.xml"/><Relationship Id="rId24" Type="http://schemas.openxmlformats.org/officeDocument/2006/relationships/ctrlProp" Target="../ctrlProps/ctrlProp284.xml"/><Relationship Id="rId32" Type="http://schemas.openxmlformats.org/officeDocument/2006/relationships/ctrlProp" Target="../ctrlProps/ctrlProp292.xml"/><Relationship Id="rId37" Type="http://schemas.openxmlformats.org/officeDocument/2006/relationships/ctrlProp" Target="../ctrlProps/ctrlProp297.xml"/><Relationship Id="rId40" Type="http://schemas.openxmlformats.org/officeDocument/2006/relationships/ctrlProp" Target="../ctrlProps/ctrlProp300.xml"/><Relationship Id="rId45" Type="http://schemas.openxmlformats.org/officeDocument/2006/relationships/ctrlProp" Target="../ctrlProps/ctrlProp305.xml"/><Relationship Id="rId5" Type="http://schemas.openxmlformats.org/officeDocument/2006/relationships/ctrlProp" Target="../ctrlProps/ctrlProp265.xml"/><Relationship Id="rId15" Type="http://schemas.openxmlformats.org/officeDocument/2006/relationships/ctrlProp" Target="../ctrlProps/ctrlProp275.xml"/><Relationship Id="rId23" Type="http://schemas.openxmlformats.org/officeDocument/2006/relationships/ctrlProp" Target="../ctrlProps/ctrlProp283.xml"/><Relationship Id="rId28" Type="http://schemas.openxmlformats.org/officeDocument/2006/relationships/ctrlProp" Target="../ctrlProps/ctrlProp288.xml"/><Relationship Id="rId36" Type="http://schemas.openxmlformats.org/officeDocument/2006/relationships/ctrlProp" Target="../ctrlProps/ctrlProp296.xml"/><Relationship Id="rId49" Type="http://schemas.openxmlformats.org/officeDocument/2006/relationships/ctrlProp" Target="../ctrlProps/ctrlProp309.xml"/><Relationship Id="rId10" Type="http://schemas.openxmlformats.org/officeDocument/2006/relationships/ctrlProp" Target="../ctrlProps/ctrlProp270.xml"/><Relationship Id="rId19" Type="http://schemas.openxmlformats.org/officeDocument/2006/relationships/ctrlProp" Target="../ctrlProps/ctrlProp279.xml"/><Relationship Id="rId31" Type="http://schemas.openxmlformats.org/officeDocument/2006/relationships/ctrlProp" Target="../ctrlProps/ctrlProp291.xml"/><Relationship Id="rId44" Type="http://schemas.openxmlformats.org/officeDocument/2006/relationships/ctrlProp" Target="../ctrlProps/ctrlProp304.xml"/><Relationship Id="rId4" Type="http://schemas.openxmlformats.org/officeDocument/2006/relationships/ctrlProp" Target="../ctrlProps/ctrlProp264.xml"/><Relationship Id="rId9" Type="http://schemas.openxmlformats.org/officeDocument/2006/relationships/ctrlProp" Target="../ctrlProps/ctrlProp269.xml"/><Relationship Id="rId14" Type="http://schemas.openxmlformats.org/officeDocument/2006/relationships/ctrlProp" Target="../ctrlProps/ctrlProp274.xml"/><Relationship Id="rId22" Type="http://schemas.openxmlformats.org/officeDocument/2006/relationships/ctrlProp" Target="../ctrlProps/ctrlProp282.xml"/><Relationship Id="rId27" Type="http://schemas.openxmlformats.org/officeDocument/2006/relationships/ctrlProp" Target="../ctrlProps/ctrlProp287.xml"/><Relationship Id="rId30" Type="http://schemas.openxmlformats.org/officeDocument/2006/relationships/ctrlProp" Target="../ctrlProps/ctrlProp290.xml"/><Relationship Id="rId35" Type="http://schemas.openxmlformats.org/officeDocument/2006/relationships/ctrlProp" Target="../ctrlProps/ctrlProp295.xml"/><Relationship Id="rId43" Type="http://schemas.openxmlformats.org/officeDocument/2006/relationships/ctrlProp" Target="../ctrlProps/ctrlProp303.xml"/><Relationship Id="rId48" Type="http://schemas.openxmlformats.org/officeDocument/2006/relationships/ctrlProp" Target="../ctrlProps/ctrlProp308.xml"/><Relationship Id="rId8" Type="http://schemas.openxmlformats.org/officeDocument/2006/relationships/ctrlProp" Target="../ctrlProps/ctrlProp268.xml"/><Relationship Id="rId3" Type="http://schemas.openxmlformats.org/officeDocument/2006/relationships/vmlDrawing" Target="../drawings/vmlDrawing7.vml"/><Relationship Id="rId12" Type="http://schemas.openxmlformats.org/officeDocument/2006/relationships/ctrlProp" Target="../ctrlProps/ctrlProp272.xml"/><Relationship Id="rId17" Type="http://schemas.openxmlformats.org/officeDocument/2006/relationships/ctrlProp" Target="../ctrlProps/ctrlProp277.xml"/><Relationship Id="rId25" Type="http://schemas.openxmlformats.org/officeDocument/2006/relationships/ctrlProp" Target="../ctrlProps/ctrlProp285.xml"/><Relationship Id="rId33" Type="http://schemas.openxmlformats.org/officeDocument/2006/relationships/ctrlProp" Target="../ctrlProps/ctrlProp293.xml"/><Relationship Id="rId38" Type="http://schemas.openxmlformats.org/officeDocument/2006/relationships/ctrlProp" Target="../ctrlProps/ctrlProp298.xml"/><Relationship Id="rId46" Type="http://schemas.openxmlformats.org/officeDocument/2006/relationships/ctrlProp" Target="../ctrlProps/ctrlProp306.xml"/><Relationship Id="rId20" Type="http://schemas.openxmlformats.org/officeDocument/2006/relationships/ctrlProp" Target="../ctrlProps/ctrlProp280.xml"/><Relationship Id="rId41" Type="http://schemas.openxmlformats.org/officeDocument/2006/relationships/ctrlProp" Target="../ctrlProps/ctrlProp301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26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opLeftCell="A10" workbookViewId="0">
      <selection activeCell="B34" sqref="B34:S34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0" t="s">
        <v>72</v>
      </c>
      <c r="N2" s="200"/>
      <c r="O2" s="200"/>
      <c r="P2" s="200"/>
      <c r="Q2" s="200"/>
      <c r="R2" s="200"/>
      <c r="W2" s="4"/>
      <c r="X2" s="4"/>
      <c r="Y2" s="4"/>
      <c r="Z2" s="4"/>
      <c r="AA2" s="167" t="s">
        <v>42</v>
      </c>
      <c r="AB2" s="167"/>
      <c r="AC2" s="167"/>
      <c r="AD2" s="167"/>
      <c r="AE2" s="167"/>
      <c r="AF2" s="167"/>
      <c r="AG2" s="167"/>
      <c r="AH2" s="167"/>
      <c r="AI2" s="167"/>
      <c r="AJ2" s="167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2" t="s">
        <v>95</v>
      </c>
      <c r="F3" s="192"/>
      <c r="G3" s="192"/>
      <c r="H3" s="192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L3" s="5" t="s">
        <v>0</v>
      </c>
      <c r="AM3" s="5"/>
      <c r="AN3" s="188" t="s">
        <v>109</v>
      </c>
      <c r="AO3" s="188"/>
      <c r="AP3" s="188"/>
      <c r="AQ3" s="188"/>
      <c r="AR3" s="188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0" t="s">
        <v>96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0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1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87</v>
      </c>
      <c r="AH6" s="12"/>
      <c r="AI6" s="196">
        <v>7</v>
      </c>
      <c r="AJ6" s="196"/>
      <c r="AK6" s="196"/>
      <c r="AL6" s="9" t="s">
        <v>1</v>
      </c>
      <c r="AM6" s="196">
        <v>3</v>
      </c>
      <c r="AN6" s="196"/>
      <c r="AO6" s="9" t="s">
        <v>2</v>
      </c>
      <c r="AP6" s="196">
        <v>19</v>
      </c>
      <c r="AQ6" s="196"/>
      <c r="AR6" s="30" t="s">
        <v>83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4" t="s">
        <v>97</v>
      </c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3" t="s">
        <v>50</v>
      </c>
      <c r="U7" s="193"/>
      <c r="V7" s="19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3"/>
      <c r="U8" s="193"/>
      <c r="V8" s="19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73" t="s">
        <v>93</v>
      </c>
      <c r="E11" s="68"/>
      <c r="F11" s="68"/>
      <c r="G11" s="68"/>
      <c r="H11" s="203" t="s">
        <v>98</v>
      </c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73" t="s">
        <v>94</v>
      </c>
      <c r="E13" s="68"/>
      <c r="F13" s="68"/>
      <c r="G13" s="68"/>
      <c r="H13" s="177" t="s">
        <v>99</v>
      </c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68"/>
      <c r="Z13" s="72"/>
      <c r="AB13" s="178" t="s">
        <v>52</v>
      </c>
      <c r="AC13" s="178"/>
      <c r="AD13" s="178"/>
      <c r="AE13" s="179" t="s">
        <v>75</v>
      </c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89</v>
      </c>
      <c r="E15" s="68"/>
      <c r="F15" s="68"/>
      <c r="G15" s="68"/>
      <c r="I15" s="75" t="s">
        <v>90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B15" s="180" t="s">
        <v>53</v>
      </c>
      <c r="AC15" s="180"/>
      <c r="AD15" s="180"/>
      <c r="AE15" s="179" t="s">
        <v>76</v>
      </c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88"/>
      <c r="K17" s="188"/>
      <c r="L17" s="188"/>
      <c r="M17" s="5"/>
      <c r="N17" s="188"/>
      <c r="O17" s="188"/>
      <c r="P17" s="5"/>
      <c r="Q17" s="188"/>
      <c r="R17" s="188"/>
      <c r="S17" s="5"/>
      <c r="T17" s="5"/>
      <c r="U17" s="5"/>
      <c r="AB17" s="73" t="s">
        <v>4</v>
      </c>
      <c r="AC17" s="73"/>
      <c r="AD17" s="73"/>
      <c r="AE17" s="73"/>
      <c r="AF17" s="177" t="s">
        <v>84</v>
      </c>
      <c r="AG17" s="177"/>
      <c r="AH17" s="177"/>
      <c r="AI17" s="177"/>
      <c r="AJ17" s="177"/>
      <c r="AK17" s="177"/>
      <c r="AL17" s="177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B19" s="72"/>
      <c r="J19" s="77">
        <f>H39</f>
        <v>237754</v>
      </c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AB19" s="168"/>
      <c r="AC19" s="169"/>
      <c r="AD19" s="169"/>
      <c r="AE19" s="169"/>
      <c r="AF19" s="170"/>
      <c r="AG19" s="168"/>
      <c r="AH19" s="169"/>
      <c r="AI19" s="169"/>
      <c r="AJ19" s="169"/>
      <c r="AK19" s="170"/>
      <c r="AL19" s="168"/>
      <c r="AM19" s="169"/>
      <c r="AN19" s="169"/>
      <c r="AO19" s="169"/>
      <c r="AP19" s="170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B20" s="72"/>
      <c r="D20" s="167" t="s">
        <v>85</v>
      </c>
      <c r="E20" s="167"/>
      <c r="F20" s="167"/>
      <c r="G20" s="167"/>
      <c r="H20" s="167"/>
      <c r="I20" s="167"/>
      <c r="J20" s="198">
        <f>H39</f>
        <v>237754</v>
      </c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AB20" s="171"/>
      <c r="AC20" s="172"/>
      <c r="AD20" s="172"/>
      <c r="AE20" s="172"/>
      <c r="AF20" s="173"/>
      <c r="AG20" s="171"/>
      <c r="AH20" s="172"/>
      <c r="AI20" s="172"/>
      <c r="AJ20" s="172"/>
      <c r="AK20" s="173"/>
      <c r="AL20" s="171"/>
      <c r="AM20" s="172"/>
      <c r="AN20" s="172"/>
      <c r="AO20" s="172"/>
      <c r="AP20" s="173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B21" s="72"/>
      <c r="D21" s="189"/>
      <c r="E21" s="189"/>
      <c r="F21" s="189"/>
      <c r="G21" s="189"/>
      <c r="H21" s="189"/>
      <c r="I21" s="18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AB21" s="171"/>
      <c r="AC21" s="172"/>
      <c r="AD21" s="172"/>
      <c r="AE21" s="172"/>
      <c r="AF21" s="173"/>
      <c r="AG21" s="171"/>
      <c r="AH21" s="172"/>
      <c r="AI21" s="172"/>
      <c r="AJ21" s="172"/>
      <c r="AK21" s="173"/>
      <c r="AL21" s="171"/>
      <c r="AM21" s="172"/>
      <c r="AN21" s="172"/>
      <c r="AO21" s="172"/>
      <c r="AP21" s="173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97" t="s">
        <v>91</v>
      </c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72"/>
      <c r="AB22" s="174"/>
      <c r="AC22" s="175"/>
      <c r="AD22" s="175"/>
      <c r="AE22" s="175"/>
      <c r="AF22" s="176"/>
      <c r="AG22" s="174"/>
      <c r="AH22" s="175"/>
      <c r="AI22" s="175"/>
      <c r="AJ22" s="175"/>
      <c r="AK22" s="176"/>
      <c r="AL22" s="174"/>
      <c r="AM22" s="175"/>
      <c r="AN22" s="175"/>
      <c r="AO22" s="175"/>
      <c r="AP22" s="176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61" t="s">
        <v>6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3"/>
      <c r="T24" s="153" t="s">
        <v>7</v>
      </c>
      <c r="U24" s="154"/>
      <c r="V24" s="154"/>
      <c r="W24" s="154"/>
      <c r="X24" s="154"/>
      <c r="Y24" s="154"/>
      <c r="Z24" s="159"/>
      <c r="AA24" s="153" t="s">
        <v>86</v>
      </c>
      <c r="AB24" s="154"/>
      <c r="AC24" s="154"/>
      <c r="AD24" s="154"/>
      <c r="AE24" s="154"/>
      <c r="AF24" s="153" t="s">
        <v>8</v>
      </c>
      <c r="AG24" s="154"/>
      <c r="AH24" s="154"/>
      <c r="AI24" s="154"/>
      <c r="AJ24" s="154"/>
      <c r="AK24" s="154"/>
      <c r="AL24" s="159"/>
      <c r="AM24" s="153" t="s">
        <v>9</v>
      </c>
      <c r="AN24" s="154"/>
      <c r="AO24" s="154"/>
      <c r="AP24" s="154"/>
      <c r="AQ24" s="154"/>
      <c r="AR24" s="154"/>
      <c r="AS24" s="15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64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6"/>
      <c r="T25" s="155"/>
      <c r="U25" s="156"/>
      <c r="V25" s="156"/>
      <c r="W25" s="156"/>
      <c r="X25" s="156"/>
      <c r="Y25" s="156"/>
      <c r="Z25" s="160"/>
      <c r="AA25" s="155"/>
      <c r="AB25" s="156"/>
      <c r="AC25" s="156"/>
      <c r="AD25" s="156"/>
      <c r="AE25" s="156"/>
      <c r="AF25" s="155"/>
      <c r="AG25" s="156"/>
      <c r="AH25" s="156"/>
      <c r="AI25" s="156"/>
      <c r="AJ25" s="156"/>
      <c r="AK25" s="156"/>
      <c r="AL25" s="160"/>
      <c r="AM25" s="155"/>
      <c r="AN25" s="156"/>
      <c r="AO25" s="156"/>
      <c r="AP25" s="156"/>
      <c r="AQ25" s="156"/>
      <c r="AR25" s="156"/>
      <c r="AS25" s="15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108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45"/>
      <c r="U26" s="146"/>
      <c r="V26" s="146"/>
      <c r="W26" s="146"/>
      <c r="X26" s="147"/>
      <c r="Y26" s="147"/>
      <c r="Z26" s="148"/>
      <c r="AA26" s="145"/>
      <c r="AB26" s="146"/>
      <c r="AC26" s="146"/>
      <c r="AD26" s="146"/>
      <c r="AE26" s="149"/>
      <c r="AF26" s="145">
        <f t="shared" ref="AF26:AF37" si="0">IF(T26="",1*AA26,T26*AA26)</f>
        <v>0</v>
      </c>
      <c r="AG26" s="146"/>
      <c r="AH26" s="146"/>
      <c r="AI26" s="146"/>
      <c r="AJ26" s="146"/>
      <c r="AK26" s="146"/>
      <c r="AL26" s="149"/>
      <c r="AM26" s="150"/>
      <c r="AN26" s="151"/>
      <c r="AO26" s="151"/>
      <c r="AP26" s="151"/>
      <c r="AQ26" s="151"/>
      <c r="AR26" s="151"/>
      <c r="AS26" s="152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101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45"/>
      <c r="U27" s="146"/>
      <c r="V27" s="146"/>
      <c r="W27" s="146"/>
      <c r="X27" s="147" t="s">
        <v>18</v>
      </c>
      <c r="Y27" s="147"/>
      <c r="Z27" s="148"/>
      <c r="AA27" s="145">
        <v>72280</v>
      </c>
      <c r="AB27" s="146"/>
      <c r="AC27" s="146"/>
      <c r="AD27" s="146"/>
      <c r="AE27" s="149"/>
      <c r="AF27" s="145">
        <f t="shared" ref="AF27" si="1">IF(T27="",1*AA27,T27*AA27)</f>
        <v>72280</v>
      </c>
      <c r="AG27" s="146"/>
      <c r="AH27" s="146"/>
      <c r="AI27" s="146"/>
      <c r="AJ27" s="146"/>
      <c r="AK27" s="146"/>
      <c r="AL27" s="149"/>
      <c r="AM27" s="150" t="s">
        <v>102</v>
      </c>
      <c r="AN27" s="151"/>
      <c r="AO27" s="151"/>
      <c r="AP27" s="151"/>
      <c r="AQ27" s="151"/>
      <c r="AR27" s="151"/>
      <c r="AS27" s="152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45"/>
      <c r="U28" s="146"/>
      <c r="V28" s="146"/>
      <c r="W28" s="146"/>
      <c r="X28" s="147"/>
      <c r="Y28" s="147"/>
      <c r="Z28" s="148"/>
      <c r="AA28" s="145"/>
      <c r="AB28" s="146"/>
      <c r="AC28" s="146"/>
      <c r="AD28" s="146"/>
      <c r="AE28" s="149"/>
      <c r="AF28" s="145">
        <f>IF(T28="",1*AA28,T28*AA28)</f>
        <v>0</v>
      </c>
      <c r="AG28" s="146"/>
      <c r="AH28" s="146"/>
      <c r="AI28" s="146"/>
      <c r="AJ28" s="146"/>
      <c r="AK28" s="146"/>
      <c r="AL28" s="149"/>
      <c r="AM28" s="150"/>
      <c r="AN28" s="151"/>
      <c r="AO28" s="151"/>
      <c r="AP28" s="151"/>
      <c r="AQ28" s="151"/>
      <c r="AR28" s="151"/>
      <c r="AS28" s="152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110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45"/>
      <c r="U29" s="146"/>
      <c r="V29" s="146"/>
      <c r="W29" s="146"/>
      <c r="X29" s="147" t="s">
        <v>18</v>
      </c>
      <c r="Y29" s="147"/>
      <c r="Z29" s="148"/>
      <c r="AA29" s="145">
        <v>45000</v>
      </c>
      <c r="AB29" s="146"/>
      <c r="AC29" s="146"/>
      <c r="AD29" s="146"/>
      <c r="AE29" s="149"/>
      <c r="AF29" s="145">
        <f t="shared" ref="AF29" si="2">IF(T29="",1*AA29,T29*AA29)</f>
        <v>45000</v>
      </c>
      <c r="AG29" s="146"/>
      <c r="AH29" s="146"/>
      <c r="AI29" s="146"/>
      <c r="AJ29" s="146"/>
      <c r="AK29" s="146"/>
      <c r="AL29" s="149"/>
      <c r="AM29" s="150"/>
      <c r="AN29" s="151"/>
      <c r="AO29" s="151"/>
      <c r="AP29" s="151"/>
      <c r="AQ29" s="151"/>
      <c r="AR29" s="151"/>
      <c r="AS29" s="152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107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45"/>
      <c r="U30" s="146"/>
      <c r="V30" s="146"/>
      <c r="W30" s="146"/>
      <c r="X30" s="147" t="s">
        <v>18</v>
      </c>
      <c r="Y30" s="147"/>
      <c r="Z30" s="148"/>
      <c r="AA30" s="145">
        <v>100000</v>
      </c>
      <c r="AB30" s="146"/>
      <c r="AC30" s="146"/>
      <c r="AD30" s="146"/>
      <c r="AE30" s="149"/>
      <c r="AF30" s="145">
        <f t="shared" ref="AF30" si="3">IF(T30="",1*AA30,T30*AA30)</f>
        <v>100000</v>
      </c>
      <c r="AG30" s="146"/>
      <c r="AH30" s="146"/>
      <c r="AI30" s="146"/>
      <c r="AJ30" s="146"/>
      <c r="AK30" s="146"/>
      <c r="AL30" s="149"/>
      <c r="AM30" s="150"/>
      <c r="AN30" s="151"/>
      <c r="AO30" s="151"/>
      <c r="AP30" s="151"/>
      <c r="AQ30" s="151"/>
      <c r="AR30" s="151"/>
      <c r="AS30" s="152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6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 t="s">
        <v>106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45"/>
      <c r="U31" s="146"/>
      <c r="V31" s="146"/>
      <c r="W31" s="146"/>
      <c r="X31" s="147" t="s">
        <v>18</v>
      </c>
      <c r="Y31" s="147"/>
      <c r="Z31" s="148"/>
      <c r="AA31" s="145">
        <v>150000</v>
      </c>
      <c r="AB31" s="146"/>
      <c r="AC31" s="146"/>
      <c r="AD31" s="146"/>
      <c r="AE31" s="149"/>
      <c r="AF31" s="145">
        <f t="shared" ref="AF31:AF32" si="4">IF(T31="",1*AA31,T31*AA31)</f>
        <v>150000</v>
      </c>
      <c r="AG31" s="146"/>
      <c r="AH31" s="146"/>
      <c r="AI31" s="146"/>
      <c r="AJ31" s="146"/>
      <c r="AK31" s="146"/>
      <c r="AL31" s="149"/>
      <c r="AM31" s="150"/>
      <c r="AN31" s="151"/>
      <c r="AO31" s="151"/>
      <c r="AP31" s="151"/>
      <c r="AQ31" s="151"/>
      <c r="AR31" s="151"/>
      <c r="AS31" s="152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 t="s">
        <v>92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45"/>
      <c r="U32" s="146"/>
      <c r="V32" s="146"/>
      <c r="W32" s="146"/>
      <c r="X32" s="147" t="s">
        <v>18</v>
      </c>
      <c r="Y32" s="147"/>
      <c r="Z32" s="148"/>
      <c r="AA32" s="145">
        <v>15000</v>
      </c>
      <c r="AB32" s="146"/>
      <c r="AC32" s="146"/>
      <c r="AD32" s="146"/>
      <c r="AE32" s="149"/>
      <c r="AF32" s="145">
        <f t="shared" si="4"/>
        <v>15000</v>
      </c>
      <c r="AG32" s="146"/>
      <c r="AH32" s="146"/>
      <c r="AI32" s="146"/>
      <c r="AJ32" s="146"/>
      <c r="AK32" s="146"/>
      <c r="AL32" s="149"/>
      <c r="AM32" s="150"/>
      <c r="AN32" s="151"/>
      <c r="AO32" s="151"/>
      <c r="AP32" s="151"/>
      <c r="AQ32" s="151"/>
      <c r="AR32" s="151"/>
      <c r="AS32" s="152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 t="s">
        <v>103</v>
      </c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45"/>
      <c r="U33" s="146"/>
      <c r="V33" s="146"/>
      <c r="W33" s="146"/>
      <c r="X33" s="147" t="s">
        <v>18</v>
      </c>
      <c r="Y33" s="147"/>
      <c r="Z33" s="148"/>
      <c r="AA33" s="145">
        <v>50000</v>
      </c>
      <c r="AB33" s="146"/>
      <c r="AC33" s="146"/>
      <c r="AD33" s="146"/>
      <c r="AE33" s="149"/>
      <c r="AF33" s="145">
        <f>IF(T33="",1*AA33,T33*AA33)</f>
        <v>50000</v>
      </c>
      <c r="AG33" s="146"/>
      <c r="AH33" s="146"/>
      <c r="AI33" s="146"/>
      <c r="AJ33" s="146"/>
      <c r="AK33" s="146"/>
      <c r="AL33" s="149"/>
      <c r="AM33" s="150"/>
      <c r="AN33" s="151"/>
      <c r="AO33" s="151"/>
      <c r="AP33" s="151"/>
      <c r="AQ33" s="151"/>
      <c r="AR33" s="151"/>
      <c r="AS33" s="152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42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45"/>
      <c r="U34" s="146"/>
      <c r="V34" s="146"/>
      <c r="W34" s="146"/>
      <c r="X34" s="147"/>
      <c r="Y34" s="147"/>
      <c r="Z34" s="148"/>
      <c r="AA34" s="145"/>
      <c r="AB34" s="146"/>
      <c r="AC34" s="146"/>
      <c r="AD34" s="146"/>
      <c r="AE34" s="149"/>
      <c r="AF34" s="145">
        <f>IF(T34="",1*AA34,T34*AA34)</f>
        <v>0</v>
      </c>
      <c r="AG34" s="146"/>
      <c r="AH34" s="146"/>
      <c r="AI34" s="146"/>
      <c r="AJ34" s="146"/>
      <c r="AK34" s="146"/>
      <c r="AL34" s="149"/>
      <c r="AM34" s="150"/>
      <c r="AN34" s="151"/>
      <c r="AO34" s="151"/>
      <c r="AP34" s="151"/>
      <c r="AQ34" s="151"/>
      <c r="AR34" s="151"/>
      <c r="AS34" s="152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 t="s">
        <v>104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45"/>
      <c r="U35" s="146"/>
      <c r="V35" s="146"/>
      <c r="W35" s="146"/>
      <c r="X35" s="147" t="s">
        <v>18</v>
      </c>
      <c r="Y35" s="147"/>
      <c r="Z35" s="148"/>
      <c r="AA35" s="145">
        <v>-216140</v>
      </c>
      <c r="AB35" s="146"/>
      <c r="AC35" s="146"/>
      <c r="AD35" s="146"/>
      <c r="AE35" s="149"/>
      <c r="AF35" s="145">
        <f>IF(T35="",1*AA35,T35*AA35)</f>
        <v>-216140</v>
      </c>
      <c r="AG35" s="146"/>
      <c r="AH35" s="146"/>
      <c r="AI35" s="146"/>
      <c r="AJ35" s="146"/>
      <c r="AK35" s="146"/>
      <c r="AL35" s="149"/>
      <c r="AM35" s="150"/>
      <c r="AN35" s="151"/>
      <c r="AO35" s="151"/>
      <c r="AP35" s="151"/>
      <c r="AQ35" s="151"/>
      <c r="AR35" s="151"/>
      <c r="AS35" s="152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 t="s">
        <v>100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45"/>
      <c r="U36" s="146"/>
      <c r="V36" s="146"/>
      <c r="W36" s="146"/>
      <c r="X36" s="147"/>
      <c r="Y36" s="147"/>
      <c r="Z36" s="148"/>
      <c r="AA36" s="145"/>
      <c r="AB36" s="146"/>
      <c r="AC36" s="146"/>
      <c r="AD36" s="146"/>
      <c r="AE36" s="149"/>
      <c r="AF36" s="145">
        <f t="shared" si="0"/>
        <v>0</v>
      </c>
      <c r="AG36" s="146"/>
      <c r="AH36" s="146"/>
      <c r="AI36" s="146"/>
      <c r="AJ36" s="146"/>
      <c r="AK36" s="146"/>
      <c r="AL36" s="149"/>
      <c r="AM36" s="150"/>
      <c r="AN36" s="151"/>
      <c r="AO36" s="151"/>
      <c r="AP36" s="151"/>
      <c r="AQ36" s="151"/>
      <c r="AR36" s="151"/>
      <c r="AS36" s="152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 t="s">
        <v>105</v>
      </c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 t="shared" si="0"/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32" t="s">
        <v>88</v>
      </c>
      <c r="C38" s="133"/>
      <c r="D38" s="133"/>
      <c r="E38" s="133"/>
      <c r="F38" s="133"/>
      <c r="G38" s="134"/>
      <c r="H38" s="135">
        <f>AA38*0.1</f>
        <v>21614</v>
      </c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7"/>
      <c r="T38" s="138" t="s">
        <v>11</v>
      </c>
      <c r="U38" s="133"/>
      <c r="V38" s="133"/>
      <c r="W38" s="133"/>
      <c r="X38" s="133"/>
      <c r="Y38" s="133"/>
      <c r="Z38" s="134"/>
      <c r="AA38" s="139">
        <f>SUM(AF26:AL37)</f>
        <v>216140</v>
      </c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1"/>
      <c r="AM38" s="185"/>
      <c r="AN38" s="186"/>
      <c r="AO38" s="186"/>
      <c r="AP38" s="186"/>
      <c r="AQ38" s="186"/>
      <c r="AR38" s="186"/>
      <c r="AS38" s="18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18" t="s">
        <v>5</v>
      </c>
      <c r="C39" s="119"/>
      <c r="D39" s="119"/>
      <c r="E39" s="119"/>
      <c r="F39" s="119"/>
      <c r="G39" s="120"/>
      <c r="H39" s="121">
        <f>CK115+H38</f>
        <v>237754</v>
      </c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3"/>
      <c r="AM39" s="181"/>
      <c r="AN39" s="182"/>
      <c r="AO39" s="182"/>
      <c r="AP39" s="182"/>
      <c r="AQ39" s="182"/>
      <c r="AR39" s="182"/>
      <c r="AS39" s="183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24" t="s">
        <v>12</v>
      </c>
      <c r="C40" s="125"/>
      <c r="D40" s="125"/>
      <c r="E40" s="126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8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thickBot="1" x14ac:dyDescent="0.2">
      <c r="A41" s="25"/>
      <c r="B41" s="129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Top="1" thickBot="1" x14ac:dyDescent="0.2">
      <c r="A42" s="25"/>
      <c r="B42" s="129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9"/>
      <c r="O44" s="109"/>
      <c r="P44" s="109"/>
      <c r="Q44" s="109"/>
      <c r="R44" s="109"/>
      <c r="S44" s="109"/>
      <c r="T44" s="109"/>
      <c r="U44" s="109"/>
      <c r="V44" s="109"/>
      <c r="W44" s="1"/>
      <c r="X44" s="50"/>
      <c r="Y44" s="16"/>
      <c r="Z44" s="15"/>
      <c r="AA44" s="15"/>
      <c r="AB44" s="117"/>
      <c r="AC44" s="117"/>
      <c r="AD44" s="117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11"/>
      <c r="O45" s="111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6"/>
      <c r="AC45" s="116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1"/>
      <c r="O46" s="111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1"/>
      <c r="O47" s="111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7"/>
      <c r="AB47" s="117"/>
      <c r="AC47" s="117"/>
      <c r="AD47" s="117"/>
      <c r="AE47" s="117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1"/>
      <c r="O48" s="111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6"/>
      <c r="AC48" s="116"/>
      <c r="AD48" s="116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1"/>
      <c r="O49" s="111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6"/>
      <c r="AC49" s="116"/>
      <c r="AD49" s="116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1"/>
      <c r="O50" s="111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1"/>
      <c r="O51" s="111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84"/>
      <c r="AB51" s="184"/>
      <c r="AC51" s="184"/>
      <c r="AD51" s="184"/>
      <c r="AE51" s="184"/>
      <c r="AF51" s="184"/>
      <c r="AG51" s="184"/>
      <c r="AH51" s="184"/>
      <c r="AI51" s="184"/>
      <c r="AJ51" s="117"/>
      <c r="AK51" s="117"/>
      <c r="AL51" s="117"/>
      <c r="AM51" s="117"/>
      <c r="AN51" s="117"/>
      <c r="AO51" s="117"/>
      <c r="AP51" s="117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1"/>
      <c r="O52" s="111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1"/>
      <c r="O53" s="111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1"/>
      <c r="O54" s="111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1"/>
      <c r="O55" s="111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9"/>
      <c r="O56" s="109"/>
      <c r="P56" s="107">
        <f>SUM(CK115:CQ115)</f>
        <v>216140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5"/>
      <c r="O60" s="115"/>
      <c r="P60" s="115"/>
      <c r="Q60" s="115"/>
      <c r="R60" s="113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"/>
      <c r="AR60" s="109"/>
      <c r="AS60" s="109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58</v>
      </c>
      <c r="FC100" s="59" t="s">
        <v>59</v>
      </c>
      <c r="FD100" s="59" t="s">
        <v>60</v>
      </c>
      <c r="FE100" s="59" t="s">
        <v>61</v>
      </c>
      <c r="FF100" s="59" t="s">
        <v>14</v>
      </c>
      <c r="FG100" s="59" t="s">
        <v>14</v>
      </c>
      <c r="FH100" s="59" t="s">
        <v>62</v>
      </c>
      <c r="FI100" s="59" t="s">
        <v>63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 xml:space="preserve">展示会　R7/4/5-6 </v>
      </c>
      <c r="FE101" s="61">
        <f>T26</f>
        <v>0</v>
      </c>
      <c r="FF101" s="61">
        <f>X26</f>
        <v>0</v>
      </c>
      <c r="FG101" s="61">
        <f>AA26</f>
        <v>0</v>
      </c>
      <c r="FH101" s="61">
        <f>AF26</f>
        <v>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56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5">B27</f>
        <v>交通費　岐阜-新潟　片道　5 時間 41 分（448 km）</v>
      </c>
      <c r="FE102" s="61">
        <f t="shared" ref="FE102:FE112" si="6">T27</f>
        <v>0</v>
      </c>
      <c r="FF102" s="61" t="str">
        <f t="shared" ref="FF102:FF112" si="7">X27</f>
        <v>一式</v>
      </c>
      <c r="FG102" s="61">
        <f t="shared" ref="FG102:FG112" si="8">AA27</f>
        <v>72280</v>
      </c>
      <c r="FH102" s="61">
        <f t="shared" ref="FH102:FH112" si="9">AF27</f>
        <v>72280</v>
      </c>
      <c r="FI102" s="61" t="str">
        <f t="shared" ref="FI102:FI112" si="10">AM27</f>
        <v>ETC18,520円</v>
      </c>
    </row>
    <row r="103" spans="79:165" ht="15" customHeight="1" x14ac:dyDescent="0.15">
      <c r="CA103" s="43"/>
      <c r="CB103" s="1"/>
      <c r="CC103" s="1"/>
      <c r="CD103" s="1"/>
      <c r="CE103" s="49" t="s">
        <v>48</v>
      </c>
      <c r="CF103" s="1"/>
      <c r="CG103" s="1"/>
      <c r="CH103" s="1"/>
      <c r="CI103" s="87" t="s">
        <v>13</v>
      </c>
      <c r="CJ103" s="112"/>
      <c r="CK103" s="112"/>
      <c r="CL103" s="112"/>
      <c r="CM103" s="112"/>
      <c r="CN103" s="112"/>
      <c r="CO103" s="112"/>
      <c r="CP103" s="112"/>
      <c r="CQ103" s="88"/>
      <c r="CR103" s="1"/>
      <c r="CS103" s="26" t="s">
        <v>14</v>
      </c>
      <c r="CT103" s="14"/>
      <c r="CU103" s="15"/>
      <c r="CV103" s="15"/>
      <c r="CW103" s="106" t="s">
        <v>10</v>
      </c>
      <c r="CX103" s="106"/>
      <c r="CY103" s="106"/>
      <c r="CZ103" s="15"/>
      <c r="DA103" s="16"/>
      <c r="DB103" s="16"/>
      <c r="DC103" s="16"/>
      <c r="DD103" s="35" t="s">
        <v>47</v>
      </c>
      <c r="DE103" s="36"/>
      <c r="DF103" s="36"/>
      <c r="DG103" s="36"/>
      <c r="DH103" s="36"/>
      <c r="DI103" s="36"/>
      <c r="DJ103" s="37"/>
      <c r="DK103" s="15"/>
      <c r="DL103" s="1"/>
      <c r="DM103" s="108" t="s">
        <v>54</v>
      </c>
      <c r="DN103" s="108"/>
      <c r="DO103" s="108"/>
      <c r="DP103" s="108"/>
      <c r="DQ103" s="108"/>
      <c r="DR103" s="10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57</v>
      </c>
      <c r="EN103" s="1"/>
      <c r="EO103" s="1"/>
      <c r="EP103" s="44"/>
      <c r="FB103" s="60">
        <v>0</v>
      </c>
      <c r="FC103" s="61">
        <v>3</v>
      </c>
      <c r="FD103" s="61">
        <f t="shared" si="5"/>
        <v>0</v>
      </c>
      <c r="FE103" s="61">
        <f t="shared" si="6"/>
        <v>0</v>
      </c>
      <c r="FF103" s="61">
        <f t="shared" si="7"/>
        <v>0</v>
      </c>
      <c r="FG103" s="61">
        <f t="shared" si="8"/>
        <v>0</v>
      </c>
      <c r="FH103" s="61">
        <f t="shared" si="9"/>
        <v>0</v>
      </c>
      <c r="FI103" s="61">
        <f t="shared" si="10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99">
        <v>0</v>
      </c>
      <c r="CJ104" s="99"/>
      <c r="CK104" s="98">
        <f>AA38</f>
        <v>216140</v>
      </c>
      <c r="CL104" s="98"/>
      <c r="CM104" s="98"/>
      <c r="CN104" s="98"/>
      <c r="CO104" s="98"/>
      <c r="CP104" s="98"/>
      <c r="CQ104" s="98"/>
      <c r="CR104" s="1"/>
      <c r="CS104" s="17" t="s">
        <v>15</v>
      </c>
      <c r="CT104" s="18"/>
      <c r="CU104" s="15"/>
      <c r="CV104" s="15"/>
      <c r="CW104" s="100">
        <v>5</v>
      </c>
      <c r="CX104" s="101"/>
      <c r="CY104" s="19" t="s">
        <v>16</v>
      </c>
      <c r="CZ104" s="15"/>
      <c r="DA104" s="15"/>
      <c r="DB104" s="15"/>
      <c r="DC104" s="15"/>
      <c r="DD104" s="38" t="s">
        <v>42</v>
      </c>
      <c r="DE104" s="39"/>
      <c r="DF104" s="39"/>
      <c r="DG104" s="39"/>
      <c r="DH104" s="39"/>
      <c r="DI104" s="39"/>
      <c r="DJ104" s="22"/>
      <c r="DK104" s="15"/>
      <c r="DL104" s="1"/>
      <c r="DM104" s="103" t="s">
        <v>55</v>
      </c>
      <c r="DN104" s="104"/>
      <c r="DO104" s="104"/>
      <c r="DP104" s="104"/>
      <c r="DQ104" s="104"/>
      <c r="DR104" s="105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宿泊費　3泊4日</v>
      </c>
      <c r="FE104" s="61">
        <f t="shared" si="6"/>
        <v>0</v>
      </c>
      <c r="FF104" s="61" t="str">
        <f t="shared" si="7"/>
        <v>一式</v>
      </c>
      <c r="FG104" s="61">
        <f t="shared" si="8"/>
        <v>45000</v>
      </c>
      <c r="FH104" s="61">
        <f t="shared" si="9"/>
        <v>45000</v>
      </c>
      <c r="FI104" s="61">
        <f t="shared" si="10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99">
        <v>1</v>
      </c>
      <c r="CJ105" s="99"/>
      <c r="CK105" s="98">
        <f>IF(ISERROR(#REF!),0,#REF!)</f>
        <v>0</v>
      </c>
      <c r="CL105" s="98"/>
      <c r="CM105" s="98"/>
      <c r="CN105" s="98"/>
      <c r="CO105" s="98"/>
      <c r="CP105" s="98"/>
      <c r="CQ105" s="98"/>
      <c r="CR105" s="1"/>
      <c r="CS105" s="17" t="s">
        <v>17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43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6"/>
        <v>0</v>
      </c>
      <c r="FF105" s="61" t="str">
        <f t="shared" si="7"/>
        <v>一式</v>
      </c>
      <c r="FG105" s="61">
        <f t="shared" si="8"/>
        <v>100000</v>
      </c>
      <c r="FH105" s="61">
        <f t="shared" si="9"/>
        <v>100000</v>
      </c>
      <c r="FI105" s="61">
        <f t="shared" si="10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99">
        <v>2</v>
      </c>
      <c r="CJ106" s="99"/>
      <c r="CK106" s="98">
        <f>IF(ISERROR(#REF!),0,#REF!)</f>
        <v>0</v>
      </c>
      <c r="CL106" s="98"/>
      <c r="CM106" s="98"/>
      <c r="CN106" s="98"/>
      <c r="CO106" s="98"/>
      <c r="CP106" s="98"/>
      <c r="CQ106" s="98"/>
      <c r="CR106" s="1"/>
      <c r="CS106" s="20" t="s">
        <v>18</v>
      </c>
      <c r="CT106" s="21"/>
      <c r="CU106" s="15"/>
      <c r="CV106" s="106" t="s">
        <v>19</v>
      </c>
      <c r="CW106" s="106"/>
      <c r="CX106" s="106"/>
      <c r="CY106" s="106"/>
      <c r="CZ106" s="106"/>
      <c r="DA106" s="15"/>
      <c r="DB106" s="15"/>
      <c r="DC106" s="15"/>
      <c r="DD106" s="38" t="s">
        <v>44</v>
      </c>
      <c r="DE106" s="39"/>
      <c r="DF106" s="39"/>
      <c r="DG106" s="39"/>
      <c r="DH106" s="39"/>
      <c r="DI106" s="39"/>
      <c r="DJ106" s="22"/>
      <c r="DK106" s="15"/>
      <c r="DL106" s="1"/>
      <c r="DM106" s="108" t="s">
        <v>65</v>
      </c>
      <c r="DN106" s="108"/>
      <c r="DO106" s="108"/>
      <c r="DP106" s="108"/>
      <c r="DQ106" s="108"/>
      <c r="DR106" s="10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6"/>
        <v>0</v>
      </c>
      <c r="FF106" s="61" t="str">
        <f t="shared" si="7"/>
        <v>一式</v>
      </c>
      <c r="FG106" s="61">
        <f t="shared" si="8"/>
        <v>150000</v>
      </c>
      <c r="FH106" s="61">
        <f t="shared" si="9"/>
        <v>150000</v>
      </c>
      <c r="FI106" s="61">
        <f t="shared" si="10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99">
        <v>3</v>
      </c>
      <c r="CJ107" s="99"/>
      <c r="CK107" s="98">
        <f>IF(ISERROR(#REF!),0,#REF!)</f>
        <v>0</v>
      </c>
      <c r="CL107" s="98"/>
      <c r="CM107" s="98"/>
      <c r="CN107" s="98"/>
      <c r="CO107" s="98"/>
      <c r="CP107" s="98"/>
      <c r="CQ107" s="98"/>
      <c r="CR107" s="1"/>
      <c r="CS107" s="17" t="s">
        <v>20</v>
      </c>
      <c r="CT107" s="18"/>
      <c r="CU107" s="15"/>
      <c r="CV107" s="27" t="s">
        <v>21</v>
      </c>
      <c r="CW107" s="100">
        <v>100</v>
      </c>
      <c r="CX107" s="100"/>
      <c r="CY107" s="101"/>
      <c r="CZ107" s="22" t="s">
        <v>16</v>
      </c>
      <c r="DA107" s="15"/>
      <c r="DB107" s="15"/>
      <c r="DC107" s="15"/>
      <c r="DD107" s="38" t="s">
        <v>45</v>
      </c>
      <c r="DE107" s="39"/>
      <c r="DF107" s="39"/>
      <c r="DG107" s="39"/>
      <c r="DH107" s="39"/>
      <c r="DI107" s="39"/>
      <c r="DJ107" s="22"/>
      <c r="DK107" s="15"/>
      <c r="DL107" s="1"/>
      <c r="DM107" s="89" t="s">
        <v>73</v>
      </c>
      <c r="DN107" s="90"/>
      <c r="DO107" s="90"/>
      <c r="DP107" s="90"/>
      <c r="DQ107" s="90"/>
      <c r="DR107" s="9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6"/>
        <v>0</v>
      </c>
      <c r="FF107" s="61" t="str">
        <f t="shared" si="7"/>
        <v>一式</v>
      </c>
      <c r="FG107" s="61">
        <f t="shared" si="8"/>
        <v>15000</v>
      </c>
      <c r="FH107" s="61">
        <f t="shared" si="9"/>
        <v>15000</v>
      </c>
      <c r="FI107" s="61">
        <f t="shared" si="10"/>
        <v>0</v>
      </c>
    </row>
    <row r="108" spans="79:165" ht="15" customHeight="1" x14ac:dyDescent="0.15">
      <c r="CA108" s="43"/>
      <c r="CB108" s="1"/>
      <c r="CC108" s="1"/>
      <c r="CD108" s="1"/>
      <c r="CE108" s="49" t="s">
        <v>49</v>
      </c>
      <c r="CF108" s="1"/>
      <c r="CG108" s="1"/>
      <c r="CH108" s="1"/>
      <c r="CI108" s="99">
        <v>4</v>
      </c>
      <c r="CJ108" s="99"/>
      <c r="CK108" s="98"/>
      <c r="CL108" s="98"/>
      <c r="CM108" s="98"/>
      <c r="CN108" s="98"/>
      <c r="CO108" s="98"/>
      <c r="CP108" s="98"/>
      <c r="CQ108" s="98"/>
      <c r="CR108" s="1"/>
      <c r="CS108" s="17" t="s">
        <v>22</v>
      </c>
      <c r="CT108" s="18"/>
      <c r="CU108" s="15"/>
      <c r="CV108" s="27" t="s">
        <v>23</v>
      </c>
      <c r="CW108" s="100">
        <v>80</v>
      </c>
      <c r="CX108" s="100"/>
      <c r="CY108" s="101"/>
      <c r="CZ108" s="22" t="s">
        <v>16</v>
      </c>
      <c r="DA108" s="15"/>
      <c r="DB108" s="15"/>
      <c r="DC108" s="15"/>
      <c r="DD108" s="38" t="s">
        <v>46</v>
      </c>
      <c r="DE108" s="39"/>
      <c r="DF108" s="39"/>
      <c r="DG108" s="39"/>
      <c r="DH108" s="39"/>
      <c r="DI108" s="39"/>
      <c r="DJ108" s="22"/>
      <c r="DK108" s="15"/>
      <c r="DL108" s="1"/>
      <c r="DM108" s="103" t="s">
        <v>66</v>
      </c>
      <c r="DN108" s="104"/>
      <c r="DO108" s="104"/>
      <c r="DP108" s="104"/>
      <c r="DQ108" s="104"/>
      <c r="DR108" s="105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日当　2日分　土日</v>
      </c>
      <c r="FE108" s="61">
        <f t="shared" si="6"/>
        <v>0</v>
      </c>
      <c r="FF108" s="61" t="str">
        <f t="shared" si="7"/>
        <v>一式</v>
      </c>
      <c r="FG108" s="61">
        <f t="shared" si="8"/>
        <v>50000</v>
      </c>
      <c r="FH108" s="61">
        <f t="shared" si="9"/>
        <v>50000</v>
      </c>
      <c r="FI108" s="61">
        <f t="shared" si="10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99">
        <v>5</v>
      </c>
      <c r="CJ109" s="99"/>
      <c r="CK109" s="98"/>
      <c r="CL109" s="98"/>
      <c r="CM109" s="98"/>
      <c r="CN109" s="98"/>
      <c r="CO109" s="98"/>
      <c r="CP109" s="98"/>
      <c r="CQ109" s="98"/>
      <c r="CR109" s="1"/>
      <c r="CS109" s="20" t="s">
        <v>24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3" t="s">
        <v>67</v>
      </c>
      <c r="DN109" s="104"/>
      <c r="DO109" s="104"/>
      <c r="DP109" s="104"/>
      <c r="DQ109" s="104"/>
      <c r="DR109" s="105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5"/>
        <v>0</v>
      </c>
      <c r="FE109" s="61">
        <f t="shared" si="6"/>
        <v>0</v>
      </c>
      <c r="FF109" s="61">
        <f t="shared" si="7"/>
        <v>0</v>
      </c>
      <c r="FG109" s="61">
        <f t="shared" si="8"/>
        <v>0</v>
      </c>
      <c r="FH109" s="61">
        <f t="shared" si="9"/>
        <v>0</v>
      </c>
      <c r="FI109" s="61">
        <f t="shared" si="10"/>
        <v>0</v>
      </c>
    </row>
    <row r="110" spans="79:165" ht="15" customHeight="1" x14ac:dyDescent="0.15">
      <c r="CA110" s="43"/>
      <c r="CB110" s="1"/>
      <c r="CC110" s="1"/>
      <c r="CD110" s="1"/>
      <c r="CE110" s="48" t="s">
        <v>50</v>
      </c>
      <c r="CF110" s="1"/>
      <c r="CG110" s="1"/>
      <c r="CH110" s="1"/>
      <c r="CI110" s="99">
        <v>6</v>
      </c>
      <c r="CJ110" s="99"/>
      <c r="CK110" s="98"/>
      <c r="CL110" s="98"/>
      <c r="CM110" s="98"/>
      <c r="CN110" s="98"/>
      <c r="CO110" s="98"/>
      <c r="CP110" s="98"/>
      <c r="CQ110" s="98"/>
      <c r="CR110" s="1"/>
      <c r="CS110" s="20" t="s">
        <v>25</v>
      </c>
      <c r="CT110" s="20"/>
      <c r="CU110" s="15"/>
      <c r="CV110" s="102" t="s">
        <v>26</v>
      </c>
      <c r="CW110" s="102"/>
      <c r="CX110" s="102"/>
      <c r="CY110" s="102"/>
      <c r="CZ110" s="102"/>
      <c r="DA110" s="102"/>
      <c r="DB110" s="102"/>
      <c r="DC110" s="102"/>
      <c r="DD110" s="102"/>
      <c r="DE110" s="106" t="s">
        <v>27</v>
      </c>
      <c r="DF110" s="106"/>
      <c r="DG110" s="106"/>
      <c r="DH110" s="106"/>
      <c r="DI110" s="106"/>
      <c r="DJ110" s="106"/>
      <c r="DK110" s="106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 t="str">
        <f t="shared" si="5"/>
        <v>代理店協力50％値引き</v>
      </c>
      <c r="FE110" s="61">
        <f t="shared" si="6"/>
        <v>0</v>
      </c>
      <c r="FF110" s="61" t="str">
        <f t="shared" si="7"/>
        <v>一式</v>
      </c>
      <c r="FG110" s="61">
        <f t="shared" si="8"/>
        <v>-216140</v>
      </c>
      <c r="FH110" s="61">
        <f t="shared" si="9"/>
        <v>-216140</v>
      </c>
      <c r="FI110" s="61">
        <f t="shared" si="10"/>
        <v>0</v>
      </c>
    </row>
    <row r="111" spans="79:165" ht="15" customHeight="1" x14ac:dyDescent="0.15">
      <c r="CA111" s="43"/>
      <c r="CB111" s="1"/>
      <c r="CC111" s="1"/>
      <c r="CD111" s="1"/>
      <c r="CE111" s="48" t="s">
        <v>51</v>
      </c>
      <c r="CF111" s="1"/>
      <c r="CG111" s="1"/>
      <c r="CH111" s="1"/>
      <c r="CI111" s="99">
        <v>7</v>
      </c>
      <c r="CJ111" s="99"/>
      <c r="CK111" s="98"/>
      <c r="CL111" s="98"/>
      <c r="CM111" s="98"/>
      <c r="CN111" s="98"/>
      <c r="CO111" s="98"/>
      <c r="CP111" s="98"/>
      <c r="CQ111" s="98"/>
      <c r="CR111" s="1"/>
      <c r="CS111" s="17" t="s">
        <v>28</v>
      </c>
      <c r="CT111" s="18"/>
      <c r="CU111" s="15"/>
      <c r="CV111" s="27" t="s">
        <v>21</v>
      </c>
      <c r="CW111" s="96" t="s">
        <v>69</v>
      </c>
      <c r="CX111" s="96"/>
      <c r="CY111" s="96"/>
      <c r="CZ111" s="96"/>
      <c r="DA111" s="96"/>
      <c r="DB111" s="96"/>
      <c r="DC111" s="96"/>
      <c r="DD111" s="96"/>
      <c r="DE111" s="96" t="s">
        <v>29</v>
      </c>
      <c r="DF111" s="96"/>
      <c r="DG111" s="96"/>
      <c r="DH111" s="96"/>
      <c r="DI111" s="96"/>
      <c r="DJ111" s="96"/>
      <c r="DK111" s="96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 t="str">
        <f t="shared" si="5"/>
        <v>遮光パネル　溶接用机　ご用意ください。</v>
      </c>
      <c r="FE111" s="61">
        <f t="shared" si="6"/>
        <v>0</v>
      </c>
      <c r="FF111" s="61">
        <f t="shared" si="7"/>
        <v>0</v>
      </c>
      <c r="FG111" s="61">
        <f t="shared" si="8"/>
        <v>0</v>
      </c>
      <c r="FH111" s="61">
        <f t="shared" si="9"/>
        <v>0</v>
      </c>
      <c r="FI111" s="61">
        <f t="shared" si="10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99">
        <v>8</v>
      </c>
      <c r="CJ112" s="99"/>
      <c r="CK112" s="98"/>
      <c r="CL112" s="98"/>
      <c r="CM112" s="98"/>
      <c r="CN112" s="98"/>
      <c r="CO112" s="98"/>
      <c r="CP112" s="98"/>
      <c r="CQ112" s="98"/>
      <c r="CR112" s="1"/>
      <c r="CS112" s="17" t="s">
        <v>30</v>
      </c>
      <c r="CT112" s="18"/>
      <c r="CU112" s="15"/>
      <c r="CV112" s="27" t="s">
        <v>23</v>
      </c>
      <c r="CW112" s="96" t="s">
        <v>77</v>
      </c>
      <c r="CX112" s="96"/>
      <c r="CY112" s="96"/>
      <c r="CZ112" s="96"/>
      <c r="DA112" s="96"/>
      <c r="DB112" s="96"/>
      <c r="DC112" s="96"/>
      <c r="DD112" s="96"/>
      <c r="DE112" s="96" t="s">
        <v>78</v>
      </c>
      <c r="DF112" s="96"/>
      <c r="DG112" s="96"/>
      <c r="DH112" s="96"/>
      <c r="DI112" s="96"/>
      <c r="DJ112" s="96"/>
      <c r="DK112" s="96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 t="str">
        <f t="shared" si="5"/>
        <v>デモ機の搬入撤収時男性3名手伝い要します。</v>
      </c>
      <c r="FE112" s="61">
        <f t="shared" si="6"/>
        <v>0</v>
      </c>
      <c r="FF112" s="61">
        <f t="shared" si="7"/>
        <v>0</v>
      </c>
      <c r="FG112" s="61">
        <f t="shared" si="8"/>
        <v>0</v>
      </c>
      <c r="FH112" s="61">
        <f t="shared" si="9"/>
        <v>0</v>
      </c>
      <c r="FI112" s="61">
        <f t="shared" si="10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99">
        <v>9</v>
      </c>
      <c r="CJ113" s="99"/>
      <c r="CK113" s="98"/>
      <c r="CL113" s="98"/>
      <c r="CM113" s="98"/>
      <c r="CN113" s="98"/>
      <c r="CO113" s="98"/>
      <c r="CP113" s="98"/>
      <c r="CQ113" s="98"/>
      <c r="CR113" s="1"/>
      <c r="CS113" s="17" t="s">
        <v>31</v>
      </c>
      <c r="CT113" s="18"/>
      <c r="CU113" s="15"/>
      <c r="CV113" s="27" t="s">
        <v>32</v>
      </c>
      <c r="CW113" s="96" t="s">
        <v>80</v>
      </c>
      <c r="CX113" s="96"/>
      <c r="CY113" s="96"/>
      <c r="CZ113" s="96"/>
      <c r="DA113" s="96"/>
      <c r="DB113" s="96"/>
      <c r="DC113" s="96"/>
      <c r="DD113" s="96"/>
      <c r="DE113" s="96" t="s">
        <v>79</v>
      </c>
      <c r="DF113" s="96"/>
      <c r="DG113" s="96"/>
      <c r="DH113" s="96"/>
      <c r="DI113" s="96"/>
      <c r="DJ113" s="96"/>
      <c r="DK113" s="96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99">
        <v>10</v>
      </c>
      <c r="CJ114" s="99"/>
      <c r="CK114" s="98"/>
      <c r="CL114" s="98"/>
      <c r="CM114" s="98"/>
      <c r="CN114" s="98"/>
      <c r="CO114" s="98"/>
      <c r="CP114" s="98"/>
      <c r="CQ114" s="98"/>
      <c r="CR114" s="1"/>
      <c r="CS114" s="20" t="s">
        <v>33</v>
      </c>
      <c r="CT114" s="21"/>
      <c r="CU114" s="15"/>
      <c r="CV114" s="27" t="s">
        <v>34</v>
      </c>
      <c r="CW114" s="96" t="s">
        <v>70</v>
      </c>
      <c r="CX114" s="96"/>
      <c r="CY114" s="96"/>
      <c r="CZ114" s="96"/>
      <c r="DA114" s="96"/>
      <c r="DB114" s="96"/>
      <c r="DC114" s="96"/>
      <c r="DD114" s="96"/>
      <c r="DE114" s="96" t="s">
        <v>35</v>
      </c>
      <c r="DF114" s="96"/>
      <c r="DG114" s="96"/>
      <c r="DH114" s="96"/>
      <c r="DI114" s="96"/>
      <c r="DJ114" s="96"/>
      <c r="DK114" s="96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7" t="s">
        <v>36</v>
      </c>
      <c r="CJ115" s="97"/>
      <c r="CK115" s="98">
        <f>SUM(CK104:CQ114)</f>
        <v>216140</v>
      </c>
      <c r="CL115" s="98"/>
      <c r="CM115" s="98"/>
      <c r="CN115" s="98"/>
      <c r="CO115" s="98"/>
      <c r="CP115" s="98"/>
      <c r="CQ115" s="98"/>
      <c r="CR115" s="1"/>
      <c r="CS115" s="17" t="s">
        <v>41</v>
      </c>
      <c r="CT115" s="18"/>
      <c r="CU115" s="15"/>
      <c r="CV115" s="27" t="s">
        <v>37</v>
      </c>
      <c r="CW115" s="96" t="s">
        <v>71</v>
      </c>
      <c r="CX115" s="96"/>
      <c r="CY115" s="96"/>
      <c r="CZ115" s="96"/>
      <c r="DA115" s="96"/>
      <c r="DB115" s="96"/>
      <c r="DC115" s="96"/>
      <c r="DD115" s="96"/>
      <c r="DE115" s="96" t="s">
        <v>38</v>
      </c>
      <c r="DF115" s="96"/>
      <c r="DG115" s="96"/>
      <c r="DH115" s="96"/>
      <c r="DI115" s="96"/>
      <c r="DJ115" s="96"/>
      <c r="DK115" s="96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93" t="s">
        <v>39</v>
      </c>
      <c r="CJ119" s="93"/>
      <c r="CK119" s="93"/>
      <c r="CL119" s="93"/>
      <c r="CM119" s="94" t="s">
        <v>81</v>
      </c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  <c r="DC119" s="95"/>
      <c r="DD119" s="95"/>
      <c r="DE119" s="95"/>
      <c r="DF119" s="95"/>
      <c r="DG119" s="95"/>
      <c r="DH119" s="95"/>
      <c r="DI119" s="95"/>
      <c r="DJ119" s="95"/>
      <c r="DK119" s="95"/>
      <c r="DL119" s="1"/>
      <c r="DM119" s="87" t="s">
        <v>40</v>
      </c>
      <c r="DN119" s="88"/>
      <c r="DO119" s="89" t="s">
        <v>74</v>
      </c>
      <c r="DP119" s="90"/>
      <c r="DQ119" s="90"/>
      <c r="DR119" s="90"/>
      <c r="DS119" s="90"/>
      <c r="DT119" s="90"/>
      <c r="DU119" s="9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93" t="s">
        <v>68</v>
      </c>
      <c r="CJ120" s="93"/>
      <c r="CK120" s="93"/>
      <c r="CL120" s="93"/>
      <c r="CM120" s="94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  <c r="DA120" s="95"/>
      <c r="DB120" s="95"/>
      <c r="DC120" s="95"/>
      <c r="DD120" s="95"/>
      <c r="DE120" s="95"/>
      <c r="DF120" s="95"/>
      <c r="DG120" s="95"/>
      <c r="DH120" s="95"/>
      <c r="DI120" s="95"/>
      <c r="DJ120" s="95"/>
      <c r="DK120" s="95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82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58</v>
      </c>
      <c r="FC400" s="59" t="s">
        <v>59</v>
      </c>
      <c r="FD400" s="59" t="s">
        <v>60</v>
      </c>
      <c r="FE400" s="59" t="s">
        <v>61</v>
      </c>
      <c r="FF400" s="59" t="s">
        <v>14</v>
      </c>
      <c r="FG400" s="59" t="s">
        <v>64</v>
      </c>
      <c r="FH400" s="59" t="s">
        <v>62</v>
      </c>
      <c r="FI400" s="59" t="s">
        <v>63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T24:Z25"/>
    <mergeCell ref="J17:L17"/>
    <mergeCell ref="J20:U21"/>
    <mergeCell ref="P2:R2"/>
    <mergeCell ref="M2:O2"/>
    <mergeCell ref="D5:R5"/>
    <mergeCell ref="E3:H3"/>
    <mergeCell ref="H13:T13"/>
    <mergeCell ref="H11:S11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E40:AS40 B41:AS42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Button 69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Button 328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Button 35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Button 357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CDCA-961B-4104-A3ED-5943433C3107}">
  <sheetPr>
    <pageSetUpPr fitToPage="1"/>
  </sheetPr>
  <dimension ref="A1:FI642"/>
  <sheetViews>
    <sheetView showGridLines="0" showRowColHeaders="0" workbookViewId="0">
      <selection activeCell="B33" sqref="B33:S33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0" t="s">
        <v>72</v>
      </c>
      <c r="N2" s="200"/>
      <c r="O2" s="200"/>
      <c r="P2" s="200"/>
      <c r="Q2" s="200"/>
      <c r="R2" s="200"/>
      <c r="W2" s="4"/>
      <c r="X2" s="4"/>
      <c r="Y2" s="4"/>
      <c r="Z2" s="4"/>
      <c r="AA2" s="167" t="s">
        <v>42</v>
      </c>
      <c r="AB2" s="167"/>
      <c r="AC2" s="167"/>
      <c r="AD2" s="167"/>
      <c r="AE2" s="167"/>
      <c r="AF2" s="167"/>
      <c r="AG2" s="167"/>
      <c r="AH2" s="167"/>
      <c r="AI2" s="167"/>
      <c r="AJ2" s="167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2" t="s">
        <v>121</v>
      </c>
      <c r="F3" s="192"/>
      <c r="G3" s="192"/>
      <c r="H3" s="192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L3" s="5" t="s">
        <v>0</v>
      </c>
      <c r="AM3" s="5"/>
      <c r="AN3" s="188" t="s">
        <v>123</v>
      </c>
      <c r="AO3" s="188"/>
      <c r="AP3" s="188"/>
      <c r="AQ3" s="188"/>
      <c r="AR3" s="188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0" t="s">
        <v>122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0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1" t="s">
        <v>120</v>
      </c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87</v>
      </c>
      <c r="AH6" s="12"/>
      <c r="AI6" s="196">
        <v>7</v>
      </c>
      <c r="AJ6" s="196"/>
      <c r="AK6" s="196"/>
      <c r="AL6" s="9" t="s">
        <v>1</v>
      </c>
      <c r="AM6" s="196">
        <v>5</v>
      </c>
      <c r="AN6" s="196"/>
      <c r="AO6" s="9" t="s">
        <v>2</v>
      </c>
      <c r="AP6" s="196">
        <v>8</v>
      </c>
      <c r="AQ6" s="196"/>
      <c r="AR6" s="30" t="s">
        <v>83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4" t="s">
        <v>97</v>
      </c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3" t="s">
        <v>50</v>
      </c>
      <c r="U7" s="193"/>
      <c r="V7" s="19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3"/>
      <c r="U8" s="193"/>
      <c r="V8" s="19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73" t="s">
        <v>93</v>
      </c>
      <c r="E11" s="68"/>
      <c r="F11" s="68"/>
      <c r="G11" s="68"/>
      <c r="H11" s="203" t="s">
        <v>111</v>
      </c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73" t="s">
        <v>94</v>
      </c>
      <c r="E13" s="68"/>
      <c r="F13" s="68"/>
      <c r="G13" s="68"/>
      <c r="H13" s="177" t="s">
        <v>112</v>
      </c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68"/>
      <c r="Z13" s="72"/>
      <c r="AB13" s="178" t="s">
        <v>52</v>
      </c>
      <c r="AC13" s="178"/>
      <c r="AD13" s="178"/>
      <c r="AE13" s="179" t="s">
        <v>75</v>
      </c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89</v>
      </c>
      <c r="E15" s="68"/>
      <c r="F15" s="68"/>
      <c r="G15" s="68"/>
      <c r="I15" s="75" t="s">
        <v>90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B15" s="180" t="s">
        <v>53</v>
      </c>
      <c r="AC15" s="180"/>
      <c r="AD15" s="180"/>
      <c r="AE15" s="179" t="s">
        <v>76</v>
      </c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88"/>
      <c r="K17" s="188"/>
      <c r="L17" s="188"/>
      <c r="M17" s="5"/>
      <c r="N17" s="188"/>
      <c r="O17" s="188"/>
      <c r="P17" s="5"/>
      <c r="Q17" s="188"/>
      <c r="R17" s="188"/>
      <c r="S17" s="5"/>
      <c r="T17" s="5"/>
      <c r="U17" s="5"/>
      <c r="AB17" s="73" t="s">
        <v>4</v>
      </c>
      <c r="AC17" s="73"/>
      <c r="AD17" s="73"/>
      <c r="AE17" s="73"/>
      <c r="AF17" s="177" t="s">
        <v>84</v>
      </c>
      <c r="AG17" s="177"/>
      <c r="AH17" s="177"/>
      <c r="AI17" s="177"/>
      <c r="AJ17" s="177"/>
      <c r="AK17" s="177"/>
      <c r="AL17" s="177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B19" s="72"/>
      <c r="J19" s="77">
        <f>H39</f>
        <v>129668</v>
      </c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AB19" s="168"/>
      <c r="AC19" s="169"/>
      <c r="AD19" s="169"/>
      <c r="AE19" s="169"/>
      <c r="AF19" s="170"/>
      <c r="AG19" s="168"/>
      <c r="AH19" s="169"/>
      <c r="AI19" s="169"/>
      <c r="AJ19" s="169"/>
      <c r="AK19" s="170"/>
      <c r="AL19" s="168"/>
      <c r="AM19" s="169"/>
      <c r="AN19" s="169"/>
      <c r="AO19" s="169"/>
      <c r="AP19" s="170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B20" s="72"/>
      <c r="D20" s="167" t="s">
        <v>85</v>
      </c>
      <c r="E20" s="167"/>
      <c r="F20" s="167"/>
      <c r="G20" s="167"/>
      <c r="H20" s="167"/>
      <c r="I20" s="167"/>
      <c r="J20" s="198">
        <f>H39</f>
        <v>129668</v>
      </c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AB20" s="171"/>
      <c r="AC20" s="172"/>
      <c r="AD20" s="172"/>
      <c r="AE20" s="172"/>
      <c r="AF20" s="173"/>
      <c r="AG20" s="171"/>
      <c r="AH20" s="172"/>
      <c r="AI20" s="172"/>
      <c r="AJ20" s="172"/>
      <c r="AK20" s="173"/>
      <c r="AL20" s="171"/>
      <c r="AM20" s="172"/>
      <c r="AN20" s="172"/>
      <c r="AO20" s="172"/>
      <c r="AP20" s="173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B21" s="72"/>
      <c r="D21" s="189"/>
      <c r="E21" s="189"/>
      <c r="F21" s="189"/>
      <c r="G21" s="189"/>
      <c r="H21" s="189"/>
      <c r="I21" s="18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AB21" s="171"/>
      <c r="AC21" s="172"/>
      <c r="AD21" s="172"/>
      <c r="AE21" s="172"/>
      <c r="AF21" s="173"/>
      <c r="AG21" s="171"/>
      <c r="AH21" s="172"/>
      <c r="AI21" s="172"/>
      <c r="AJ21" s="172"/>
      <c r="AK21" s="173"/>
      <c r="AL21" s="171"/>
      <c r="AM21" s="172"/>
      <c r="AN21" s="172"/>
      <c r="AO21" s="172"/>
      <c r="AP21" s="173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97" t="s">
        <v>91</v>
      </c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72"/>
      <c r="AB22" s="174"/>
      <c r="AC22" s="175"/>
      <c r="AD22" s="175"/>
      <c r="AE22" s="175"/>
      <c r="AF22" s="176"/>
      <c r="AG22" s="174"/>
      <c r="AH22" s="175"/>
      <c r="AI22" s="175"/>
      <c r="AJ22" s="175"/>
      <c r="AK22" s="176"/>
      <c r="AL22" s="174"/>
      <c r="AM22" s="175"/>
      <c r="AN22" s="175"/>
      <c r="AO22" s="175"/>
      <c r="AP22" s="176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61" t="s">
        <v>6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3"/>
      <c r="T24" s="153" t="s">
        <v>7</v>
      </c>
      <c r="U24" s="154"/>
      <c r="V24" s="154"/>
      <c r="W24" s="154"/>
      <c r="X24" s="154"/>
      <c r="Y24" s="154"/>
      <c r="Z24" s="159"/>
      <c r="AA24" s="153" t="s">
        <v>86</v>
      </c>
      <c r="AB24" s="154"/>
      <c r="AC24" s="154"/>
      <c r="AD24" s="154"/>
      <c r="AE24" s="154"/>
      <c r="AF24" s="153" t="s">
        <v>8</v>
      </c>
      <c r="AG24" s="154"/>
      <c r="AH24" s="154"/>
      <c r="AI24" s="154"/>
      <c r="AJ24" s="154"/>
      <c r="AK24" s="154"/>
      <c r="AL24" s="159"/>
      <c r="AM24" s="153" t="s">
        <v>9</v>
      </c>
      <c r="AN24" s="154"/>
      <c r="AO24" s="154"/>
      <c r="AP24" s="154"/>
      <c r="AQ24" s="154"/>
      <c r="AR24" s="154"/>
      <c r="AS24" s="15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64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6"/>
      <c r="T25" s="155"/>
      <c r="U25" s="156"/>
      <c r="V25" s="156"/>
      <c r="W25" s="156"/>
      <c r="X25" s="156"/>
      <c r="Y25" s="156"/>
      <c r="Z25" s="160"/>
      <c r="AA25" s="155"/>
      <c r="AB25" s="156"/>
      <c r="AC25" s="156"/>
      <c r="AD25" s="156"/>
      <c r="AE25" s="156"/>
      <c r="AF25" s="155"/>
      <c r="AG25" s="156"/>
      <c r="AH25" s="156"/>
      <c r="AI25" s="156"/>
      <c r="AJ25" s="156"/>
      <c r="AK25" s="156"/>
      <c r="AL25" s="160"/>
      <c r="AM25" s="155"/>
      <c r="AN25" s="156"/>
      <c r="AO25" s="156"/>
      <c r="AP25" s="156"/>
      <c r="AQ25" s="156"/>
      <c r="AR25" s="156"/>
      <c r="AS25" s="15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113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45"/>
      <c r="U26" s="146"/>
      <c r="V26" s="146"/>
      <c r="W26" s="146"/>
      <c r="X26" s="147"/>
      <c r="Y26" s="147"/>
      <c r="Z26" s="148"/>
      <c r="AA26" s="145"/>
      <c r="AB26" s="146"/>
      <c r="AC26" s="146"/>
      <c r="AD26" s="146"/>
      <c r="AE26" s="149"/>
      <c r="AF26" s="145">
        <f t="shared" ref="AF26:AF37" si="0">IF(T26="",1*AA26,T26*AA26)</f>
        <v>0</v>
      </c>
      <c r="AG26" s="146"/>
      <c r="AH26" s="146"/>
      <c r="AI26" s="146"/>
      <c r="AJ26" s="146"/>
      <c r="AK26" s="146"/>
      <c r="AL26" s="149"/>
      <c r="AM26" s="150"/>
      <c r="AN26" s="151"/>
      <c r="AO26" s="151"/>
      <c r="AP26" s="151"/>
      <c r="AQ26" s="151"/>
      <c r="AR26" s="151"/>
      <c r="AS26" s="152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114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45">
        <v>1</v>
      </c>
      <c r="U27" s="146"/>
      <c r="V27" s="146"/>
      <c r="W27" s="146"/>
      <c r="X27" s="147" t="s">
        <v>15</v>
      </c>
      <c r="Y27" s="147"/>
      <c r="Z27" s="148"/>
      <c r="AA27" s="145">
        <v>18480</v>
      </c>
      <c r="AB27" s="146"/>
      <c r="AC27" s="146"/>
      <c r="AD27" s="146"/>
      <c r="AE27" s="149"/>
      <c r="AF27" s="145">
        <f t="shared" si="0"/>
        <v>18480</v>
      </c>
      <c r="AG27" s="146"/>
      <c r="AH27" s="146"/>
      <c r="AI27" s="146"/>
      <c r="AJ27" s="146"/>
      <c r="AK27" s="146"/>
      <c r="AL27" s="149"/>
      <c r="AM27" s="150" t="s">
        <v>116</v>
      </c>
      <c r="AN27" s="151"/>
      <c r="AO27" s="151"/>
      <c r="AP27" s="151"/>
      <c r="AQ27" s="151"/>
      <c r="AR27" s="151"/>
      <c r="AS27" s="152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115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45">
        <v>1</v>
      </c>
      <c r="U28" s="146"/>
      <c r="V28" s="146"/>
      <c r="W28" s="146"/>
      <c r="X28" s="147" t="s">
        <v>15</v>
      </c>
      <c r="Y28" s="147"/>
      <c r="Z28" s="148"/>
      <c r="AA28" s="145">
        <v>7280</v>
      </c>
      <c r="AB28" s="146"/>
      <c r="AC28" s="146"/>
      <c r="AD28" s="146"/>
      <c r="AE28" s="149"/>
      <c r="AF28" s="145">
        <f>IF(T28="",1*AA28,T28*AA28)</f>
        <v>7280</v>
      </c>
      <c r="AG28" s="146"/>
      <c r="AH28" s="146"/>
      <c r="AI28" s="146"/>
      <c r="AJ28" s="146"/>
      <c r="AK28" s="146"/>
      <c r="AL28" s="149"/>
      <c r="AM28" s="150"/>
      <c r="AN28" s="151"/>
      <c r="AO28" s="151"/>
      <c r="AP28" s="151"/>
      <c r="AQ28" s="151"/>
      <c r="AR28" s="151"/>
      <c r="AS28" s="152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119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45"/>
      <c r="U29" s="146"/>
      <c r="V29" s="146"/>
      <c r="W29" s="146"/>
      <c r="X29" s="147" t="s">
        <v>18</v>
      </c>
      <c r="Y29" s="147"/>
      <c r="Z29" s="148"/>
      <c r="AA29" s="145">
        <v>15000</v>
      </c>
      <c r="AB29" s="146"/>
      <c r="AC29" s="146"/>
      <c r="AD29" s="146"/>
      <c r="AE29" s="149"/>
      <c r="AF29" s="145">
        <f t="shared" ref="AF29:AF32" si="1">IF(T29="",1*AA29,T29*AA29)</f>
        <v>15000</v>
      </c>
      <c r="AG29" s="146"/>
      <c r="AH29" s="146"/>
      <c r="AI29" s="146"/>
      <c r="AJ29" s="146"/>
      <c r="AK29" s="146"/>
      <c r="AL29" s="149"/>
      <c r="AM29" s="150"/>
      <c r="AN29" s="151"/>
      <c r="AO29" s="151"/>
      <c r="AP29" s="151"/>
      <c r="AQ29" s="151"/>
      <c r="AR29" s="151"/>
      <c r="AS29" s="152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117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45"/>
      <c r="U30" s="146"/>
      <c r="V30" s="146"/>
      <c r="W30" s="146"/>
      <c r="X30" s="147" t="s">
        <v>18</v>
      </c>
      <c r="Y30" s="147"/>
      <c r="Z30" s="148"/>
      <c r="AA30" s="145">
        <v>50000</v>
      </c>
      <c r="AB30" s="146"/>
      <c r="AC30" s="146"/>
      <c r="AD30" s="146"/>
      <c r="AE30" s="149"/>
      <c r="AF30" s="145">
        <f t="shared" si="1"/>
        <v>50000</v>
      </c>
      <c r="AG30" s="146"/>
      <c r="AH30" s="146"/>
      <c r="AI30" s="146"/>
      <c r="AJ30" s="146"/>
      <c r="AK30" s="146"/>
      <c r="AL30" s="149"/>
      <c r="AM30" s="150"/>
      <c r="AN30" s="151"/>
      <c r="AO30" s="151"/>
      <c r="AP30" s="151"/>
      <c r="AQ30" s="151"/>
      <c r="AR30" s="151"/>
      <c r="AS30" s="152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6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 t="s">
        <v>118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45"/>
      <c r="U31" s="146"/>
      <c r="V31" s="146"/>
      <c r="W31" s="146"/>
      <c r="X31" s="147" t="s">
        <v>18</v>
      </c>
      <c r="Y31" s="147"/>
      <c r="Z31" s="148"/>
      <c r="AA31" s="145">
        <v>75000</v>
      </c>
      <c r="AB31" s="146"/>
      <c r="AC31" s="146"/>
      <c r="AD31" s="146"/>
      <c r="AE31" s="149"/>
      <c r="AF31" s="145">
        <f t="shared" si="1"/>
        <v>75000</v>
      </c>
      <c r="AG31" s="146"/>
      <c r="AH31" s="146"/>
      <c r="AI31" s="146"/>
      <c r="AJ31" s="146"/>
      <c r="AK31" s="146"/>
      <c r="AL31" s="149"/>
      <c r="AM31" s="150"/>
      <c r="AN31" s="151"/>
      <c r="AO31" s="151"/>
      <c r="AP31" s="151"/>
      <c r="AQ31" s="151"/>
      <c r="AR31" s="151"/>
      <c r="AS31" s="152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 t="s">
        <v>92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45"/>
      <c r="U32" s="146"/>
      <c r="V32" s="146"/>
      <c r="W32" s="146"/>
      <c r="X32" s="147" t="s">
        <v>18</v>
      </c>
      <c r="Y32" s="147"/>
      <c r="Z32" s="148"/>
      <c r="AA32" s="145">
        <v>17500</v>
      </c>
      <c r="AB32" s="146"/>
      <c r="AC32" s="146"/>
      <c r="AD32" s="146"/>
      <c r="AE32" s="149"/>
      <c r="AF32" s="145">
        <f t="shared" si="1"/>
        <v>17500</v>
      </c>
      <c r="AG32" s="146"/>
      <c r="AH32" s="146"/>
      <c r="AI32" s="146"/>
      <c r="AJ32" s="146"/>
      <c r="AK32" s="146"/>
      <c r="AL32" s="149"/>
      <c r="AM32" s="150"/>
      <c r="AN32" s="151"/>
      <c r="AO32" s="151"/>
      <c r="AP32" s="151"/>
      <c r="AQ32" s="151"/>
      <c r="AR32" s="151"/>
      <c r="AS32" s="152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 t="s">
        <v>154</v>
      </c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45"/>
      <c r="U33" s="146"/>
      <c r="V33" s="146"/>
      <c r="W33" s="146"/>
      <c r="X33" s="147" t="s">
        <v>18</v>
      </c>
      <c r="Y33" s="147"/>
      <c r="Z33" s="148"/>
      <c r="AA33" s="145">
        <v>50000</v>
      </c>
      <c r="AB33" s="146"/>
      <c r="AC33" s="146"/>
      <c r="AD33" s="146"/>
      <c r="AE33" s="149"/>
      <c r="AF33" s="145">
        <f>IF(T33="",1*AA33,T33*AA33)</f>
        <v>50000</v>
      </c>
      <c r="AG33" s="146"/>
      <c r="AH33" s="146"/>
      <c r="AI33" s="146"/>
      <c r="AJ33" s="146"/>
      <c r="AK33" s="146"/>
      <c r="AL33" s="149"/>
      <c r="AM33" s="150"/>
      <c r="AN33" s="151"/>
      <c r="AO33" s="151"/>
      <c r="AP33" s="151"/>
      <c r="AQ33" s="151"/>
      <c r="AR33" s="151"/>
      <c r="AS33" s="152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42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45"/>
      <c r="U34" s="146"/>
      <c r="V34" s="146"/>
      <c r="W34" s="146"/>
      <c r="X34" s="147"/>
      <c r="Y34" s="147"/>
      <c r="Z34" s="148"/>
      <c r="AA34" s="145"/>
      <c r="AB34" s="146"/>
      <c r="AC34" s="146"/>
      <c r="AD34" s="146"/>
      <c r="AE34" s="149"/>
      <c r="AF34" s="145">
        <f>IF(T34="",1*AA34,T34*AA34)</f>
        <v>0</v>
      </c>
      <c r="AG34" s="146"/>
      <c r="AH34" s="146"/>
      <c r="AI34" s="146"/>
      <c r="AJ34" s="146"/>
      <c r="AK34" s="146"/>
      <c r="AL34" s="149"/>
      <c r="AM34" s="150"/>
      <c r="AN34" s="151"/>
      <c r="AO34" s="151"/>
      <c r="AP34" s="151"/>
      <c r="AQ34" s="151"/>
      <c r="AR34" s="151"/>
      <c r="AS34" s="152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 t="s">
        <v>104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45"/>
      <c r="U35" s="146"/>
      <c r="V35" s="146"/>
      <c r="W35" s="146"/>
      <c r="X35" s="147" t="s">
        <v>18</v>
      </c>
      <c r="Y35" s="147"/>
      <c r="Z35" s="148"/>
      <c r="AA35" s="145">
        <v>-115380</v>
      </c>
      <c r="AB35" s="146"/>
      <c r="AC35" s="146"/>
      <c r="AD35" s="146"/>
      <c r="AE35" s="149"/>
      <c r="AF35" s="145">
        <f>IF(T35="",1*AA35,T35*AA35)</f>
        <v>-115380</v>
      </c>
      <c r="AG35" s="146"/>
      <c r="AH35" s="146"/>
      <c r="AI35" s="146"/>
      <c r="AJ35" s="146"/>
      <c r="AK35" s="146"/>
      <c r="AL35" s="149"/>
      <c r="AM35" s="150"/>
      <c r="AN35" s="151"/>
      <c r="AO35" s="151"/>
      <c r="AP35" s="151"/>
      <c r="AQ35" s="151"/>
      <c r="AR35" s="151"/>
      <c r="AS35" s="152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 t="s">
        <v>124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45"/>
      <c r="U36" s="146"/>
      <c r="V36" s="146"/>
      <c r="W36" s="146"/>
      <c r="X36" s="147"/>
      <c r="Y36" s="147"/>
      <c r="Z36" s="148"/>
      <c r="AA36" s="145"/>
      <c r="AB36" s="146"/>
      <c r="AC36" s="146"/>
      <c r="AD36" s="146"/>
      <c r="AE36" s="149"/>
      <c r="AF36" s="145">
        <f t="shared" si="0"/>
        <v>0</v>
      </c>
      <c r="AG36" s="146"/>
      <c r="AH36" s="146"/>
      <c r="AI36" s="146"/>
      <c r="AJ36" s="146"/>
      <c r="AK36" s="146"/>
      <c r="AL36" s="149"/>
      <c r="AM36" s="150"/>
      <c r="AN36" s="151"/>
      <c r="AO36" s="151"/>
      <c r="AP36" s="151"/>
      <c r="AQ36" s="151"/>
      <c r="AR36" s="151"/>
      <c r="AS36" s="152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 t="s">
        <v>105</v>
      </c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 t="shared" si="0"/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32" t="s">
        <v>88</v>
      </c>
      <c r="C38" s="133"/>
      <c r="D38" s="133"/>
      <c r="E38" s="133"/>
      <c r="F38" s="133"/>
      <c r="G38" s="134"/>
      <c r="H38" s="135">
        <f>AA38*0.1</f>
        <v>11788</v>
      </c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7"/>
      <c r="T38" s="138" t="s">
        <v>11</v>
      </c>
      <c r="U38" s="133"/>
      <c r="V38" s="133"/>
      <c r="W38" s="133"/>
      <c r="X38" s="133"/>
      <c r="Y38" s="133"/>
      <c r="Z38" s="134"/>
      <c r="AA38" s="139">
        <f>SUM(AF26:AL37)</f>
        <v>117880</v>
      </c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1"/>
      <c r="AM38" s="185"/>
      <c r="AN38" s="186"/>
      <c r="AO38" s="186"/>
      <c r="AP38" s="186"/>
      <c r="AQ38" s="186"/>
      <c r="AR38" s="186"/>
      <c r="AS38" s="18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18" t="s">
        <v>5</v>
      </c>
      <c r="C39" s="119"/>
      <c r="D39" s="119"/>
      <c r="E39" s="119"/>
      <c r="F39" s="119"/>
      <c r="G39" s="120"/>
      <c r="H39" s="121">
        <f>CK115+H38</f>
        <v>129668</v>
      </c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3"/>
      <c r="AM39" s="181"/>
      <c r="AN39" s="182"/>
      <c r="AO39" s="182"/>
      <c r="AP39" s="182"/>
      <c r="AQ39" s="182"/>
      <c r="AR39" s="182"/>
      <c r="AS39" s="183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24" t="s">
        <v>12</v>
      </c>
      <c r="C40" s="125"/>
      <c r="D40" s="125"/>
      <c r="E40" s="126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8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thickBot="1" x14ac:dyDescent="0.2">
      <c r="A41" s="25"/>
      <c r="B41" s="129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Top="1" thickBot="1" x14ac:dyDescent="0.2">
      <c r="A42" s="25"/>
      <c r="B42" s="129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9"/>
      <c r="O44" s="109"/>
      <c r="P44" s="109"/>
      <c r="Q44" s="109"/>
      <c r="R44" s="109"/>
      <c r="S44" s="109"/>
      <c r="T44" s="109"/>
      <c r="U44" s="109"/>
      <c r="V44" s="109"/>
      <c r="W44" s="1"/>
      <c r="X44" s="50"/>
      <c r="Y44" s="16"/>
      <c r="Z44" s="15"/>
      <c r="AA44" s="15"/>
      <c r="AB44" s="117"/>
      <c r="AC44" s="117"/>
      <c r="AD44" s="117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11"/>
      <c r="O45" s="111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6"/>
      <c r="AC45" s="116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1"/>
      <c r="O46" s="111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1"/>
      <c r="O47" s="111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7"/>
      <c r="AB47" s="117"/>
      <c r="AC47" s="117"/>
      <c r="AD47" s="117"/>
      <c r="AE47" s="117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1"/>
      <c r="O48" s="111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6"/>
      <c r="AC48" s="116"/>
      <c r="AD48" s="116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1"/>
      <c r="O49" s="111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6"/>
      <c r="AC49" s="116"/>
      <c r="AD49" s="116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1"/>
      <c r="O50" s="111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1"/>
      <c r="O51" s="111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84"/>
      <c r="AB51" s="184"/>
      <c r="AC51" s="184"/>
      <c r="AD51" s="184"/>
      <c r="AE51" s="184"/>
      <c r="AF51" s="184"/>
      <c r="AG51" s="184"/>
      <c r="AH51" s="184"/>
      <c r="AI51" s="184"/>
      <c r="AJ51" s="117"/>
      <c r="AK51" s="117"/>
      <c r="AL51" s="117"/>
      <c r="AM51" s="117"/>
      <c r="AN51" s="117"/>
      <c r="AO51" s="117"/>
      <c r="AP51" s="117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1"/>
      <c r="O52" s="111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1"/>
      <c r="O53" s="111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1"/>
      <c r="O54" s="111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1"/>
      <c r="O55" s="111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9"/>
      <c r="O56" s="109"/>
      <c r="P56" s="107">
        <f>SUM(CK115:CQ115)</f>
        <v>117880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5"/>
      <c r="O60" s="115"/>
      <c r="P60" s="115"/>
      <c r="Q60" s="115"/>
      <c r="R60" s="113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"/>
      <c r="AR60" s="109"/>
      <c r="AS60" s="109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58</v>
      </c>
      <c r="FC100" s="59" t="s">
        <v>59</v>
      </c>
      <c r="FD100" s="59" t="s">
        <v>60</v>
      </c>
      <c r="FE100" s="59" t="s">
        <v>61</v>
      </c>
      <c r="FF100" s="59" t="s">
        <v>14</v>
      </c>
      <c r="FG100" s="59" t="s">
        <v>14</v>
      </c>
      <c r="FH100" s="59" t="s">
        <v>62</v>
      </c>
      <c r="FI100" s="59" t="s">
        <v>63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展示会参加諸経費</v>
      </c>
      <c r="FE101" s="61">
        <f>T26</f>
        <v>0</v>
      </c>
      <c r="FF101" s="61">
        <f>X26</f>
        <v>0</v>
      </c>
      <c r="FG101" s="61">
        <f>AA26</f>
        <v>0</v>
      </c>
      <c r="FH101" s="61">
        <f>AF26</f>
        <v>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56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交通費　岐阜-新潟　片道　2 時間 12 分（154 km）</v>
      </c>
      <c r="FE102" s="61">
        <f t="shared" ref="FE102:FE112" si="3">T27</f>
        <v>1</v>
      </c>
      <c r="FF102" s="61" t="str">
        <f t="shared" ref="FF102:FF112" si="4">X27</f>
        <v>台</v>
      </c>
      <c r="FG102" s="61">
        <f t="shared" ref="FG102:FG112" si="5">AA27</f>
        <v>18480</v>
      </c>
      <c r="FH102" s="61">
        <f t="shared" ref="FH102:FH112" si="6">AF27</f>
        <v>18480</v>
      </c>
      <c r="FI102" s="61" t="str">
        <f t="shared" ref="FI102:FI112" si="7">AM27</f>
        <v>10k＝600円</v>
      </c>
    </row>
    <row r="103" spans="79:165" ht="15" customHeight="1" x14ac:dyDescent="0.15">
      <c r="CA103" s="43"/>
      <c r="CB103" s="1"/>
      <c r="CC103" s="1"/>
      <c r="CD103" s="1"/>
      <c r="CE103" s="49" t="s">
        <v>48</v>
      </c>
      <c r="CF103" s="1"/>
      <c r="CG103" s="1"/>
      <c r="CH103" s="1"/>
      <c r="CI103" s="87" t="s">
        <v>13</v>
      </c>
      <c r="CJ103" s="112"/>
      <c r="CK103" s="112"/>
      <c r="CL103" s="112"/>
      <c r="CM103" s="112"/>
      <c r="CN103" s="112"/>
      <c r="CO103" s="112"/>
      <c r="CP103" s="112"/>
      <c r="CQ103" s="88"/>
      <c r="CR103" s="1"/>
      <c r="CS103" s="26" t="s">
        <v>14</v>
      </c>
      <c r="CT103" s="14"/>
      <c r="CU103" s="15"/>
      <c r="CV103" s="15"/>
      <c r="CW103" s="106" t="s">
        <v>10</v>
      </c>
      <c r="CX103" s="106"/>
      <c r="CY103" s="106"/>
      <c r="CZ103" s="15"/>
      <c r="DA103" s="16"/>
      <c r="DB103" s="16"/>
      <c r="DC103" s="16"/>
      <c r="DD103" s="35" t="s">
        <v>47</v>
      </c>
      <c r="DE103" s="36"/>
      <c r="DF103" s="36"/>
      <c r="DG103" s="36"/>
      <c r="DH103" s="36"/>
      <c r="DI103" s="36"/>
      <c r="DJ103" s="37"/>
      <c r="DK103" s="15"/>
      <c r="DL103" s="1"/>
      <c r="DM103" s="108" t="s">
        <v>54</v>
      </c>
      <c r="DN103" s="108"/>
      <c r="DO103" s="108"/>
      <c r="DP103" s="108"/>
      <c r="DQ103" s="108"/>
      <c r="DR103" s="10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57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ETC利用料金</v>
      </c>
      <c r="FE103" s="61">
        <f t="shared" si="3"/>
        <v>1</v>
      </c>
      <c r="FF103" s="61" t="str">
        <f t="shared" si="4"/>
        <v>台</v>
      </c>
      <c r="FG103" s="61">
        <f t="shared" si="5"/>
        <v>7280</v>
      </c>
      <c r="FH103" s="61">
        <f t="shared" si="6"/>
        <v>7280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99">
        <v>0</v>
      </c>
      <c r="CJ104" s="99"/>
      <c r="CK104" s="98">
        <f>AA38</f>
        <v>117880</v>
      </c>
      <c r="CL104" s="98"/>
      <c r="CM104" s="98"/>
      <c r="CN104" s="98"/>
      <c r="CO104" s="98"/>
      <c r="CP104" s="98"/>
      <c r="CQ104" s="98"/>
      <c r="CR104" s="1"/>
      <c r="CS104" s="17" t="s">
        <v>15</v>
      </c>
      <c r="CT104" s="18"/>
      <c r="CU104" s="15"/>
      <c r="CV104" s="15"/>
      <c r="CW104" s="100">
        <v>5</v>
      </c>
      <c r="CX104" s="101"/>
      <c r="CY104" s="19" t="s">
        <v>16</v>
      </c>
      <c r="CZ104" s="15"/>
      <c r="DA104" s="15"/>
      <c r="DB104" s="15"/>
      <c r="DC104" s="15"/>
      <c r="DD104" s="38" t="s">
        <v>42</v>
      </c>
      <c r="DE104" s="39"/>
      <c r="DF104" s="39"/>
      <c r="DG104" s="39"/>
      <c r="DH104" s="39"/>
      <c r="DI104" s="39"/>
      <c r="DJ104" s="22"/>
      <c r="DK104" s="15"/>
      <c r="DL104" s="1"/>
      <c r="DM104" s="103" t="s">
        <v>55</v>
      </c>
      <c r="DN104" s="104"/>
      <c r="DO104" s="104"/>
      <c r="DP104" s="104"/>
      <c r="DQ104" s="104"/>
      <c r="DR104" s="105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宿泊費　1泊2日　　1名分</v>
      </c>
      <c r="FE104" s="61">
        <f t="shared" si="3"/>
        <v>0</v>
      </c>
      <c r="FF104" s="61" t="str">
        <f t="shared" si="4"/>
        <v>一式</v>
      </c>
      <c r="FG104" s="61">
        <f t="shared" si="5"/>
        <v>15000</v>
      </c>
      <c r="FH104" s="61">
        <f t="shared" si="6"/>
        <v>15000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99">
        <v>1</v>
      </c>
      <c r="CJ105" s="99"/>
      <c r="CK105" s="98">
        <f>IF(ISERROR(#REF!),0,#REF!)</f>
        <v>0</v>
      </c>
      <c r="CL105" s="98"/>
      <c r="CM105" s="98"/>
      <c r="CN105" s="98"/>
      <c r="CO105" s="98"/>
      <c r="CP105" s="98"/>
      <c r="CQ105" s="98"/>
      <c r="CR105" s="1"/>
      <c r="CS105" s="17" t="s">
        <v>17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43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 t="str">
        <f t="shared" si="4"/>
        <v>一式</v>
      </c>
      <c r="FG105" s="61">
        <f t="shared" si="5"/>
        <v>50000</v>
      </c>
      <c r="FH105" s="61">
        <f t="shared" si="6"/>
        <v>50000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99">
        <v>2</v>
      </c>
      <c r="CJ106" s="99"/>
      <c r="CK106" s="98">
        <f>IF(ISERROR(#REF!),0,#REF!)</f>
        <v>0</v>
      </c>
      <c r="CL106" s="98"/>
      <c r="CM106" s="98"/>
      <c r="CN106" s="98"/>
      <c r="CO106" s="98"/>
      <c r="CP106" s="98"/>
      <c r="CQ106" s="98"/>
      <c r="CR106" s="1"/>
      <c r="CS106" s="20" t="s">
        <v>18</v>
      </c>
      <c r="CT106" s="21"/>
      <c r="CU106" s="15"/>
      <c r="CV106" s="106" t="s">
        <v>19</v>
      </c>
      <c r="CW106" s="106"/>
      <c r="CX106" s="106"/>
      <c r="CY106" s="106"/>
      <c r="CZ106" s="106"/>
      <c r="DA106" s="15"/>
      <c r="DB106" s="15"/>
      <c r="DC106" s="15"/>
      <c r="DD106" s="38" t="s">
        <v>44</v>
      </c>
      <c r="DE106" s="39"/>
      <c r="DF106" s="39"/>
      <c r="DG106" s="39"/>
      <c r="DH106" s="39"/>
      <c r="DI106" s="39"/>
      <c r="DJ106" s="22"/>
      <c r="DK106" s="15"/>
      <c r="DL106" s="1"/>
      <c r="DM106" s="108" t="s">
        <v>65</v>
      </c>
      <c r="DN106" s="108"/>
      <c r="DO106" s="108"/>
      <c r="DP106" s="108"/>
      <c r="DQ106" s="108"/>
      <c r="DR106" s="10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 t="str">
        <f t="shared" si="4"/>
        <v>一式</v>
      </c>
      <c r="FG106" s="61">
        <f t="shared" si="5"/>
        <v>75000</v>
      </c>
      <c r="FH106" s="61">
        <f t="shared" si="6"/>
        <v>75000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99">
        <v>3</v>
      </c>
      <c r="CJ107" s="99"/>
      <c r="CK107" s="98">
        <f>IF(ISERROR(#REF!),0,#REF!)</f>
        <v>0</v>
      </c>
      <c r="CL107" s="98"/>
      <c r="CM107" s="98"/>
      <c r="CN107" s="98"/>
      <c r="CO107" s="98"/>
      <c r="CP107" s="98"/>
      <c r="CQ107" s="98"/>
      <c r="CR107" s="1"/>
      <c r="CS107" s="17" t="s">
        <v>20</v>
      </c>
      <c r="CT107" s="18"/>
      <c r="CU107" s="15"/>
      <c r="CV107" s="27" t="s">
        <v>21</v>
      </c>
      <c r="CW107" s="100">
        <v>100</v>
      </c>
      <c r="CX107" s="100"/>
      <c r="CY107" s="101"/>
      <c r="CZ107" s="22" t="s">
        <v>16</v>
      </c>
      <c r="DA107" s="15"/>
      <c r="DB107" s="15"/>
      <c r="DC107" s="15"/>
      <c r="DD107" s="38" t="s">
        <v>45</v>
      </c>
      <c r="DE107" s="39"/>
      <c r="DF107" s="39"/>
      <c r="DG107" s="39"/>
      <c r="DH107" s="39"/>
      <c r="DI107" s="39"/>
      <c r="DJ107" s="22"/>
      <c r="DK107" s="15"/>
      <c r="DL107" s="1"/>
      <c r="DM107" s="89" t="s">
        <v>73</v>
      </c>
      <c r="DN107" s="90"/>
      <c r="DO107" s="90"/>
      <c r="DP107" s="90"/>
      <c r="DQ107" s="90"/>
      <c r="DR107" s="9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 t="str">
        <f t="shared" si="4"/>
        <v>一式</v>
      </c>
      <c r="FG107" s="61">
        <f t="shared" si="5"/>
        <v>17500</v>
      </c>
      <c r="FH107" s="61">
        <f t="shared" si="6"/>
        <v>17500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49</v>
      </c>
      <c r="CF108" s="1"/>
      <c r="CG108" s="1"/>
      <c r="CH108" s="1"/>
      <c r="CI108" s="99">
        <v>4</v>
      </c>
      <c r="CJ108" s="99"/>
      <c r="CK108" s="98"/>
      <c r="CL108" s="98"/>
      <c r="CM108" s="98"/>
      <c r="CN108" s="98"/>
      <c r="CO108" s="98"/>
      <c r="CP108" s="98"/>
      <c r="CQ108" s="98"/>
      <c r="CR108" s="1"/>
      <c r="CS108" s="17" t="s">
        <v>22</v>
      </c>
      <c r="CT108" s="18"/>
      <c r="CU108" s="15"/>
      <c r="CV108" s="27" t="s">
        <v>23</v>
      </c>
      <c r="CW108" s="100">
        <v>80</v>
      </c>
      <c r="CX108" s="100"/>
      <c r="CY108" s="101"/>
      <c r="CZ108" s="22" t="s">
        <v>16</v>
      </c>
      <c r="DA108" s="15"/>
      <c r="DB108" s="15"/>
      <c r="DC108" s="15"/>
      <c r="DD108" s="38" t="s">
        <v>46</v>
      </c>
      <c r="DE108" s="39"/>
      <c r="DF108" s="39"/>
      <c r="DG108" s="39"/>
      <c r="DH108" s="39"/>
      <c r="DI108" s="39"/>
      <c r="DJ108" s="22"/>
      <c r="DK108" s="15"/>
      <c r="DL108" s="1"/>
      <c r="DM108" s="103" t="s">
        <v>66</v>
      </c>
      <c r="DN108" s="104"/>
      <c r="DO108" s="104"/>
      <c r="DP108" s="104"/>
      <c r="DQ108" s="104"/>
      <c r="DR108" s="105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日当１日分　土日</v>
      </c>
      <c r="FE108" s="61">
        <f t="shared" si="3"/>
        <v>0</v>
      </c>
      <c r="FF108" s="61" t="str">
        <f t="shared" si="4"/>
        <v>一式</v>
      </c>
      <c r="FG108" s="61">
        <f t="shared" si="5"/>
        <v>50000</v>
      </c>
      <c r="FH108" s="61">
        <f t="shared" si="6"/>
        <v>50000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99">
        <v>5</v>
      </c>
      <c r="CJ109" s="99"/>
      <c r="CK109" s="98"/>
      <c r="CL109" s="98"/>
      <c r="CM109" s="98"/>
      <c r="CN109" s="98"/>
      <c r="CO109" s="98"/>
      <c r="CP109" s="98"/>
      <c r="CQ109" s="98"/>
      <c r="CR109" s="1"/>
      <c r="CS109" s="20" t="s">
        <v>24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3" t="s">
        <v>67</v>
      </c>
      <c r="DN109" s="104"/>
      <c r="DO109" s="104"/>
      <c r="DP109" s="104"/>
      <c r="DQ109" s="104"/>
      <c r="DR109" s="105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50</v>
      </c>
      <c r="CF110" s="1"/>
      <c r="CG110" s="1"/>
      <c r="CH110" s="1"/>
      <c r="CI110" s="99">
        <v>6</v>
      </c>
      <c r="CJ110" s="99"/>
      <c r="CK110" s="98"/>
      <c r="CL110" s="98"/>
      <c r="CM110" s="98"/>
      <c r="CN110" s="98"/>
      <c r="CO110" s="98"/>
      <c r="CP110" s="98"/>
      <c r="CQ110" s="98"/>
      <c r="CR110" s="1"/>
      <c r="CS110" s="20" t="s">
        <v>25</v>
      </c>
      <c r="CT110" s="20"/>
      <c r="CU110" s="15"/>
      <c r="CV110" s="102" t="s">
        <v>26</v>
      </c>
      <c r="CW110" s="102"/>
      <c r="CX110" s="102"/>
      <c r="CY110" s="102"/>
      <c r="CZ110" s="102"/>
      <c r="DA110" s="102"/>
      <c r="DB110" s="102"/>
      <c r="DC110" s="102"/>
      <c r="DD110" s="102"/>
      <c r="DE110" s="106" t="s">
        <v>27</v>
      </c>
      <c r="DF110" s="106"/>
      <c r="DG110" s="106"/>
      <c r="DH110" s="106"/>
      <c r="DI110" s="106"/>
      <c r="DJ110" s="106"/>
      <c r="DK110" s="106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 t="str">
        <f t="shared" si="2"/>
        <v>代理店協力50％値引き</v>
      </c>
      <c r="FE110" s="61">
        <f t="shared" si="3"/>
        <v>0</v>
      </c>
      <c r="FF110" s="61" t="str">
        <f t="shared" si="4"/>
        <v>一式</v>
      </c>
      <c r="FG110" s="61">
        <f t="shared" si="5"/>
        <v>-115380</v>
      </c>
      <c r="FH110" s="61">
        <f t="shared" si="6"/>
        <v>-115380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51</v>
      </c>
      <c r="CF111" s="1"/>
      <c r="CG111" s="1"/>
      <c r="CH111" s="1"/>
      <c r="CI111" s="99">
        <v>7</v>
      </c>
      <c r="CJ111" s="99"/>
      <c r="CK111" s="98"/>
      <c r="CL111" s="98"/>
      <c r="CM111" s="98"/>
      <c r="CN111" s="98"/>
      <c r="CO111" s="98"/>
      <c r="CP111" s="98"/>
      <c r="CQ111" s="98"/>
      <c r="CR111" s="1"/>
      <c r="CS111" s="17" t="s">
        <v>28</v>
      </c>
      <c r="CT111" s="18"/>
      <c r="CU111" s="15"/>
      <c r="CV111" s="27" t="s">
        <v>21</v>
      </c>
      <c r="CW111" s="96" t="s">
        <v>69</v>
      </c>
      <c r="CX111" s="96"/>
      <c r="CY111" s="96"/>
      <c r="CZ111" s="96"/>
      <c r="DA111" s="96"/>
      <c r="DB111" s="96"/>
      <c r="DC111" s="96"/>
      <c r="DD111" s="96"/>
      <c r="DE111" s="96" t="s">
        <v>29</v>
      </c>
      <c r="DF111" s="96"/>
      <c r="DG111" s="96"/>
      <c r="DH111" s="96"/>
      <c r="DI111" s="96"/>
      <c r="DJ111" s="96"/>
      <c r="DK111" s="96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 t="str">
        <f t="shared" si="2"/>
        <v>遮光パネル付き溶接台準備します。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99">
        <v>8</v>
      </c>
      <c r="CJ112" s="99"/>
      <c r="CK112" s="98"/>
      <c r="CL112" s="98"/>
      <c r="CM112" s="98"/>
      <c r="CN112" s="98"/>
      <c r="CO112" s="98"/>
      <c r="CP112" s="98"/>
      <c r="CQ112" s="98"/>
      <c r="CR112" s="1"/>
      <c r="CS112" s="17" t="s">
        <v>30</v>
      </c>
      <c r="CT112" s="18"/>
      <c r="CU112" s="15"/>
      <c r="CV112" s="27" t="s">
        <v>23</v>
      </c>
      <c r="CW112" s="96" t="s">
        <v>77</v>
      </c>
      <c r="CX112" s="96"/>
      <c r="CY112" s="96"/>
      <c r="CZ112" s="96"/>
      <c r="DA112" s="96"/>
      <c r="DB112" s="96"/>
      <c r="DC112" s="96"/>
      <c r="DD112" s="96"/>
      <c r="DE112" s="96" t="s">
        <v>78</v>
      </c>
      <c r="DF112" s="96"/>
      <c r="DG112" s="96"/>
      <c r="DH112" s="96"/>
      <c r="DI112" s="96"/>
      <c r="DJ112" s="96"/>
      <c r="DK112" s="96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 t="str">
        <f t="shared" si="2"/>
        <v>デモ機の搬入撤収時男性3名手伝い要します。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99">
        <v>9</v>
      </c>
      <c r="CJ113" s="99"/>
      <c r="CK113" s="98"/>
      <c r="CL113" s="98"/>
      <c r="CM113" s="98"/>
      <c r="CN113" s="98"/>
      <c r="CO113" s="98"/>
      <c r="CP113" s="98"/>
      <c r="CQ113" s="98"/>
      <c r="CR113" s="1"/>
      <c r="CS113" s="17" t="s">
        <v>31</v>
      </c>
      <c r="CT113" s="18"/>
      <c r="CU113" s="15"/>
      <c r="CV113" s="27" t="s">
        <v>32</v>
      </c>
      <c r="CW113" s="96" t="s">
        <v>80</v>
      </c>
      <c r="CX113" s="96"/>
      <c r="CY113" s="96"/>
      <c r="CZ113" s="96"/>
      <c r="DA113" s="96"/>
      <c r="DB113" s="96"/>
      <c r="DC113" s="96"/>
      <c r="DD113" s="96"/>
      <c r="DE113" s="96" t="s">
        <v>79</v>
      </c>
      <c r="DF113" s="96"/>
      <c r="DG113" s="96"/>
      <c r="DH113" s="96"/>
      <c r="DI113" s="96"/>
      <c r="DJ113" s="96"/>
      <c r="DK113" s="96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99">
        <v>10</v>
      </c>
      <c r="CJ114" s="99"/>
      <c r="CK114" s="98"/>
      <c r="CL114" s="98"/>
      <c r="CM114" s="98"/>
      <c r="CN114" s="98"/>
      <c r="CO114" s="98"/>
      <c r="CP114" s="98"/>
      <c r="CQ114" s="98"/>
      <c r="CR114" s="1"/>
      <c r="CS114" s="20" t="s">
        <v>33</v>
      </c>
      <c r="CT114" s="21"/>
      <c r="CU114" s="15"/>
      <c r="CV114" s="27" t="s">
        <v>34</v>
      </c>
      <c r="CW114" s="96" t="s">
        <v>70</v>
      </c>
      <c r="CX114" s="96"/>
      <c r="CY114" s="96"/>
      <c r="CZ114" s="96"/>
      <c r="DA114" s="96"/>
      <c r="DB114" s="96"/>
      <c r="DC114" s="96"/>
      <c r="DD114" s="96"/>
      <c r="DE114" s="96" t="s">
        <v>35</v>
      </c>
      <c r="DF114" s="96"/>
      <c r="DG114" s="96"/>
      <c r="DH114" s="96"/>
      <c r="DI114" s="96"/>
      <c r="DJ114" s="96"/>
      <c r="DK114" s="96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7" t="s">
        <v>36</v>
      </c>
      <c r="CJ115" s="97"/>
      <c r="CK115" s="98">
        <f>SUM(CK104:CQ114)</f>
        <v>117880</v>
      </c>
      <c r="CL115" s="98"/>
      <c r="CM115" s="98"/>
      <c r="CN115" s="98"/>
      <c r="CO115" s="98"/>
      <c r="CP115" s="98"/>
      <c r="CQ115" s="98"/>
      <c r="CR115" s="1"/>
      <c r="CS115" s="17" t="s">
        <v>41</v>
      </c>
      <c r="CT115" s="18"/>
      <c r="CU115" s="15"/>
      <c r="CV115" s="27" t="s">
        <v>37</v>
      </c>
      <c r="CW115" s="96" t="s">
        <v>71</v>
      </c>
      <c r="CX115" s="96"/>
      <c r="CY115" s="96"/>
      <c r="CZ115" s="96"/>
      <c r="DA115" s="96"/>
      <c r="DB115" s="96"/>
      <c r="DC115" s="96"/>
      <c r="DD115" s="96"/>
      <c r="DE115" s="96" t="s">
        <v>38</v>
      </c>
      <c r="DF115" s="96"/>
      <c r="DG115" s="96"/>
      <c r="DH115" s="96"/>
      <c r="DI115" s="96"/>
      <c r="DJ115" s="96"/>
      <c r="DK115" s="96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93" t="s">
        <v>39</v>
      </c>
      <c r="CJ119" s="93"/>
      <c r="CK119" s="93"/>
      <c r="CL119" s="93"/>
      <c r="CM119" s="94" t="s">
        <v>81</v>
      </c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  <c r="DC119" s="95"/>
      <c r="DD119" s="95"/>
      <c r="DE119" s="95"/>
      <c r="DF119" s="95"/>
      <c r="DG119" s="95"/>
      <c r="DH119" s="95"/>
      <c r="DI119" s="95"/>
      <c r="DJ119" s="95"/>
      <c r="DK119" s="95"/>
      <c r="DL119" s="1"/>
      <c r="DM119" s="87" t="s">
        <v>40</v>
      </c>
      <c r="DN119" s="88"/>
      <c r="DO119" s="89" t="s">
        <v>74</v>
      </c>
      <c r="DP119" s="90"/>
      <c r="DQ119" s="90"/>
      <c r="DR119" s="90"/>
      <c r="DS119" s="90"/>
      <c r="DT119" s="90"/>
      <c r="DU119" s="9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93" t="s">
        <v>68</v>
      </c>
      <c r="CJ120" s="93"/>
      <c r="CK120" s="93"/>
      <c r="CL120" s="93"/>
      <c r="CM120" s="94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  <c r="DA120" s="95"/>
      <c r="DB120" s="95"/>
      <c r="DC120" s="95"/>
      <c r="DD120" s="95"/>
      <c r="DE120" s="95"/>
      <c r="DF120" s="95"/>
      <c r="DG120" s="95"/>
      <c r="DH120" s="95"/>
      <c r="DI120" s="95"/>
      <c r="DJ120" s="95"/>
      <c r="DK120" s="95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82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58</v>
      </c>
      <c r="FC400" s="59" t="s">
        <v>59</v>
      </c>
      <c r="FD400" s="59" t="s">
        <v>60</v>
      </c>
      <c r="FE400" s="59" t="s">
        <v>61</v>
      </c>
      <c r="FF400" s="59" t="s">
        <v>14</v>
      </c>
      <c r="FG400" s="59" t="s">
        <v>64</v>
      </c>
      <c r="FH400" s="59" t="s">
        <v>62</v>
      </c>
      <c r="FI400" s="59" t="s">
        <v>63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D4190A63-BF31-48F3-AB1A-4E0085442989}"/>
    <dataValidation allowBlank="1" showInputMessage="1" showErrorMessage="1" promptTitle="明細書01の状態" prompt="明細書01が表示されているときは 0_x000a_明細書01が非表示のときは 1" sqref="CE107" xr:uid="{0DB69578-CCC0-4525-8F40-CE5B2010AA7E}"/>
    <dataValidation allowBlank="1" showInputMessage="1" showErrorMessage="1" promptTitle="シート数を入力" prompt="明細書が出ていない状態でシート枚数を表示" sqref="CE106" xr:uid="{245A16DF-E6A7-43E0-A925-BF93F7E8BBF0}"/>
    <dataValidation type="list" allowBlank="1" showInputMessage="1" showErrorMessage="1" sqref="DM104:DR104" xr:uid="{FD313196-1F50-4D29-A266-2471CCD6205D}">
      <formula1>$EM$102:$EM$103</formula1>
    </dataValidation>
    <dataValidation type="list" allowBlank="1" showInputMessage="1" showErrorMessage="1" sqref="T7:V8" xr:uid="{B8BA7997-4585-4548-AE81-4EED65503713}">
      <formula1>$CE$109:$CE$111</formula1>
    </dataValidation>
    <dataValidation type="list" imeMode="hiragana" allowBlank="1" showInputMessage="1" showErrorMessage="1" prompt="ボタンを押し単位を入力" sqref="X26:Z37" xr:uid="{6AAF34F7-D2F1-4657-9435-FC78A6B317EC}">
      <formula1>$CS$104:$CS$116</formula1>
    </dataValidation>
    <dataValidation type="list" allowBlank="1" showInputMessage="1" showErrorMessage="1" sqref="AA2:AJ3" xr:uid="{71A96F4E-D23F-44B9-86C5-0FDFC500BC41}">
      <formula1>$DD$104:$DD$108</formula1>
    </dataValidation>
    <dataValidation imeMode="hiragana" allowBlank="1" showInputMessage="1" showErrorMessage="1" prompt="備考があれば入力" sqref="AN35:AS37 AM26:AM37" xr:uid="{417EEFD4-0A6E-4C3A-A9A3-3C84F01228A3}"/>
    <dataValidation imeMode="off" allowBlank="1" showInputMessage="1" showErrorMessage="1" prompt="単価を入力" sqref="AA26:AE37" xr:uid="{9FA1C997-8E79-4482-8109-A78D4AD5DF38}"/>
    <dataValidation imeMode="off" allowBlank="1" showInputMessage="1" showErrorMessage="1" prompt="数量を入力" sqref="T26:W37" xr:uid="{2A579F96-C41A-4995-B7CC-3C9666C5BD7A}"/>
    <dataValidation imeMode="hiragana" allowBlank="1" showInputMessage="1" showErrorMessage="1" prompt="品名を入力" sqref="B26:S37" xr:uid="{D8BD6B30-F6EA-40F1-AE3A-7B44A857D790}"/>
    <dataValidation imeMode="hiragana" allowBlank="1" showInputMessage="1" showErrorMessage="1" prompt="担当者を入力" sqref="AF17:AL17" xr:uid="{BA06EE24-71E0-4FE9-9592-D7F5CF7E9A8C}"/>
    <dataValidation imeMode="hiragana" allowBlank="1" showInputMessage="1" showErrorMessage="1" prompt="受渡場所を入力_x000a_例：貴社指定場所" sqref="H13:T13" xr:uid="{881BAE28-25AB-4F87-91F7-73BEE0B1B976}"/>
    <dataValidation imeMode="off" allowBlank="1" showInputMessage="1" showErrorMessage="1" prompt="年を入力" sqref="J17:L17" xr:uid="{007D442B-E27D-47A8-9E82-75D164D84D71}"/>
    <dataValidation imeMode="hiragana" allowBlank="1" showInputMessage="1" showErrorMessage="1" sqref="AB9:AS9 E40:AS40 B41:AS42" xr:uid="{9F2561EB-5559-40E2-8A9B-67EE3B4A85BA}"/>
    <dataValidation allowBlank="1" showInputMessage="1" showErrorMessage="1" prompt="見積書NOを入力" sqref="AN3:AR3" xr:uid="{99E793E4-7C45-47F5-919B-1E0893B54201}"/>
    <dataValidation imeMode="hiragana" allowBlank="1" showInputMessage="1" showErrorMessage="1" prompt="お客様名を入力" sqref="D7:S8" xr:uid="{810F27DA-1635-4865-B40B-BE0DF8BE8E2D}"/>
    <dataValidation imeMode="hiragana" allowBlank="1" showInputMessage="1" showErrorMessage="1" prompt="お客様の住所でビル名番地など入力" sqref="D5:R5" xr:uid="{16F7A332-313B-4D22-8CD5-4E66F4340B75}"/>
    <dataValidation imeMode="hiragana" allowBlank="1" showInputMessage="1" showErrorMessage="1" prompt="お客様の住所を入力" sqref="D4" xr:uid="{D93BAA7E-2A06-4B16-B243-20DFD5AA4E1D}"/>
    <dataValidation imeMode="off" allowBlank="1" showInputMessage="1" showErrorMessage="1" prompt="お客様の郵便番号を入力" sqref="E3:H3" xr:uid="{02CBAF7B-FE72-43FE-A27C-6A7EAF35D614}"/>
    <dataValidation imeMode="off" allowBlank="1" showInputMessage="1" showErrorMessage="1" prompt="日を入力" sqref="AP6:AQ6 Q17:R17" xr:uid="{93095103-927A-4D2C-8E35-75927242FB5F}"/>
    <dataValidation imeMode="off" allowBlank="1" showInputMessage="1" showErrorMessage="1" prompt="月を入力" sqref="AM6:AN6 N17:O17" xr:uid="{7C4B3844-3B13-43CA-AD2B-9F5174777827}"/>
    <dataValidation imeMode="off" allowBlank="1" showInputMessage="1" showErrorMessage="1" prompt="年を入力  西暦表示の場合、平成を消してください" sqref="AI6:AK6" xr:uid="{1AEE4854-9378-44C9-91E4-735285830571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5A82-7687-48BD-8972-A377F3A73239}">
  <sheetPr>
    <pageSetUpPr fitToPage="1"/>
  </sheetPr>
  <dimension ref="A1:FI642"/>
  <sheetViews>
    <sheetView showGridLines="0" showRowColHeaders="0" topLeftCell="A4" workbookViewId="0">
      <selection activeCell="AA2" sqref="AA2:AJ3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0" t="s">
        <v>72</v>
      </c>
      <c r="N2" s="200"/>
      <c r="O2" s="200"/>
      <c r="P2" s="200"/>
      <c r="Q2" s="200"/>
      <c r="R2" s="200"/>
      <c r="W2" s="4"/>
      <c r="X2" s="4"/>
      <c r="Y2" s="4"/>
      <c r="Z2" s="4"/>
      <c r="AA2" s="167" t="s">
        <v>42</v>
      </c>
      <c r="AB2" s="167"/>
      <c r="AC2" s="167"/>
      <c r="AD2" s="167"/>
      <c r="AE2" s="167"/>
      <c r="AF2" s="167"/>
      <c r="AG2" s="167"/>
      <c r="AH2" s="167"/>
      <c r="AI2" s="167"/>
      <c r="AJ2" s="167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2" t="s">
        <v>95</v>
      </c>
      <c r="F3" s="192"/>
      <c r="G3" s="192"/>
      <c r="H3" s="192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L3" s="5" t="s">
        <v>0</v>
      </c>
      <c r="AM3" s="5"/>
      <c r="AN3" s="188" t="s">
        <v>186</v>
      </c>
      <c r="AO3" s="188"/>
      <c r="AP3" s="188"/>
      <c r="AQ3" s="188"/>
      <c r="AR3" s="188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0" t="s">
        <v>170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0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1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87</v>
      </c>
      <c r="AH6" s="12"/>
      <c r="AI6" s="196">
        <v>7</v>
      </c>
      <c r="AJ6" s="196"/>
      <c r="AK6" s="196"/>
      <c r="AL6" s="9" t="s">
        <v>1</v>
      </c>
      <c r="AM6" s="196">
        <v>7</v>
      </c>
      <c r="AN6" s="196"/>
      <c r="AO6" s="9" t="s">
        <v>2</v>
      </c>
      <c r="AP6" s="196">
        <v>18</v>
      </c>
      <c r="AQ6" s="196"/>
      <c r="AR6" s="30" t="s">
        <v>83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4" t="s">
        <v>97</v>
      </c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3" t="s">
        <v>50</v>
      </c>
      <c r="U7" s="193"/>
      <c r="V7" s="19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3"/>
      <c r="U8" s="193"/>
      <c r="V8" s="19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73" t="s">
        <v>93</v>
      </c>
      <c r="E11" s="68"/>
      <c r="F11" s="68"/>
      <c r="G11" s="68"/>
      <c r="H11" s="203" t="s">
        <v>171</v>
      </c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73" t="s">
        <v>94</v>
      </c>
      <c r="E13" s="68"/>
      <c r="F13" s="68"/>
      <c r="G13" s="68"/>
      <c r="H13" s="177" t="s">
        <v>169</v>
      </c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68"/>
      <c r="Z13" s="72"/>
      <c r="AB13" s="204" t="s">
        <v>52</v>
      </c>
      <c r="AC13" s="204"/>
      <c r="AD13" s="204"/>
      <c r="AE13" s="205" t="s">
        <v>75</v>
      </c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89</v>
      </c>
      <c r="E15" s="68"/>
      <c r="F15" s="68"/>
      <c r="G15" s="68"/>
      <c r="I15" s="75" t="s">
        <v>90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B15" s="206" t="s">
        <v>53</v>
      </c>
      <c r="AC15" s="206"/>
      <c r="AD15" s="206"/>
      <c r="AE15" s="205" t="s">
        <v>76</v>
      </c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88"/>
      <c r="K17" s="188"/>
      <c r="L17" s="188"/>
      <c r="M17" s="5"/>
      <c r="N17" s="188"/>
      <c r="O17" s="188"/>
      <c r="P17" s="5"/>
      <c r="Q17" s="188"/>
      <c r="R17" s="188"/>
      <c r="S17" s="5"/>
      <c r="T17" s="5"/>
      <c r="U17" s="5"/>
      <c r="AB17" s="73" t="s">
        <v>4</v>
      </c>
      <c r="AC17" s="73"/>
      <c r="AD17" s="73"/>
      <c r="AE17" s="73"/>
      <c r="AF17" s="177" t="s">
        <v>84</v>
      </c>
      <c r="AG17" s="177"/>
      <c r="AH17" s="177"/>
      <c r="AI17" s="177"/>
      <c r="AJ17" s="177"/>
      <c r="AK17" s="177"/>
      <c r="AL17" s="177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B19" s="72"/>
      <c r="J19" s="77">
        <f>H39</f>
        <v>220000</v>
      </c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AB19" s="168"/>
      <c r="AC19" s="169"/>
      <c r="AD19" s="169"/>
      <c r="AE19" s="169"/>
      <c r="AF19" s="170"/>
      <c r="AG19" s="168"/>
      <c r="AH19" s="169"/>
      <c r="AI19" s="169"/>
      <c r="AJ19" s="169"/>
      <c r="AK19" s="170"/>
      <c r="AL19" s="168"/>
      <c r="AM19" s="169"/>
      <c r="AN19" s="169"/>
      <c r="AO19" s="169"/>
      <c r="AP19" s="170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B20" s="72"/>
      <c r="D20" s="167" t="s">
        <v>85</v>
      </c>
      <c r="E20" s="167"/>
      <c r="F20" s="167"/>
      <c r="G20" s="167"/>
      <c r="H20" s="167"/>
      <c r="I20" s="167"/>
      <c r="J20" s="198">
        <f>H39</f>
        <v>220000</v>
      </c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AB20" s="171"/>
      <c r="AC20" s="172"/>
      <c r="AD20" s="172"/>
      <c r="AE20" s="172"/>
      <c r="AF20" s="173"/>
      <c r="AG20" s="171"/>
      <c r="AH20" s="172"/>
      <c r="AI20" s="172"/>
      <c r="AJ20" s="172"/>
      <c r="AK20" s="173"/>
      <c r="AL20" s="171"/>
      <c r="AM20" s="172"/>
      <c r="AN20" s="172"/>
      <c r="AO20" s="172"/>
      <c r="AP20" s="173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B21" s="72"/>
      <c r="D21" s="189"/>
      <c r="E21" s="189"/>
      <c r="F21" s="189"/>
      <c r="G21" s="189"/>
      <c r="H21" s="189"/>
      <c r="I21" s="18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AB21" s="171"/>
      <c r="AC21" s="172"/>
      <c r="AD21" s="172"/>
      <c r="AE21" s="172"/>
      <c r="AF21" s="173"/>
      <c r="AG21" s="171"/>
      <c r="AH21" s="172"/>
      <c r="AI21" s="172"/>
      <c r="AJ21" s="172"/>
      <c r="AK21" s="173"/>
      <c r="AL21" s="171"/>
      <c r="AM21" s="172"/>
      <c r="AN21" s="172"/>
      <c r="AO21" s="172"/>
      <c r="AP21" s="173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72"/>
      <c r="AB22" s="174"/>
      <c r="AC22" s="175"/>
      <c r="AD22" s="175"/>
      <c r="AE22" s="175"/>
      <c r="AF22" s="176"/>
      <c r="AG22" s="174"/>
      <c r="AH22" s="175"/>
      <c r="AI22" s="175"/>
      <c r="AJ22" s="175"/>
      <c r="AK22" s="176"/>
      <c r="AL22" s="174"/>
      <c r="AM22" s="175"/>
      <c r="AN22" s="175"/>
      <c r="AO22" s="175"/>
      <c r="AP22" s="176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61" t="s">
        <v>6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3"/>
      <c r="T24" s="153" t="s">
        <v>7</v>
      </c>
      <c r="U24" s="154"/>
      <c r="V24" s="154"/>
      <c r="W24" s="154"/>
      <c r="X24" s="154"/>
      <c r="Y24" s="154"/>
      <c r="Z24" s="159"/>
      <c r="AA24" s="153" t="s">
        <v>86</v>
      </c>
      <c r="AB24" s="154"/>
      <c r="AC24" s="154"/>
      <c r="AD24" s="154"/>
      <c r="AE24" s="154"/>
      <c r="AF24" s="153" t="s">
        <v>8</v>
      </c>
      <c r="AG24" s="154"/>
      <c r="AH24" s="154"/>
      <c r="AI24" s="154"/>
      <c r="AJ24" s="154"/>
      <c r="AK24" s="154"/>
      <c r="AL24" s="159"/>
      <c r="AM24" s="153" t="s">
        <v>9</v>
      </c>
      <c r="AN24" s="154"/>
      <c r="AO24" s="154"/>
      <c r="AP24" s="154"/>
      <c r="AQ24" s="154"/>
      <c r="AR24" s="154"/>
      <c r="AS24" s="15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64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6"/>
      <c r="T25" s="155"/>
      <c r="U25" s="156"/>
      <c r="V25" s="156"/>
      <c r="W25" s="156"/>
      <c r="X25" s="156"/>
      <c r="Y25" s="156"/>
      <c r="Z25" s="160"/>
      <c r="AA25" s="155"/>
      <c r="AB25" s="156"/>
      <c r="AC25" s="156"/>
      <c r="AD25" s="156"/>
      <c r="AE25" s="156"/>
      <c r="AF25" s="155"/>
      <c r="AG25" s="156"/>
      <c r="AH25" s="156"/>
      <c r="AI25" s="156"/>
      <c r="AJ25" s="156"/>
      <c r="AK25" s="156"/>
      <c r="AL25" s="160"/>
      <c r="AM25" s="155"/>
      <c r="AN25" s="156"/>
      <c r="AO25" s="156"/>
      <c r="AP25" s="156"/>
      <c r="AQ25" s="156"/>
      <c r="AR25" s="156"/>
      <c r="AS25" s="15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172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45"/>
      <c r="U26" s="146"/>
      <c r="V26" s="146"/>
      <c r="W26" s="146"/>
      <c r="X26" s="147"/>
      <c r="Y26" s="147"/>
      <c r="Z26" s="148"/>
      <c r="AA26" s="145"/>
      <c r="AB26" s="146"/>
      <c r="AC26" s="146"/>
      <c r="AD26" s="146"/>
      <c r="AE26" s="149"/>
      <c r="AF26" s="145">
        <f t="shared" ref="AF26:AF37" si="0">IF(T26="",1*AA26,T26*AA26)</f>
        <v>0</v>
      </c>
      <c r="AG26" s="146"/>
      <c r="AH26" s="146"/>
      <c r="AI26" s="146"/>
      <c r="AJ26" s="146"/>
      <c r="AK26" s="146"/>
      <c r="AL26" s="149"/>
      <c r="AM26" s="150"/>
      <c r="AN26" s="151"/>
      <c r="AO26" s="151"/>
      <c r="AP26" s="151"/>
      <c r="AQ26" s="151"/>
      <c r="AR26" s="151"/>
      <c r="AS26" s="152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168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45"/>
      <c r="U27" s="146"/>
      <c r="V27" s="146"/>
      <c r="W27" s="146"/>
      <c r="X27" s="147" t="s">
        <v>18</v>
      </c>
      <c r="Y27" s="147"/>
      <c r="Z27" s="148"/>
      <c r="AA27" s="145">
        <v>50000</v>
      </c>
      <c r="AB27" s="146"/>
      <c r="AC27" s="146"/>
      <c r="AD27" s="146"/>
      <c r="AE27" s="149"/>
      <c r="AF27" s="145">
        <f t="shared" si="0"/>
        <v>50000</v>
      </c>
      <c r="AG27" s="146"/>
      <c r="AH27" s="146"/>
      <c r="AI27" s="146"/>
      <c r="AJ27" s="146"/>
      <c r="AK27" s="146"/>
      <c r="AL27" s="149"/>
      <c r="AM27" s="150"/>
      <c r="AN27" s="151"/>
      <c r="AO27" s="151"/>
      <c r="AP27" s="151"/>
      <c r="AQ27" s="151"/>
      <c r="AR27" s="151"/>
      <c r="AS27" s="152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115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45"/>
      <c r="U28" s="146"/>
      <c r="V28" s="146"/>
      <c r="W28" s="146"/>
      <c r="X28" s="147" t="s">
        <v>18</v>
      </c>
      <c r="Y28" s="147"/>
      <c r="Z28" s="148"/>
      <c r="AA28" s="145">
        <v>19400</v>
      </c>
      <c r="AB28" s="146"/>
      <c r="AC28" s="146"/>
      <c r="AD28" s="146"/>
      <c r="AE28" s="149"/>
      <c r="AF28" s="145">
        <f>IF(T28="",1*AA28,T28*AA28)</f>
        <v>19400</v>
      </c>
      <c r="AG28" s="146"/>
      <c r="AH28" s="146"/>
      <c r="AI28" s="146"/>
      <c r="AJ28" s="146"/>
      <c r="AK28" s="146"/>
      <c r="AL28" s="149"/>
      <c r="AM28" s="150"/>
      <c r="AN28" s="151"/>
      <c r="AO28" s="151"/>
      <c r="AP28" s="151"/>
      <c r="AQ28" s="151"/>
      <c r="AR28" s="151"/>
      <c r="AS28" s="152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162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45"/>
      <c r="U29" s="146"/>
      <c r="V29" s="146"/>
      <c r="W29" s="146"/>
      <c r="X29" s="147" t="s">
        <v>18</v>
      </c>
      <c r="Y29" s="147"/>
      <c r="Z29" s="148"/>
      <c r="AA29" s="145">
        <v>30000</v>
      </c>
      <c r="AB29" s="146"/>
      <c r="AC29" s="146"/>
      <c r="AD29" s="146"/>
      <c r="AE29" s="149"/>
      <c r="AF29" s="145">
        <f t="shared" ref="AF29:AF32" si="1">IF(T29="",1*AA29,T29*AA29)</f>
        <v>30000</v>
      </c>
      <c r="AG29" s="146"/>
      <c r="AH29" s="146"/>
      <c r="AI29" s="146"/>
      <c r="AJ29" s="146"/>
      <c r="AK29" s="146"/>
      <c r="AL29" s="149"/>
      <c r="AM29" s="150"/>
      <c r="AN29" s="151"/>
      <c r="AO29" s="151"/>
      <c r="AP29" s="151"/>
      <c r="AQ29" s="151"/>
      <c r="AR29" s="151"/>
      <c r="AS29" s="152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173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45">
        <v>4</v>
      </c>
      <c r="U30" s="146"/>
      <c r="V30" s="146"/>
      <c r="W30" s="146"/>
      <c r="X30" s="147" t="s">
        <v>18</v>
      </c>
      <c r="Y30" s="147"/>
      <c r="Z30" s="148"/>
      <c r="AA30" s="145">
        <v>75000</v>
      </c>
      <c r="AB30" s="146"/>
      <c r="AC30" s="146"/>
      <c r="AD30" s="146"/>
      <c r="AE30" s="149"/>
      <c r="AF30" s="145">
        <f t="shared" si="1"/>
        <v>300000</v>
      </c>
      <c r="AG30" s="146"/>
      <c r="AH30" s="146"/>
      <c r="AI30" s="146"/>
      <c r="AJ30" s="146"/>
      <c r="AK30" s="146"/>
      <c r="AL30" s="149"/>
      <c r="AM30" s="150"/>
      <c r="AN30" s="151"/>
      <c r="AO30" s="151"/>
      <c r="AP30" s="151"/>
      <c r="AQ30" s="151"/>
      <c r="AR30" s="151"/>
      <c r="AS30" s="152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6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 t="s">
        <v>165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45"/>
      <c r="U31" s="146"/>
      <c r="V31" s="146"/>
      <c r="W31" s="146"/>
      <c r="X31" s="147" t="s">
        <v>18</v>
      </c>
      <c r="Y31" s="147"/>
      <c r="Z31" s="148"/>
      <c r="AA31" s="145">
        <v>20000</v>
      </c>
      <c r="AB31" s="146"/>
      <c r="AC31" s="146"/>
      <c r="AD31" s="146"/>
      <c r="AE31" s="149"/>
      <c r="AF31" s="145">
        <f t="shared" si="1"/>
        <v>20000</v>
      </c>
      <c r="AG31" s="146"/>
      <c r="AH31" s="146"/>
      <c r="AI31" s="146"/>
      <c r="AJ31" s="146"/>
      <c r="AK31" s="146"/>
      <c r="AL31" s="149"/>
      <c r="AM31" s="150"/>
      <c r="AN31" s="151"/>
      <c r="AO31" s="151"/>
      <c r="AP31" s="151"/>
      <c r="AQ31" s="151"/>
      <c r="AR31" s="151"/>
      <c r="AS31" s="152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 t="s">
        <v>92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45"/>
      <c r="U32" s="146"/>
      <c r="V32" s="146"/>
      <c r="W32" s="146"/>
      <c r="X32" s="147" t="s">
        <v>18</v>
      </c>
      <c r="Y32" s="147"/>
      <c r="Z32" s="148"/>
      <c r="AA32" s="145">
        <v>15000</v>
      </c>
      <c r="AB32" s="146"/>
      <c r="AC32" s="146"/>
      <c r="AD32" s="146"/>
      <c r="AE32" s="149"/>
      <c r="AF32" s="145">
        <f t="shared" si="1"/>
        <v>15000</v>
      </c>
      <c r="AG32" s="146"/>
      <c r="AH32" s="146"/>
      <c r="AI32" s="146"/>
      <c r="AJ32" s="146"/>
      <c r="AK32" s="146"/>
      <c r="AL32" s="149"/>
      <c r="AM32" s="150"/>
      <c r="AN32" s="151"/>
      <c r="AO32" s="151"/>
      <c r="AP32" s="151"/>
      <c r="AQ32" s="151"/>
      <c r="AR32" s="151"/>
      <c r="AS32" s="152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 t="s">
        <v>167</v>
      </c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45"/>
      <c r="U33" s="146"/>
      <c r="V33" s="146"/>
      <c r="W33" s="146"/>
      <c r="X33" s="147" t="s">
        <v>18</v>
      </c>
      <c r="Y33" s="147"/>
      <c r="Z33" s="148"/>
      <c r="AA33" s="145">
        <v>10000</v>
      </c>
      <c r="AB33" s="146"/>
      <c r="AC33" s="146"/>
      <c r="AD33" s="146"/>
      <c r="AE33" s="149"/>
      <c r="AF33" s="145">
        <f>IF(T33="",1*AA33,T33*AA33)</f>
        <v>10000</v>
      </c>
      <c r="AG33" s="146"/>
      <c r="AH33" s="146"/>
      <c r="AI33" s="146"/>
      <c r="AJ33" s="146"/>
      <c r="AK33" s="146"/>
      <c r="AL33" s="149"/>
      <c r="AM33" s="150"/>
      <c r="AN33" s="151"/>
      <c r="AO33" s="151"/>
      <c r="AP33" s="151"/>
      <c r="AQ33" s="151"/>
      <c r="AR33" s="151"/>
      <c r="AS33" s="152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42" t="s">
        <v>185</v>
      </c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45"/>
      <c r="U34" s="146"/>
      <c r="V34" s="146"/>
      <c r="W34" s="146"/>
      <c r="X34" s="147" t="s">
        <v>18</v>
      </c>
      <c r="Y34" s="147"/>
      <c r="Z34" s="148"/>
      <c r="AA34" s="145">
        <v>-22200</v>
      </c>
      <c r="AB34" s="146"/>
      <c r="AC34" s="146"/>
      <c r="AD34" s="146"/>
      <c r="AE34" s="149"/>
      <c r="AF34" s="145">
        <f>IF(T34="",1*AA34,T34*AA34)</f>
        <v>-22200</v>
      </c>
      <c r="AG34" s="146"/>
      <c r="AH34" s="146"/>
      <c r="AI34" s="146"/>
      <c r="AJ34" s="146"/>
      <c r="AK34" s="146"/>
      <c r="AL34" s="149"/>
      <c r="AM34" s="150"/>
      <c r="AN34" s="151"/>
      <c r="AO34" s="151"/>
      <c r="AP34" s="151"/>
      <c r="AQ34" s="151"/>
      <c r="AR34" s="151"/>
      <c r="AS34" s="152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 t="s">
        <v>174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45"/>
      <c r="U35" s="146"/>
      <c r="V35" s="146"/>
      <c r="W35" s="146"/>
      <c r="X35" s="147" t="s">
        <v>18</v>
      </c>
      <c r="Y35" s="147"/>
      <c r="Z35" s="148"/>
      <c r="AA35" s="145">
        <v>-222200</v>
      </c>
      <c r="AB35" s="146"/>
      <c r="AC35" s="146"/>
      <c r="AD35" s="146"/>
      <c r="AE35" s="149"/>
      <c r="AF35" s="145">
        <f>IF(T35="",1*AA35,T35*AA35)</f>
        <v>-222200</v>
      </c>
      <c r="AG35" s="146"/>
      <c r="AH35" s="146"/>
      <c r="AI35" s="146"/>
      <c r="AJ35" s="146"/>
      <c r="AK35" s="146"/>
      <c r="AL35" s="149"/>
      <c r="AM35" s="150"/>
      <c r="AN35" s="151"/>
      <c r="AO35" s="151"/>
      <c r="AP35" s="151"/>
      <c r="AQ35" s="151"/>
      <c r="AR35" s="151"/>
      <c r="AS35" s="152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 t="s">
        <v>163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45"/>
      <c r="U36" s="146"/>
      <c r="V36" s="146"/>
      <c r="W36" s="146"/>
      <c r="X36" s="147"/>
      <c r="Y36" s="147"/>
      <c r="Z36" s="148"/>
      <c r="AA36" s="145"/>
      <c r="AB36" s="146"/>
      <c r="AC36" s="146"/>
      <c r="AD36" s="146"/>
      <c r="AE36" s="149"/>
      <c r="AF36" s="145">
        <f t="shared" si="0"/>
        <v>0</v>
      </c>
      <c r="AG36" s="146"/>
      <c r="AH36" s="146"/>
      <c r="AI36" s="146"/>
      <c r="AJ36" s="146"/>
      <c r="AK36" s="146"/>
      <c r="AL36" s="149"/>
      <c r="AM36" s="150"/>
      <c r="AN36" s="151"/>
      <c r="AO36" s="151"/>
      <c r="AP36" s="151"/>
      <c r="AQ36" s="151"/>
      <c r="AR36" s="151"/>
      <c r="AS36" s="152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 t="s">
        <v>164</v>
      </c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 t="shared" si="0"/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32" t="s">
        <v>88</v>
      </c>
      <c r="C38" s="133"/>
      <c r="D38" s="133"/>
      <c r="E38" s="133"/>
      <c r="F38" s="133"/>
      <c r="G38" s="134"/>
      <c r="H38" s="135">
        <f>AA38*0.1</f>
        <v>20000</v>
      </c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7"/>
      <c r="T38" s="138" t="s">
        <v>11</v>
      </c>
      <c r="U38" s="133"/>
      <c r="V38" s="133"/>
      <c r="W38" s="133"/>
      <c r="X38" s="133"/>
      <c r="Y38" s="133"/>
      <c r="Z38" s="134"/>
      <c r="AA38" s="139">
        <f>SUM(AF26:AL37)</f>
        <v>200000</v>
      </c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1"/>
      <c r="AM38" s="185"/>
      <c r="AN38" s="186"/>
      <c r="AO38" s="186"/>
      <c r="AP38" s="186"/>
      <c r="AQ38" s="186"/>
      <c r="AR38" s="186"/>
      <c r="AS38" s="18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18" t="s">
        <v>5</v>
      </c>
      <c r="C39" s="119"/>
      <c r="D39" s="119"/>
      <c r="E39" s="119"/>
      <c r="F39" s="119"/>
      <c r="G39" s="120"/>
      <c r="H39" s="121">
        <f>CK115+H38</f>
        <v>220000</v>
      </c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3"/>
      <c r="AM39" s="181"/>
      <c r="AN39" s="182"/>
      <c r="AO39" s="182"/>
      <c r="AP39" s="182"/>
      <c r="AQ39" s="182"/>
      <c r="AR39" s="182"/>
      <c r="AS39" s="183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24" t="s">
        <v>12</v>
      </c>
      <c r="C40" s="125"/>
      <c r="D40" s="125"/>
      <c r="E40" s="126" t="s">
        <v>187</v>
      </c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8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thickBot="1" x14ac:dyDescent="0.2">
      <c r="A41" s="25"/>
      <c r="B41" s="129" t="s">
        <v>166</v>
      </c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Top="1" thickBot="1" x14ac:dyDescent="0.2">
      <c r="A42" s="25"/>
      <c r="B42" s="129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9"/>
      <c r="O44" s="109"/>
      <c r="P44" s="109"/>
      <c r="Q44" s="109"/>
      <c r="R44" s="109"/>
      <c r="S44" s="109"/>
      <c r="T44" s="109"/>
      <c r="U44" s="109"/>
      <c r="V44" s="109"/>
      <c r="W44" s="1"/>
      <c r="X44" s="50"/>
      <c r="Y44" s="16"/>
      <c r="Z44" s="15"/>
      <c r="AA44" s="15"/>
      <c r="AB44" s="117"/>
      <c r="AC44" s="117"/>
      <c r="AD44" s="117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11"/>
      <c r="O45" s="111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6"/>
      <c r="AC45" s="116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1"/>
      <c r="O46" s="111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1"/>
      <c r="O47" s="111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7"/>
      <c r="AB47" s="117"/>
      <c r="AC47" s="117"/>
      <c r="AD47" s="117"/>
      <c r="AE47" s="117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1"/>
      <c r="O48" s="111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6"/>
      <c r="AC48" s="116"/>
      <c r="AD48" s="116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1"/>
      <c r="O49" s="111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6"/>
      <c r="AC49" s="116"/>
      <c r="AD49" s="116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1"/>
      <c r="O50" s="111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1"/>
      <c r="O51" s="111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84"/>
      <c r="AB51" s="184"/>
      <c r="AC51" s="184"/>
      <c r="AD51" s="184"/>
      <c r="AE51" s="184"/>
      <c r="AF51" s="184"/>
      <c r="AG51" s="184"/>
      <c r="AH51" s="184"/>
      <c r="AI51" s="184"/>
      <c r="AJ51" s="117"/>
      <c r="AK51" s="117"/>
      <c r="AL51" s="117"/>
      <c r="AM51" s="117"/>
      <c r="AN51" s="117"/>
      <c r="AO51" s="117"/>
      <c r="AP51" s="117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1"/>
      <c r="O52" s="111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1"/>
      <c r="O53" s="111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1"/>
      <c r="O54" s="111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1"/>
      <c r="O55" s="111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9"/>
      <c r="O56" s="109"/>
      <c r="P56" s="107">
        <f>SUM(CK115:CQ115)</f>
        <v>200000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5"/>
      <c r="O60" s="115"/>
      <c r="P60" s="115"/>
      <c r="Q60" s="115"/>
      <c r="R60" s="113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"/>
      <c r="AR60" s="109"/>
      <c r="AS60" s="109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58</v>
      </c>
      <c r="FC100" s="59" t="s">
        <v>59</v>
      </c>
      <c r="FD100" s="59" t="s">
        <v>60</v>
      </c>
      <c r="FE100" s="59" t="s">
        <v>61</v>
      </c>
      <c r="FF100" s="59" t="s">
        <v>14</v>
      </c>
      <c r="FG100" s="59" t="s">
        <v>14</v>
      </c>
      <c r="FH100" s="59" t="s">
        <v>62</v>
      </c>
      <c r="FI100" s="59" t="s">
        <v>63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展示会参加諸経費　9/6土曜　9/7日曜</v>
      </c>
      <c r="FE101" s="61">
        <f>T26</f>
        <v>0</v>
      </c>
      <c r="FF101" s="61">
        <f>X26</f>
        <v>0</v>
      </c>
      <c r="FG101" s="61">
        <f>AA26</f>
        <v>0</v>
      </c>
      <c r="FH101" s="61">
        <f>AF26</f>
        <v>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56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交通費　往復　岐阜-太田市　商用車使用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50000</v>
      </c>
      <c r="FH102" s="61">
        <f t="shared" ref="FH102:FH112" si="6">AF27</f>
        <v>50000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48</v>
      </c>
      <c r="CF103" s="1"/>
      <c r="CG103" s="1"/>
      <c r="CH103" s="1"/>
      <c r="CI103" s="87" t="s">
        <v>13</v>
      </c>
      <c r="CJ103" s="112"/>
      <c r="CK103" s="112"/>
      <c r="CL103" s="112"/>
      <c r="CM103" s="112"/>
      <c r="CN103" s="112"/>
      <c r="CO103" s="112"/>
      <c r="CP103" s="112"/>
      <c r="CQ103" s="88"/>
      <c r="CR103" s="1"/>
      <c r="CS103" s="26" t="s">
        <v>14</v>
      </c>
      <c r="CT103" s="14"/>
      <c r="CU103" s="15"/>
      <c r="CV103" s="15"/>
      <c r="CW103" s="106" t="s">
        <v>10</v>
      </c>
      <c r="CX103" s="106"/>
      <c r="CY103" s="106"/>
      <c r="CZ103" s="15"/>
      <c r="DA103" s="16"/>
      <c r="DB103" s="16"/>
      <c r="DC103" s="16"/>
      <c r="DD103" s="35" t="s">
        <v>47</v>
      </c>
      <c r="DE103" s="36"/>
      <c r="DF103" s="36"/>
      <c r="DG103" s="36"/>
      <c r="DH103" s="36"/>
      <c r="DI103" s="36"/>
      <c r="DJ103" s="37"/>
      <c r="DK103" s="15"/>
      <c r="DL103" s="1"/>
      <c r="DM103" s="108" t="s">
        <v>54</v>
      </c>
      <c r="DN103" s="108"/>
      <c r="DO103" s="108"/>
      <c r="DP103" s="108"/>
      <c r="DQ103" s="108"/>
      <c r="DR103" s="10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57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ETC利用料金</v>
      </c>
      <c r="FE103" s="61">
        <f t="shared" si="3"/>
        <v>0</v>
      </c>
      <c r="FF103" s="61" t="str">
        <f t="shared" si="4"/>
        <v>一式</v>
      </c>
      <c r="FG103" s="61">
        <f t="shared" si="5"/>
        <v>19400</v>
      </c>
      <c r="FH103" s="61">
        <f t="shared" si="6"/>
        <v>19400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99">
        <v>0</v>
      </c>
      <c r="CJ104" s="99"/>
      <c r="CK104" s="98">
        <f>AA38</f>
        <v>200000</v>
      </c>
      <c r="CL104" s="98"/>
      <c r="CM104" s="98"/>
      <c r="CN104" s="98"/>
      <c r="CO104" s="98"/>
      <c r="CP104" s="98"/>
      <c r="CQ104" s="98"/>
      <c r="CR104" s="1"/>
      <c r="CS104" s="17" t="s">
        <v>15</v>
      </c>
      <c r="CT104" s="18"/>
      <c r="CU104" s="15"/>
      <c r="CV104" s="15"/>
      <c r="CW104" s="100">
        <v>5</v>
      </c>
      <c r="CX104" s="101"/>
      <c r="CY104" s="19" t="s">
        <v>16</v>
      </c>
      <c r="CZ104" s="15"/>
      <c r="DA104" s="15"/>
      <c r="DB104" s="15"/>
      <c r="DC104" s="15"/>
      <c r="DD104" s="38" t="s">
        <v>42</v>
      </c>
      <c r="DE104" s="39"/>
      <c r="DF104" s="39"/>
      <c r="DG104" s="39"/>
      <c r="DH104" s="39"/>
      <c r="DI104" s="39"/>
      <c r="DJ104" s="22"/>
      <c r="DK104" s="15"/>
      <c r="DL104" s="1"/>
      <c r="DM104" s="103" t="s">
        <v>55</v>
      </c>
      <c r="DN104" s="104"/>
      <c r="DO104" s="104"/>
      <c r="DP104" s="104"/>
      <c r="DQ104" s="104"/>
      <c r="DR104" s="105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宿泊費　1泊2日　　2名分</v>
      </c>
      <c r="FE104" s="61">
        <f t="shared" si="3"/>
        <v>0</v>
      </c>
      <c r="FF104" s="61" t="str">
        <f t="shared" si="4"/>
        <v>一式</v>
      </c>
      <c r="FG104" s="61">
        <f t="shared" si="5"/>
        <v>30000</v>
      </c>
      <c r="FH104" s="61">
        <f t="shared" si="6"/>
        <v>30000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99">
        <v>1</v>
      </c>
      <c r="CJ105" s="99"/>
      <c r="CK105" s="98">
        <f>IF(ISERROR(#REF!),0,#REF!)</f>
        <v>0</v>
      </c>
      <c r="CL105" s="98"/>
      <c r="CM105" s="98"/>
      <c r="CN105" s="98"/>
      <c r="CO105" s="98"/>
      <c r="CP105" s="98"/>
      <c r="CQ105" s="98"/>
      <c r="CR105" s="1"/>
      <c r="CS105" s="17" t="s">
        <v>17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43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4</v>
      </c>
      <c r="FF105" s="61" t="str">
        <f t="shared" si="4"/>
        <v>一式</v>
      </c>
      <c r="FG105" s="61">
        <f t="shared" si="5"/>
        <v>75000</v>
      </c>
      <c r="FH105" s="61">
        <f t="shared" si="6"/>
        <v>300000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99">
        <v>2</v>
      </c>
      <c r="CJ106" s="99"/>
      <c r="CK106" s="98">
        <f>IF(ISERROR(#REF!),0,#REF!)</f>
        <v>0</v>
      </c>
      <c r="CL106" s="98"/>
      <c r="CM106" s="98"/>
      <c r="CN106" s="98"/>
      <c r="CO106" s="98"/>
      <c r="CP106" s="98"/>
      <c r="CQ106" s="98"/>
      <c r="CR106" s="1"/>
      <c r="CS106" s="20" t="s">
        <v>18</v>
      </c>
      <c r="CT106" s="21"/>
      <c r="CU106" s="15"/>
      <c r="CV106" s="106" t="s">
        <v>19</v>
      </c>
      <c r="CW106" s="106"/>
      <c r="CX106" s="106"/>
      <c r="CY106" s="106"/>
      <c r="CZ106" s="106"/>
      <c r="DA106" s="15"/>
      <c r="DB106" s="15"/>
      <c r="DC106" s="15"/>
      <c r="DD106" s="38" t="s">
        <v>44</v>
      </c>
      <c r="DE106" s="39"/>
      <c r="DF106" s="39"/>
      <c r="DG106" s="39"/>
      <c r="DH106" s="39"/>
      <c r="DI106" s="39"/>
      <c r="DJ106" s="22"/>
      <c r="DK106" s="15"/>
      <c r="DL106" s="1"/>
      <c r="DM106" s="108" t="s">
        <v>65</v>
      </c>
      <c r="DN106" s="108"/>
      <c r="DO106" s="108"/>
      <c r="DP106" s="108"/>
      <c r="DQ106" s="108"/>
      <c r="DR106" s="10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 t="str">
        <f t="shared" si="4"/>
        <v>一式</v>
      </c>
      <c r="FG106" s="61">
        <f t="shared" si="5"/>
        <v>20000</v>
      </c>
      <c r="FH106" s="61">
        <f t="shared" si="6"/>
        <v>20000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99">
        <v>3</v>
      </c>
      <c r="CJ107" s="99"/>
      <c r="CK107" s="98">
        <f>IF(ISERROR(#REF!),0,#REF!)</f>
        <v>0</v>
      </c>
      <c r="CL107" s="98"/>
      <c r="CM107" s="98"/>
      <c r="CN107" s="98"/>
      <c r="CO107" s="98"/>
      <c r="CP107" s="98"/>
      <c r="CQ107" s="98"/>
      <c r="CR107" s="1"/>
      <c r="CS107" s="17" t="s">
        <v>20</v>
      </c>
      <c r="CT107" s="18"/>
      <c r="CU107" s="15"/>
      <c r="CV107" s="27" t="s">
        <v>21</v>
      </c>
      <c r="CW107" s="100">
        <v>100</v>
      </c>
      <c r="CX107" s="100"/>
      <c r="CY107" s="101"/>
      <c r="CZ107" s="22" t="s">
        <v>16</v>
      </c>
      <c r="DA107" s="15"/>
      <c r="DB107" s="15"/>
      <c r="DC107" s="15"/>
      <c r="DD107" s="38" t="s">
        <v>45</v>
      </c>
      <c r="DE107" s="39"/>
      <c r="DF107" s="39"/>
      <c r="DG107" s="39"/>
      <c r="DH107" s="39"/>
      <c r="DI107" s="39"/>
      <c r="DJ107" s="22"/>
      <c r="DK107" s="15"/>
      <c r="DL107" s="1"/>
      <c r="DM107" s="89" t="s">
        <v>73</v>
      </c>
      <c r="DN107" s="90"/>
      <c r="DO107" s="90"/>
      <c r="DP107" s="90"/>
      <c r="DQ107" s="90"/>
      <c r="DR107" s="9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 t="str">
        <f t="shared" si="4"/>
        <v>一式</v>
      </c>
      <c r="FG107" s="61">
        <f t="shared" si="5"/>
        <v>15000</v>
      </c>
      <c r="FH107" s="61">
        <f t="shared" si="6"/>
        <v>15000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49</v>
      </c>
      <c r="CF108" s="1"/>
      <c r="CG108" s="1"/>
      <c r="CH108" s="1"/>
      <c r="CI108" s="99">
        <v>4</v>
      </c>
      <c r="CJ108" s="99"/>
      <c r="CK108" s="98"/>
      <c r="CL108" s="98"/>
      <c r="CM108" s="98"/>
      <c r="CN108" s="98"/>
      <c r="CO108" s="98"/>
      <c r="CP108" s="98"/>
      <c r="CQ108" s="98"/>
      <c r="CR108" s="1"/>
      <c r="CS108" s="17" t="s">
        <v>22</v>
      </c>
      <c r="CT108" s="18"/>
      <c r="CU108" s="15"/>
      <c r="CV108" s="27" t="s">
        <v>23</v>
      </c>
      <c r="CW108" s="100">
        <v>80</v>
      </c>
      <c r="CX108" s="100"/>
      <c r="CY108" s="101"/>
      <c r="CZ108" s="22" t="s">
        <v>16</v>
      </c>
      <c r="DA108" s="15"/>
      <c r="DB108" s="15"/>
      <c r="DC108" s="15"/>
      <c r="DD108" s="38" t="s">
        <v>46</v>
      </c>
      <c r="DE108" s="39"/>
      <c r="DF108" s="39"/>
      <c r="DG108" s="39"/>
      <c r="DH108" s="39"/>
      <c r="DI108" s="39"/>
      <c r="DJ108" s="22"/>
      <c r="DK108" s="15"/>
      <c r="DL108" s="1"/>
      <c r="DM108" s="103" t="s">
        <v>66</v>
      </c>
      <c r="DN108" s="104"/>
      <c r="DO108" s="104"/>
      <c r="DP108" s="104"/>
      <c r="DQ108" s="104"/>
      <c r="DR108" s="105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FL-LCW　デモ機展示設置費用LCW1.5kw</v>
      </c>
      <c r="FE108" s="61">
        <f t="shared" si="3"/>
        <v>0</v>
      </c>
      <c r="FF108" s="61" t="str">
        <f t="shared" si="4"/>
        <v>一式</v>
      </c>
      <c r="FG108" s="61">
        <f t="shared" si="5"/>
        <v>10000</v>
      </c>
      <c r="FH108" s="61">
        <f t="shared" si="6"/>
        <v>10000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99">
        <v>5</v>
      </c>
      <c r="CJ109" s="99"/>
      <c r="CK109" s="98"/>
      <c r="CL109" s="98"/>
      <c r="CM109" s="98"/>
      <c r="CN109" s="98"/>
      <c r="CO109" s="98"/>
      <c r="CP109" s="98"/>
      <c r="CQ109" s="98"/>
      <c r="CR109" s="1"/>
      <c r="CS109" s="20" t="s">
        <v>24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3" t="s">
        <v>67</v>
      </c>
      <c r="DN109" s="104"/>
      <c r="DO109" s="104"/>
      <c r="DP109" s="104"/>
      <c r="DQ109" s="104"/>
      <c r="DR109" s="105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 t="str">
        <f t="shared" si="2"/>
        <v>追加値引き</v>
      </c>
      <c r="FE109" s="61">
        <f t="shared" si="3"/>
        <v>0</v>
      </c>
      <c r="FF109" s="61" t="str">
        <f t="shared" si="4"/>
        <v>一式</v>
      </c>
      <c r="FG109" s="61">
        <f t="shared" si="5"/>
        <v>-22200</v>
      </c>
      <c r="FH109" s="61">
        <f t="shared" si="6"/>
        <v>-22200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50</v>
      </c>
      <c r="CF110" s="1"/>
      <c r="CG110" s="1"/>
      <c r="CH110" s="1"/>
      <c r="CI110" s="99">
        <v>6</v>
      </c>
      <c r="CJ110" s="99"/>
      <c r="CK110" s="98"/>
      <c r="CL110" s="98"/>
      <c r="CM110" s="98"/>
      <c r="CN110" s="98"/>
      <c r="CO110" s="98"/>
      <c r="CP110" s="98"/>
      <c r="CQ110" s="98"/>
      <c r="CR110" s="1"/>
      <c r="CS110" s="20" t="s">
        <v>25</v>
      </c>
      <c r="CT110" s="20"/>
      <c r="CU110" s="15"/>
      <c r="CV110" s="102" t="s">
        <v>26</v>
      </c>
      <c r="CW110" s="102"/>
      <c r="CX110" s="102"/>
      <c r="CY110" s="102"/>
      <c r="CZ110" s="102"/>
      <c r="DA110" s="102"/>
      <c r="DB110" s="102"/>
      <c r="DC110" s="102"/>
      <c r="DD110" s="102"/>
      <c r="DE110" s="106" t="s">
        <v>27</v>
      </c>
      <c r="DF110" s="106"/>
      <c r="DG110" s="106"/>
      <c r="DH110" s="106"/>
      <c r="DI110" s="106"/>
      <c r="DJ110" s="106"/>
      <c r="DK110" s="106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 t="str">
        <f t="shared" si="2"/>
        <v>出展協力50％値引き</v>
      </c>
      <c r="FE110" s="61">
        <f t="shared" si="3"/>
        <v>0</v>
      </c>
      <c r="FF110" s="61" t="str">
        <f t="shared" si="4"/>
        <v>一式</v>
      </c>
      <c r="FG110" s="61">
        <f t="shared" si="5"/>
        <v>-222200</v>
      </c>
      <c r="FH110" s="61">
        <f t="shared" si="6"/>
        <v>-222200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51</v>
      </c>
      <c r="CF111" s="1"/>
      <c r="CG111" s="1"/>
      <c r="CH111" s="1"/>
      <c r="CI111" s="99">
        <v>7</v>
      </c>
      <c r="CJ111" s="99"/>
      <c r="CK111" s="98"/>
      <c r="CL111" s="98"/>
      <c r="CM111" s="98"/>
      <c r="CN111" s="98"/>
      <c r="CO111" s="98"/>
      <c r="CP111" s="98"/>
      <c r="CQ111" s="98"/>
      <c r="CR111" s="1"/>
      <c r="CS111" s="17" t="s">
        <v>28</v>
      </c>
      <c r="CT111" s="18"/>
      <c r="CU111" s="15"/>
      <c r="CV111" s="27" t="s">
        <v>21</v>
      </c>
      <c r="CW111" s="96" t="s">
        <v>69</v>
      </c>
      <c r="CX111" s="96"/>
      <c r="CY111" s="96"/>
      <c r="CZ111" s="96"/>
      <c r="DA111" s="96"/>
      <c r="DB111" s="96"/>
      <c r="DC111" s="96"/>
      <c r="DD111" s="96"/>
      <c r="DE111" s="96" t="s">
        <v>29</v>
      </c>
      <c r="DF111" s="96"/>
      <c r="DG111" s="96"/>
      <c r="DH111" s="96"/>
      <c r="DI111" s="96"/>
      <c r="DJ111" s="96"/>
      <c r="DK111" s="96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 t="str">
        <f t="shared" si="2"/>
        <v>電源　遮光パネル　窒素　御社手配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99">
        <v>8</v>
      </c>
      <c r="CJ112" s="99"/>
      <c r="CK112" s="98"/>
      <c r="CL112" s="98"/>
      <c r="CM112" s="98"/>
      <c r="CN112" s="98"/>
      <c r="CO112" s="98"/>
      <c r="CP112" s="98"/>
      <c r="CQ112" s="98"/>
      <c r="CR112" s="1"/>
      <c r="CS112" s="17" t="s">
        <v>30</v>
      </c>
      <c r="CT112" s="18"/>
      <c r="CU112" s="15"/>
      <c r="CV112" s="27" t="s">
        <v>23</v>
      </c>
      <c r="CW112" s="96" t="s">
        <v>77</v>
      </c>
      <c r="CX112" s="96"/>
      <c r="CY112" s="96"/>
      <c r="CZ112" s="96"/>
      <c r="DA112" s="96"/>
      <c r="DB112" s="96"/>
      <c r="DC112" s="96"/>
      <c r="DD112" s="96"/>
      <c r="DE112" s="96" t="s">
        <v>78</v>
      </c>
      <c r="DF112" s="96"/>
      <c r="DG112" s="96"/>
      <c r="DH112" s="96"/>
      <c r="DI112" s="96"/>
      <c r="DJ112" s="96"/>
      <c r="DK112" s="96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 t="str">
        <f t="shared" si="2"/>
        <v>デモ機の搬入撤収時男性お手伝い要します。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99">
        <v>9</v>
      </c>
      <c r="CJ113" s="99"/>
      <c r="CK113" s="98"/>
      <c r="CL113" s="98"/>
      <c r="CM113" s="98"/>
      <c r="CN113" s="98"/>
      <c r="CO113" s="98"/>
      <c r="CP113" s="98"/>
      <c r="CQ113" s="98"/>
      <c r="CR113" s="1"/>
      <c r="CS113" s="17" t="s">
        <v>31</v>
      </c>
      <c r="CT113" s="18"/>
      <c r="CU113" s="15"/>
      <c r="CV113" s="27" t="s">
        <v>32</v>
      </c>
      <c r="CW113" s="96" t="s">
        <v>80</v>
      </c>
      <c r="CX113" s="96"/>
      <c r="CY113" s="96"/>
      <c r="CZ113" s="96"/>
      <c r="DA113" s="96"/>
      <c r="DB113" s="96"/>
      <c r="DC113" s="96"/>
      <c r="DD113" s="96"/>
      <c r="DE113" s="96" t="s">
        <v>79</v>
      </c>
      <c r="DF113" s="96"/>
      <c r="DG113" s="96"/>
      <c r="DH113" s="96"/>
      <c r="DI113" s="96"/>
      <c r="DJ113" s="96"/>
      <c r="DK113" s="96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99">
        <v>10</v>
      </c>
      <c r="CJ114" s="99"/>
      <c r="CK114" s="98"/>
      <c r="CL114" s="98"/>
      <c r="CM114" s="98"/>
      <c r="CN114" s="98"/>
      <c r="CO114" s="98"/>
      <c r="CP114" s="98"/>
      <c r="CQ114" s="98"/>
      <c r="CR114" s="1"/>
      <c r="CS114" s="20" t="s">
        <v>33</v>
      </c>
      <c r="CT114" s="21"/>
      <c r="CU114" s="15"/>
      <c r="CV114" s="27" t="s">
        <v>34</v>
      </c>
      <c r="CW114" s="96" t="s">
        <v>70</v>
      </c>
      <c r="CX114" s="96"/>
      <c r="CY114" s="96"/>
      <c r="CZ114" s="96"/>
      <c r="DA114" s="96"/>
      <c r="DB114" s="96"/>
      <c r="DC114" s="96"/>
      <c r="DD114" s="96"/>
      <c r="DE114" s="96" t="s">
        <v>35</v>
      </c>
      <c r="DF114" s="96"/>
      <c r="DG114" s="96"/>
      <c r="DH114" s="96"/>
      <c r="DI114" s="96"/>
      <c r="DJ114" s="96"/>
      <c r="DK114" s="96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7" t="s">
        <v>36</v>
      </c>
      <c r="CJ115" s="97"/>
      <c r="CK115" s="98">
        <f>SUM(CK104:CQ114)</f>
        <v>200000</v>
      </c>
      <c r="CL115" s="98"/>
      <c r="CM115" s="98"/>
      <c r="CN115" s="98"/>
      <c r="CO115" s="98"/>
      <c r="CP115" s="98"/>
      <c r="CQ115" s="98"/>
      <c r="CR115" s="1"/>
      <c r="CS115" s="17" t="s">
        <v>41</v>
      </c>
      <c r="CT115" s="18"/>
      <c r="CU115" s="15"/>
      <c r="CV115" s="27" t="s">
        <v>37</v>
      </c>
      <c r="CW115" s="96" t="s">
        <v>71</v>
      </c>
      <c r="CX115" s="96"/>
      <c r="CY115" s="96"/>
      <c r="CZ115" s="96"/>
      <c r="DA115" s="96"/>
      <c r="DB115" s="96"/>
      <c r="DC115" s="96"/>
      <c r="DD115" s="96"/>
      <c r="DE115" s="96" t="s">
        <v>38</v>
      </c>
      <c r="DF115" s="96"/>
      <c r="DG115" s="96"/>
      <c r="DH115" s="96"/>
      <c r="DI115" s="96"/>
      <c r="DJ115" s="96"/>
      <c r="DK115" s="96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93" t="s">
        <v>39</v>
      </c>
      <c r="CJ119" s="93"/>
      <c r="CK119" s="93"/>
      <c r="CL119" s="93"/>
      <c r="CM119" s="94" t="s">
        <v>81</v>
      </c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  <c r="DC119" s="95"/>
      <c r="DD119" s="95"/>
      <c r="DE119" s="95"/>
      <c r="DF119" s="95"/>
      <c r="DG119" s="95"/>
      <c r="DH119" s="95"/>
      <c r="DI119" s="95"/>
      <c r="DJ119" s="95"/>
      <c r="DK119" s="95"/>
      <c r="DL119" s="1"/>
      <c r="DM119" s="87" t="s">
        <v>40</v>
      </c>
      <c r="DN119" s="88"/>
      <c r="DO119" s="89" t="s">
        <v>74</v>
      </c>
      <c r="DP119" s="90"/>
      <c r="DQ119" s="90"/>
      <c r="DR119" s="90"/>
      <c r="DS119" s="90"/>
      <c r="DT119" s="90"/>
      <c r="DU119" s="9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93" t="s">
        <v>68</v>
      </c>
      <c r="CJ120" s="93"/>
      <c r="CK120" s="93"/>
      <c r="CL120" s="93"/>
      <c r="CM120" s="94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  <c r="DA120" s="95"/>
      <c r="DB120" s="95"/>
      <c r="DC120" s="95"/>
      <c r="DD120" s="95"/>
      <c r="DE120" s="95"/>
      <c r="DF120" s="95"/>
      <c r="DG120" s="95"/>
      <c r="DH120" s="95"/>
      <c r="DI120" s="95"/>
      <c r="DJ120" s="95"/>
      <c r="DK120" s="95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82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58</v>
      </c>
      <c r="FC400" s="59" t="s">
        <v>59</v>
      </c>
      <c r="FD400" s="59" t="s">
        <v>60</v>
      </c>
      <c r="FE400" s="59" t="s">
        <v>61</v>
      </c>
      <c r="FF400" s="59" t="s">
        <v>14</v>
      </c>
      <c r="FG400" s="59" t="s">
        <v>64</v>
      </c>
      <c r="FH400" s="59" t="s">
        <v>62</v>
      </c>
      <c r="FI400" s="59" t="s">
        <v>63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off" allowBlank="1" showInputMessage="1" showErrorMessage="1" prompt="年を入力  西暦表示の場合、平成を消してください" sqref="AI6:AK6" xr:uid="{EEB5C2CA-C1D4-43E4-A2FA-B89DE3F80D21}"/>
    <dataValidation imeMode="off" allowBlank="1" showInputMessage="1" showErrorMessage="1" prompt="月を入力" sqref="AM6:AN6 N17:O17" xr:uid="{099F426A-DD25-4F22-A43C-E46ED23B4D54}"/>
    <dataValidation imeMode="off" allowBlank="1" showInputMessage="1" showErrorMessage="1" prompt="日を入力" sqref="AP6:AQ6 Q17:R17" xr:uid="{74E3CA36-7C49-4D70-8E59-333FE051E4D8}"/>
    <dataValidation imeMode="off" allowBlank="1" showInputMessage="1" showErrorMessage="1" prompt="お客様の郵便番号を入力" sqref="E3:H3" xr:uid="{30680125-DACC-4CDC-A297-59D9980B90B7}"/>
    <dataValidation imeMode="hiragana" allowBlank="1" showInputMessage="1" showErrorMessage="1" prompt="お客様の住所を入力" sqref="D4" xr:uid="{A65BBB03-F15F-432A-A9A9-A16151E9B53F}"/>
    <dataValidation imeMode="hiragana" allowBlank="1" showInputMessage="1" showErrorMessage="1" prompt="お客様の住所でビル名番地など入力" sqref="D5:R5" xr:uid="{05EAD736-907D-4B2D-8C60-0282F655B37B}"/>
    <dataValidation imeMode="hiragana" allowBlank="1" showInputMessage="1" showErrorMessage="1" prompt="お客様名を入力" sqref="D7:S8" xr:uid="{C32E7937-4E7D-4E97-913D-33228CD5F637}"/>
    <dataValidation allowBlank="1" showInputMessage="1" showErrorMessage="1" prompt="見積書NOを入力" sqref="AN3:AR3" xr:uid="{42D5C074-A765-497F-AD29-FD711E2095B9}"/>
    <dataValidation imeMode="hiragana" allowBlank="1" showInputMessage="1" showErrorMessage="1" sqref="AB9:AS9 E40:AS40 B41:AS42" xr:uid="{ECA17A49-E574-48D2-AB52-31F28DB8C5AA}"/>
    <dataValidation imeMode="off" allowBlank="1" showInputMessage="1" showErrorMessage="1" prompt="年を入力" sqref="J17:L17" xr:uid="{3CB7D80C-2A1F-4D5D-85D0-365E26254963}"/>
    <dataValidation imeMode="hiragana" allowBlank="1" showInputMessage="1" showErrorMessage="1" prompt="受渡場所を入力_x000a_例：貴社指定場所" sqref="H13:T13" xr:uid="{3EA994F9-6047-4C44-BC8C-66FA6D5FF85A}"/>
    <dataValidation imeMode="hiragana" allowBlank="1" showInputMessage="1" showErrorMessage="1" prompt="担当者を入力" sqref="AF17:AL17" xr:uid="{59C2B7D9-ADE6-45E8-B9A7-DC4E22FA325E}"/>
    <dataValidation imeMode="hiragana" allowBlank="1" showInputMessage="1" showErrorMessage="1" prompt="品名を入力" sqref="B26:S37" xr:uid="{8949A7BD-F548-418D-8DD2-F5675BFA7358}"/>
    <dataValidation imeMode="off" allowBlank="1" showInputMessage="1" showErrorMessage="1" prompt="数量を入力" sqref="T26:W37" xr:uid="{404DD30F-268A-433B-A7DA-35B14CF58FE3}"/>
    <dataValidation imeMode="off" allowBlank="1" showInputMessage="1" showErrorMessage="1" prompt="単価を入力" sqref="AA26:AE37" xr:uid="{C73A69DD-5F15-499D-A3DC-F1D6A02BA0E2}"/>
    <dataValidation imeMode="hiragana" allowBlank="1" showInputMessage="1" showErrorMessage="1" prompt="備考があれば入力" sqref="AN35:AS37 AM26:AM37" xr:uid="{CF35C899-61AA-4FE9-AACD-D569E953E717}"/>
    <dataValidation type="list" allowBlank="1" showInputMessage="1" showErrorMessage="1" sqref="AA2:AJ3" xr:uid="{B29AFCA6-644C-49CF-9687-C559671452F0}">
      <formula1>$DD$104:$DD$108</formula1>
    </dataValidation>
    <dataValidation type="list" imeMode="hiragana" allowBlank="1" showInputMessage="1" showErrorMessage="1" prompt="ボタンを押し単位を入力" sqref="X26:Z37" xr:uid="{A0C6D285-4F25-43A0-A83E-89DB32AF4C4A}">
      <formula1>$CS$104:$CS$116</formula1>
    </dataValidation>
    <dataValidation type="list" allowBlank="1" showInputMessage="1" showErrorMessage="1" sqref="T7:V8" xr:uid="{221D07A2-FF13-4374-BD29-02FCF3219A8B}">
      <formula1>$CE$109:$CE$111</formula1>
    </dataValidation>
    <dataValidation type="list" allowBlank="1" showInputMessage="1" showErrorMessage="1" sqref="DM104:DR104" xr:uid="{0E167BBB-7FBA-4825-9CC2-22223D3DA1AC}">
      <formula1>$EM$102:$EM$103</formula1>
    </dataValidation>
    <dataValidation allowBlank="1" showInputMessage="1" showErrorMessage="1" promptTitle="シート数を入力" prompt="明細書が出ていない状態でシート枚数を表示" sqref="CE106" xr:uid="{82BECBFF-0370-476A-8499-78311A6666CA}"/>
    <dataValidation allowBlank="1" showInputMessage="1" showErrorMessage="1" promptTitle="明細書01の状態" prompt="明細書01が表示されているときは 0_x000a_明細書01が非表示のときは 1" sqref="CE107" xr:uid="{9ABDE53D-1C6B-4BE6-B2FC-F06AA7139221}"/>
    <dataValidation imeMode="hiragana" allowBlank="1" showInputMessage="1" showErrorMessage="1" prompt="取引方法を入力_x000a_例：従来通り" sqref="I15:T15" xr:uid="{BA6BECC0-0A40-40FA-A616-BD017688FDCC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5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6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7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8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9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0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1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2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3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4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5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6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7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8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9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0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2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3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4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5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6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7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8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0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1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2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F7C1-038B-4927-AFDF-65666D5A846B}">
  <sheetPr>
    <pageSetUpPr fitToPage="1"/>
  </sheetPr>
  <dimension ref="A1:FI642"/>
  <sheetViews>
    <sheetView showGridLines="0" showRowColHeaders="0" topLeftCell="A10" workbookViewId="0">
      <selection activeCell="BI30" sqref="BI30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0" t="s">
        <v>72</v>
      </c>
      <c r="N2" s="200"/>
      <c r="O2" s="200"/>
      <c r="P2" s="200"/>
      <c r="Q2" s="200"/>
      <c r="R2" s="200"/>
      <c r="W2" s="4"/>
      <c r="X2" s="4"/>
      <c r="Y2" s="4"/>
      <c r="Z2" s="4"/>
      <c r="AA2" s="167" t="s">
        <v>45</v>
      </c>
      <c r="AB2" s="167"/>
      <c r="AC2" s="167"/>
      <c r="AD2" s="167"/>
      <c r="AE2" s="167"/>
      <c r="AF2" s="167"/>
      <c r="AG2" s="167"/>
      <c r="AH2" s="167"/>
      <c r="AI2" s="167"/>
      <c r="AJ2" s="167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2" t="s">
        <v>95</v>
      </c>
      <c r="F3" s="192"/>
      <c r="G3" s="192"/>
      <c r="H3" s="192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L3" s="5" t="s">
        <v>0</v>
      </c>
      <c r="AM3" s="5"/>
      <c r="AN3" s="188" t="s">
        <v>184</v>
      </c>
      <c r="AO3" s="188"/>
      <c r="AP3" s="188"/>
      <c r="AQ3" s="188"/>
      <c r="AR3" s="188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0" t="s">
        <v>170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0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1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87</v>
      </c>
      <c r="AH6" s="12"/>
      <c r="AI6" s="196">
        <v>7</v>
      </c>
      <c r="AJ6" s="196"/>
      <c r="AK6" s="196"/>
      <c r="AL6" s="9" t="s">
        <v>1</v>
      </c>
      <c r="AM6" s="196">
        <v>7</v>
      </c>
      <c r="AN6" s="196"/>
      <c r="AO6" s="9" t="s">
        <v>2</v>
      </c>
      <c r="AP6" s="196">
        <v>17</v>
      </c>
      <c r="AQ6" s="196"/>
      <c r="AR6" s="30" t="s">
        <v>83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4" t="s">
        <v>97</v>
      </c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3" t="s">
        <v>50</v>
      </c>
      <c r="U7" s="193"/>
      <c r="V7" s="19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3"/>
      <c r="U8" s="193"/>
      <c r="V8" s="19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73" t="s">
        <v>93</v>
      </c>
      <c r="E11" s="68"/>
      <c r="F11" s="68"/>
      <c r="G11" s="68"/>
      <c r="H11" s="203">
        <v>45948</v>
      </c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73" t="s">
        <v>94</v>
      </c>
      <c r="E13" s="68"/>
      <c r="F13" s="68"/>
      <c r="G13" s="68"/>
      <c r="H13" s="177" t="s">
        <v>175</v>
      </c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68"/>
      <c r="AB13" s="204" t="s">
        <v>52</v>
      </c>
      <c r="AC13" s="204"/>
      <c r="AD13" s="204"/>
      <c r="AE13" s="205" t="s">
        <v>75</v>
      </c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89</v>
      </c>
      <c r="E15" s="68"/>
      <c r="F15" s="68"/>
      <c r="G15" s="68"/>
      <c r="I15" s="75" t="s">
        <v>90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AB15" s="206" t="s">
        <v>53</v>
      </c>
      <c r="AC15" s="206"/>
      <c r="AD15" s="206"/>
      <c r="AE15" s="205" t="s">
        <v>76</v>
      </c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88"/>
      <c r="K17" s="188"/>
      <c r="L17" s="188"/>
      <c r="M17" s="5"/>
      <c r="N17" s="188"/>
      <c r="O17" s="188"/>
      <c r="P17" s="5"/>
      <c r="Q17" s="188"/>
      <c r="R17" s="188"/>
      <c r="S17" s="5"/>
      <c r="T17" s="5"/>
      <c r="U17" s="5"/>
      <c r="AB17" s="73" t="s">
        <v>4</v>
      </c>
      <c r="AC17" s="73"/>
      <c r="AD17" s="73"/>
      <c r="AE17" s="73"/>
      <c r="AF17" s="177" t="s">
        <v>84</v>
      </c>
      <c r="AG17" s="177"/>
      <c r="AH17" s="177"/>
      <c r="AI17" s="177"/>
      <c r="AJ17" s="177"/>
      <c r="AK17" s="177"/>
      <c r="AL17" s="177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B19" s="72"/>
      <c r="J19" s="77">
        <f>H39</f>
        <v>96250</v>
      </c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AB19" s="168"/>
      <c r="AC19" s="169"/>
      <c r="AD19" s="169"/>
      <c r="AE19" s="169"/>
      <c r="AF19" s="170"/>
      <c r="AG19" s="168"/>
      <c r="AH19" s="169"/>
      <c r="AI19" s="169"/>
      <c r="AJ19" s="169"/>
      <c r="AK19" s="170"/>
      <c r="AL19" s="168"/>
      <c r="AM19" s="169"/>
      <c r="AN19" s="169"/>
      <c r="AO19" s="169"/>
      <c r="AP19" s="170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B20" s="72"/>
      <c r="D20" s="167" t="s">
        <v>85</v>
      </c>
      <c r="E20" s="167"/>
      <c r="F20" s="167"/>
      <c r="G20" s="167"/>
      <c r="H20" s="167"/>
      <c r="I20" s="167"/>
      <c r="J20" s="198">
        <f>H39</f>
        <v>96250</v>
      </c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AB20" s="171"/>
      <c r="AC20" s="172"/>
      <c r="AD20" s="172"/>
      <c r="AE20" s="172"/>
      <c r="AF20" s="173"/>
      <c r="AG20" s="171"/>
      <c r="AH20" s="172"/>
      <c r="AI20" s="172"/>
      <c r="AJ20" s="172"/>
      <c r="AK20" s="173"/>
      <c r="AL20" s="171"/>
      <c r="AM20" s="172"/>
      <c r="AN20" s="172"/>
      <c r="AO20" s="172"/>
      <c r="AP20" s="173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B21" s="72"/>
      <c r="D21" s="189"/>
      <c r="E21" s="189"/>
      <c r="F21" s="189"/>
      <c r="G21" s="189"/>
      <c r="H21" s="189"/>
      <c r="I21" s="18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AB21" s="171"/>
      <c r="AC21" s="172"/>
      <c r="AD21" s="172"/>
      <c r="AE21" s="172"/>
      <c r="AF21" s="173"/>
      <c r="AG21" s="171"/>
      <c r="AH21" s="172"/>
      <c r="AI21" s="172"/>
      <c r="AJ21" s="172"/>
      <c r="AK21" s="173"/>
      <c r="AL21" s="171"/>
      <c r="AM21" s="172"/>
      <c r="AN21" s="172"/>
      <c r="AO21" s="172"/>
      <c r="AP21" s="173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97" t="s">
        <v>91</v>
      </c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72"/>
      <c r="AB22" s="174"/>
      <c r="AC22" s="175"/>
      <c r="AD22" s="175"/>
      <c r="AE22" s="175"/>
      <c r="AF22" s="176"/>
      <c r="AG22" s="174"/>
      <c r="AH22" s="175"/>
      <c r="AI22" s="175"/>
      <c r="AJ22" s="175"/>
      <c r="AK22" s="176"/>
      <c r="AL22" s="174"/>
      <c r="AM22" s="175"/>
      <c r="AN22" s="175"/>
      <c r="AO22" s="175"/>
      <c r="AP22" s="176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61" t="s">
        <v>6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3"/>
      <c r="T24" s="153" t="s">
        <v>7</v>
      </c>
      <c r="U24" s="154"/>
      <c r="V24" s="154"/>
      <c r="W24" s="154"/>
      <c r="X24" s="154"/>
      <c r="Y24" s="154"/>
      <c r="Z24" s="159"/>
      <c r="AA24" s="153" t="s">
        <v>86</v>
      </c>
      <c r="AB24" s="154"/>
      <c r="AC24" s="154"/>
      <c r="AD24" s="154"/>
      <c r="AE24" s="154"/>
      <c r="AF24" s="153" t="s">
        <v>8</v>
      </c>
      <c r="AG24" s="154"/>
      <c r="AH24" s="154"/>
      <c r="AI24" s="154"/>
      <c r="AJ24" s="154"/>
      <c r="AK24" s="154"/>
      <c r="AL24" s="159"/>
      <c r="AM24" s="153" t="s">
        <v>9</v>
      </c>
      <c r="AN24" s="154"/>
      <c r="AO24" s="154"/>
      <c r="AP24" s="154"/>
      <c r="AQ24" s="154"/>
      <c r="AR24" s="154"/>
      <c r="AS24" s="15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64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6"/>
      <c r="T25" s="155"/>
      <c r="U25" s="156"/>
      <c r="V25" s="156"/>
      <c r="W25" s="156"/>
      <c r="X25" s="156"/>
      <c r="Y25" s="156"/>
      <c r="Z25" s="160"/>
      <c r="AA25" s="155"/>
      <c r="AB25" s="156"/>
      <c r="AC25" s="156"/>
      <c r="AD25" s="156"/>
      <c r="AE25" s="156"/>
      <c r="AF25" s="155"/>
      <c r="AG25" s="156"/>
      <c r="AH25" s="156"/>
      <c r="AI25" s="156"/>
      <c r="AJ25" s="156"/>
      <c r="AK25" s="156"/>
      <c r="AL25" s="160"/>
      <c r="AM25" s="155"/>
      <c r="AN25" s="156"/>
      <c r="AO25" s="156"/>
      <c r="AP25" s="156"/>
      <c r="AQ25" s="156"/>
      <c r="AR25" s="156"/>
      <c r="AS25" s="15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176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45"/>
      <c r="U26" s="146"/>
      <c r="V26" s="146"/>
      <c r="W26" s="146"/>
      <c r="X26" s="147"/>
      <c r="Y26" s="147"/>
      <c r="Z26" s="148"/>
      <c r="AA26" s="145"/>
      <c r="AB26" s="146"/>
      <c r="AC26" s="146"/>
      <c r="AD26" s="146"/>
      <c r="AE26" s="149"/>
      <c r="AF26" s="145">
        <f t="shared" ref="AF26:AF37" si="0">IF(T26="",1*AA26,T26*AA26)</f>
        <v>0</v>
      </c>
      <c r="AG26" s="146"/>
      <c r="AH26" s="146"/>
      <c r="AI26" s="146"/>
      <c r="AJ26" s="146"/>
      <c r="AK26" s="146"/>
      <c r="AL26" s="149"/>
      <c r="AM26" s="150" t="s">
        <v>182</v>
      </c>
      <c r="AN26" s="151"/>
      <c r="AO26" s="151"/>
      <c r="AP26" s="151"/>
      <c r="AQ26" s="151"/>
      <c r="AR26" s="151"/>
      <c r="AS26" s="152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178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45"/>
      <c r="U27" s="146"/>
      <c r="V27" s="146"/>
      <c r="W27" s="146"/>
      <c r="X27" s="147" t="s">
        <v>18</v>
      </c>
      <c r="Y27" s="147"/>
      <c r="Z27" s="148"/>
      <c r="AA27" s="145">
        <v>25000</v>
      </c>
      <c r="AB27" s="146"/>
      <c r="AC27" s="146"/>
      <c r="AD27" s="146"/>
      <c r="AE27" s="149"/>
      <c r="AF27" s="145">
        <f t="shared" si="0"/>
        <v>25000</v>
      </c>
      <c r="AG27" s="146"/>
      <c r="AH27" s="146"/>
      <c r="AI27" s="146"/>
      <c r="AJ27" s="146"/>
      <c r="AK27" s="146"/>
      <c r="AL27" s="149"/>
      <c r="AM27" s="150"/>
      <c r="AN27" s="151"/>
      <c r="AO27" s="151"/>
      <c r="AP27" s="151"/>
      <c r="AQ27" s="151"/>
      <c r="AR27" s="151"/>
      <c r="AS27" s="152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119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45">
        <v>1</v>
      </c>
      <c r="U28" s="146"/>
      <c r="V28" s="146"/>
      <c r="W28" s="146"/>
      <c r="X28" s="147" t="s">
        <v>18</v>
      </c>
      <c r="Y28" s="147"/>
      <c r="Z28" s="148"/>
      <c r="AA28" s="145">
        <v>15000</v>
      </c>
      <c r="AB28" s="146"/>
      <c r="AC28" s="146"/>
      <c r="AD28" s="146"/>
      <c r="AE28" s="149"/>
      <c r="AF28" s="145">
        <f>IF(T28="",1*AA28,T28*AA28)</f>
        <v>15000</v>
      </c>
      <c r="AG28" s="146"/>
      <c r="AH28" s="146"/>
      <c r="AI28" s="146"/>
      <c r="AJ28" s="146"/>
      <c r="AK28" s="146"/>
      <c r="AL28" s="149"/>
      <c r="AM28" s="150"/>
      <c r="AN28" s="151"/>
      <c r="AO28" s="151"/>
      <c r="AP28" s="151"/>
      <c r="AQ28" s="151"/>
      <c r="AR28" s="151"/>
      <c r="AS28" s="152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180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45">
        <v>1</v>
      </c>
      <c r="U29" s="146"/>
      <c r="V29" s="146"/>
      <c r="W29" s="146"/>
      <c r="X29" s="147" t="s">
        <v>18</v>
      </c>
      <c r="Y29" s="147"/>
      <c r="Z29" s="148"/>
      <c r="AA29" s="145">
        <v>50000</v>
      </c>
      <c r="AB29" s="146"/>
      <c r="AC29" s="146"/>
      <c r="AD29" s="146"/>
      <c r="AE29" s="149"/>
      <c r="AF29" s="145">
        <f t="shared" ref="AF29:AF32" si="1">IF(T29="",1*AA29,T29*AA29)</f>
        <v>50000</v>
      </c>
      <c r="AG29" s="146"/>
      <c r="AH29" s="146"/>
      <c r="AI29" s="146"/>
      <c r="AJ29" s="146"/>
      <c r="AK29" s="146"/>
      <c r="AL29" s="149"/>
      <c r="AM29" s="150"/>
      <c r="AN29" s="151"/>
      <c r="AO29" s="151"/>
      <c r="AP29" s="151"/>
      <c r="AQ29" s="151"/>
      <c r="AR29" s="151"/>
      <c r="AS29" s="152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181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45">
        <v>1</v>
      </c>
      <c r="U30" s="146"/>
      <c r="V30" s="146"/>
      <c r="W30" s="146"/>
      <c r="X30" s="147" t="s">
        <v>18</v>
      </c>
      <c r="Y30" s="147"/>
      <c r="Z30" s="148"/>
      <c r="AA30" s="145">
        <v>75000</v>
      </c>
      <c r="AB30" s="146"/>
      <c r="AC30" s="146"/>
      <c r="AD30" s="146"/>
      <c r="AE30" s="149"/>
      <c r="AF30" s="145">
        <f t="shared" si="1"/>
        <v>75000</v>
      </c>
      <c r="AG30" s="146"/>
      <c r="AH30" s="146"/>
      <c r="AI30" s="146"/>
      <c r="AJ30" s="146"/>
      <c r="AK30" s="146"/>
      <c r="AL30" s="149"/>
      <c r="AM30" s="150"/>
      <c r="AN30" s="151"/>
      <c r="AO30" s="151"/>
      <c r="AP30" s="151"/>
      <c r="AQ30" s="151"/>
      <c r="AR30" s="151"/>
      <c r="AS30" s="152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6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 t="s">
        <v>179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45"/>
      <c r="U31" s="146"/>
      <c r="V31" s="146"/>
      <c r="W31" s="146"/>
      <c r="X31" s="147" t="s">
        <v>18</v>
      </c>
      <c r="Y31" s="147"/>
      <c r="Z31" s="148"/>
      <c r="AA31" s="145">
        <v>10000</v>
      </c>
      <c r="AB31" s="146"/>
      <c r="AC31" s="146"/>
      <c r="AD31" s="146"/>
      <c r="AE31" s="149"/>
      <c r="AF31" s="145">
        <f t="shared" si="1"/>
        <v>10000</v>
      </c>
      <c r="AG31" s="146"/>
      <c r="AH31" s="146"/>
      <c r="AI31" s="146"/>
      <c r="AJ31" s="146"/>
      <c r="AK31" s="146"/>
      <c r="AL31" s="149"/>
      <c r="AM31" s="150"/>
      <c r="AN31" s="151"/>
      <c r="AO31" s="151"/>
      <c r="AP31" s="151"/>
      <c r="AQ31" s="151"/>
      <c r="AR31" s="151"/>
      <c r="AS31" s="152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45"/>
      <c r="U32" s="146"/>
      <c r="V32" s="146"/>
      <c r="W32" s="146"/>
      <c r="X32" s="147"/>
      <c r="Y32" s="147"/>
      <c r="Z32" s="148"/>
      <c r="AA32" s="145"/>
      <c r="AB32" s="146"/>
      <c r="AC32" s="146"/>
      <c r="AD32" s="146"/>
      <c r="AE32" s="149"/>
      <c r="AF32" s="145">
        <f t="shared" si="1"/>
        <v>0</v>
      </c>
      <c r="AG32" s="146"/>
      <c r="AH32" s="146"/>
      <c r="AI32" s="146"/>
      <c r="AJ32" s="146"/>
      <c r="AK32" s="146"/>
      <c r="AL32" s="149"/>
      <c r="AM32" s="150"/>
      <c r="AN32" s="151"/>
      <c r="AO32" s="151"/>
      <c r="AP32" s="151"/>
      <c r="AQ32" s="151"/>
      <c r="AR32" s="151"/>
      <c r="AS32" s="152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45"/>
      <c r="U33" s="146"/>
      <c r="V33" s="146"/>
      <c r="W33" s="146"/>
      <c r="X33" s="147"/>
      <c r="Y33" s="147"/>
      <c r="Z33" s="148"/>
      <c r="AA33" s="145"/>
      <c r="AB33" s="146"/>
      <c r="AC33" s="146"/>
      <c r="AD33" s="146"/>
      <c r="AE33" s="149"/>
      <c r="AF33" s="145">
        <f>IF(T33="",1*AA33,T33*AA33)</f>
        <v>0</v>
      </c>
      <c r="AG33" s="146"/>
      <c r="AH33" s="146"/>
      <c r="AI33" s="146"/>
      <c r="AJ33" s="146"/>
      <c r="AK33" s="146"/>
      <c r="AL33" s="149"/>
      <c r="AM33" s="150"/>
      <c r="AN33" s="151"/>
      <c r="AO33" s="151"/>
      <c r="AP33" s="151"/>
      <c r="AQ33" s="151"/>
      <c r="AR33" s="151"/>
      <c r="AS33" s="152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42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45"/>
      <c r="U34" s="146"/>
      <c r="V34" s="146"/>
      <c r="W34" s="146"/>
      <c r="X34" s="147"/>
      <c r="Y34" s="147"/>
      <c r="Z34" s="148"/>
      <c r="AA34" s="145"/>
      <c r="AB34" s="146"/>
      <c r="AC34" s="146"/>
      <c r="AD34" s="146"/>
      <c r="AE34" s="149"/>
      <c r="AF34" s="145">
        <f>IF(T34="",1*AA34,T34*AA34)</f>
        <v>0</v>
      </c>
      <c r="AG34" s="146"/>
      <c r="AH34" s="146"/>
      <c r="AI34" s="146"/>
      <c r="AJ34" s="146"/>
      <c r="AK34" s="146"/>
      <c r="AL34" s="149"/>
      <c r="AM34" s="150"/>
      <c r="AN34" s="151"/>
      <c r="AO34" s="151"/>
      <c r="AP34" s="151"/>
      <c r="AQ34" s="151"/>
      <c r="AR34" s="151"/>
      <c r="AS34" s="152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 t="s">
        <v>174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45"/>
      <c r="U35" s="146"/>
      <c r="V35" s="146"/>
      <c r="W35" s="146"/>
      <c r="X35" s="147" t="s">
        <v>18</v>
      </c>
      <c r="Y35" s="147"/>
      <c r="Z35" s="148"/>
      <c r="AA35" s="145">
        <v>-87500</v>
      </c>
      <c r="AB35" s="146"/>
      <c r="AC35" s="146"/>
      <c r="AD35" s="146"/>
      <c r="AE35" s="149"/>
      <c r="AF35" s="145">
        <f>IF(T35="",1*AA35,T35*AA35)</f>
        <v>-87500</v>
      </c>
      <c r="AG35" s="146"/>
      <c r="AH35" s="146"/>
      <c r="AI35" s="146"/>
      <c r="AJ35" s="146"/>
      <c r="AK35" s="146"/>
      <c r="AL35" s="149"/>
      <c r="AM35" s="150"/>
      <c r="AN35" s="151"/>
      <c r="AO35" s="151"/>
      <c r="AP35" s="151"/>
      <c r="AQ35" s="151"/>
      <c r="AR35" s="151"/>
      <c r="AS35" s="152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 t="s">
        <v>183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45"/>
      <c r="U36" s="146"/>
      <c r="V36" s="146"/>
      <c r="W36" s="146"/>
      <c r="X36" s="147" t="s">
        <v>18</v>
      </c>
      <c r="Y36" s="147"/>
      <c r="Z36" s="148"/>
      <c r="AA36" s="145"/>
      <c r="AB36" s="146"/>
      <c r="AC36" s="146"/>
      <c r="AD36" s="146"/>
      <c r="AE36" s="149"/>
      <c r="AF36" s="145">
        <f t="shared" si="0"/>
        <v>0</v>
      </c>
      <c r="AG36" s="146"/>
      <c r="AH36" s="146"/>
      <c r="AI36" s="146"/>
      <c r="AJ36" s="146"/>
      <c r="AK36" s="146"/>
      <c r="AL36" s="149"/>
      <c r="AM36" s="150"/>
      <c r="AN36" s="151"/>
      <c r="AO36" s="151"/>
      <c r="AP36" s="151"/>
      <c r="AQ36" s="151"/>
      <c r="AR36" s="151"/>
      <c r="AS36" s="152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 t="shared" si="0"/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32" t="s">
        <v>88</v>
      </c>
      <c r="C38" s="133"/>
      <c r="D38" s="133"/>
      <c r="E38" s="133"/>
      <c r="F38" s="133"/>
      <c r="G38" s="134"/>
      <c r="H38" s="135">
        <f>AA38*0.1</f>
        <v>8750</v>
      </c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7"/>
      <c r="T38" s="138" t="s">
        <v>11</v>
      </c>
      <c r="U38" s="133"/>
      <c r="V38" s="133"/>
      <c r="W38" s="133"/>
      <c r="X38" s="133"/>
      <c r="Y38" s="133"/>
      <c r="Z38" s="134"/>
      <c r="AA38" s="139">
        <f>SUM(AF26:AL37)</f>
        <v>87500</v>
      </c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1"/>
      <c r="AM38" s="185"/>
      <c r="AN38" s="186"/>
      <c r="AO38" s="186"/>
      <c r="AP38" s="186"/>
      <c r="AQ38" s="186"/>
      <c r="AR38" s="186"/>
      <c r="AS38" s="18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18" t="s">
        <v>5</v>
      </c>
      <c r="C39" s="119"/>
      <c r="D39" s="119"/>
      <c r="E39" s="119"/>
      <c r="F39" s="119"/>
      <c r="G39" s="120"/>
      <c r="H39" s="121">
        <f>CK115+H38</f>
        <v>96250</v>
      </c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3"/>
      <c r="AM39" s="181"/>
      <c r="AN39" s="182"/>
      <c r="AO39" s="182"/>
      <c r="AP39" s="182"/>
      <c r="AQ39" s="182"/>
      <c r="AR39" s="182"/>
      <c r="AS39" s="183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24" t="s">
        <v>12</v>
      </c>
      <c r="C40" s="125"/>
      <c r="D40" s="125"/>
      <c r="E40" s="126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8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thickBot="1" x14ac:dyDescent="0.2">
      <c r="A41" s="25"/>
      <c r="B41" s="129" t="s">
        <v>177</v>
      </c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Top="1" thickBot="1" x14ac:dyDescent="0.2">
      <c r="A42" s="25"/>
      <c r="B42" s="129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9"/>
      <c r="O44" s="109"/>
      <c r="P44" s="109"/>
      <c r="Q44" s="109"/>
      <c r="R44" s="109"/>
      <c r="S44" s="109"/>
      <c r="T44" s="109"/>
      <c r="U44" s="109"/>
      <c r="V44" s="109"/>
      <c r="W44" s="1"/>
      <c r="X44" s="50"/>
      <c r="Y44" s="16"/>
      <c r="Z44" s="15"/>
      <c r="AA44" s="15"/>
      <c r="AB44" s="117"/>
      <c r="AC44" s="117"/>
      <c r="AD44" s="117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11"/>
      <c r="O45" s="111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6"/>
      <c r="AC45" s="116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1"/>
      <c r="O46" s="111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1"/>
      <c r="O47" s="111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7"/>
      <c r="AB47" s="117"/>
      <c r="AC47" s="117"/>
      <c r="AD47" s="117"/>
      <c r="AE47" s="117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1"/>
      <c r="O48" s="111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6"/>
      <c r="AC48" s="116"/>
      <c r="AD48" s="116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1"/>
      <c r="O49" s="111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6"/>
      <c r="AC49" s="116"/>
      <c r="AD49" s="116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1"/>
      <c r="O50" s="111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1"/>
      <c r="O51" s="111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84"/>
      <c r="AB51" s="184"/>
      <c r="AC51" s="184"/>
      <c r="AD51" s="184"/>
      <c r="AE51" s="184"/>
      <c r="AF51" s="184"/>
      <c r="AG51" s="184"/>
      <c r="AH51" s="184"/>
      <c r="AI51" s="184"/>
      <c r="AJ51" s="117"/>
      <c r="AK51" s="117"/>
      <c r="AL51" s="117"/>
      <c r="AM51" s="117"/>
      <c r="AN51" s="117"/>
      <c r="AO51" s="117"/>
      <c r="AP51" s="117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1"/>
      <c r="O52" s="111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1"/>
      <c r="O53" s="111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1"/>
      <c r="O54" s="111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1"/>
      <c r="O55" s="111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9"/>
      <c r="O56" s="109"/>
      <c r="P56" s="107">
        <f>SUM(CK115:CQ115)</f>
        <v>87500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5"/>
      <c r="O60" s="115"/>
      <c r="P60" s="115"/>
      <c r="Q60" s="115"/>
      <c r="R60" s="113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"/>
      <c r="AR60" s="109"/>
      <c r="AS60" s="109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58</v>
      </c>
      <c r="FC100" s="59" t="s">
        <v>59</v>
      </c>
      <c r="FD100" s="59" t="s">
        <v>60</v>
      </c>
      <c r="FE100" s="59" t="s">
        <v>61</v>
      </c>
      <c r="FF100" s="59" t="s">
        <v>14</v>
      </c>
      <c r="FG100" s="59" t="s">
        <v>14</v>
      </c>
      <c r="FH100" s="59" t="s">
        <v>62</v>
      </c>
      <c r="FI100" s="59" t="s">
        <v>63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展示会参加諸経費　10/17金曜　10/18土曜</v>
      </c>
      <c r="FE101" s="61">
        <f>T26</f>
        <v>0</v>
      </c>
      <c r="FF101" s="61">
        <f>X26</f>
        <v>0</v>
      </c>
      <c r="FG101" s="61">
        <f>AA26</f>
        <v>0</v>
      </c>
      <c r="FH101" s="61">
        <f>AF26</f>
        <v>0</v>
      </c>
      <c r="FI101" s="61" t="str">
        <f>AM26</f>
        <v>城東営業所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56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公共交通費　往復　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25000</v>
      </c>
      <c r="FH102" s="61">
        <f t="shared" ref="FH102:FH112" si="6">AF27</f>
        <v>25000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48</v>
      </c>
      <c r="CF103" s="1"/>
      <c r="CG103" s="1"/>
      <c r="CH103" s="1"/>
      <c r="CI103" s="87" t="s">
        <v>13</v>
      </c>
      <c r="CJ103" s="112"/>
      <c r="CK103" s="112"/>
      <c r="CL103" s="112"/>
      <c r="CM103" s="112"/>
      <c r="CN103" s="112"/>
      <c r="CO103" s="112"/>
      <c r="CP103" s="112"/>
      <c r="CQ103" s="88"/>
      <c r="CR103" s="1"/>
      <c r="CS103" s="26" t="s">
        <v>14</v>
      </c>
      <c r="CT103" s="14"/>
      <c r="CU103" s="15"/>
      <c r="CV103" s="15"/>
      <c r="CW103" s="106" t="s">
        <v>10</v>
      </c>
      <c r="CX103" s="106"/>
      <c r="CY103" s="106"/>
      <c r="CZ103" s="15"/>
      <c r="DA103" s="16"/>
      <c r="DB103" s="16"/>
      <c r="DC103" s="16"/>
      <c r="DD103" s="35" t="s">
        <v>47</v>
      </c>
      <c r="DE103" s="36"/>
      <c r="DF103" s="36"/>
      <c r="DG103" s="36"/>
      <c r="DH103" s="36"/>
      <c r="DI103" s="36"/>
      <c r="DJ103" s="37"/>
      <c r="DK103" s="15"/>
      <c r="DL103" s="1"/>
      <c r="DM103" s="108" t="s">
        <v>54</v>
      </c>
      <c r="DN103" s="108"/>
      <c r="DO103" s="108"/>
      <c r="DP103" s="108"/>
      <c r="DQ103" s="108"/>
      <c r="DR103" s="10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57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宿泊費　1泊2日　　1名分</v>
      </c>
      <c r="FE103" s="61">
        <f t="shared" si="3"/>
        <v>1</v>
      </c>
      <c r="FF103" s="61" t="str">
        <f t="shared" si="4"/>
        <v>一式</v>
      </c>
      <c r="FG103" s="61">
        <f t="shared" si="5"/>
        <v>15000</v>
      </c>
      <c r="FH103" s="61">
        <f t="shared" si="6"/>
        <v>15000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99">
        <v>0</v>
      </c>
      <c r="CJ104" s="99"/>
      <c r="CK104" s="98">
        <f>AA38</f>
        <v>87500</v>
      </c>
      <c r="CL104" s="98"/>
      <c r="CM104" s="98"/>
      <c r="CN104" s="98"/>
      <c r="CO104" s="98"/>
      <c r="CP104" s="98"/>
      <c r="CQ104" s="98"/>
      <c r="CR104" s="1"/>
      <c r="CS104" s="17" t="s">
        <v>15</v>
      </c>
      <c r="CT104" s="18"/>
      <c r="CU104" s="15"/>
      <c r="CV104" s="15"/>
      <c r="CW104" s="100">
        <v>5</v>
      </c>
      <c r="CX104" s="101"/>
      <c r="CY104" s="19" t="s">
        <v>16</v>
      </c>
      <c r="CZ104" s="15"/>
      <c r="DA104" s="15"/>
      <c r="DB104" s="15"/>
      <c r="DC104" s="15"/>
      <c r="DD104" s="38" t="s">
        <v>42</v>
      </c>
      <c r="DE104" s="39"/>
      <c r="DF104" s="39"/>
      <c r="DG104" s="39"/>
      <c r="DH104" s="39"/>
      <c r="DI104" s="39"/>
      <c r="DJ104" s="22"/>
      <c r="DK104" s="15"/>
      <c r="DL104" s="1"/>
      <c r="DM104" s="103" t="s">
        <v>55</v>
      </c>
      <c r="DN104" s="104"/>
      <c r="DO104" s="104"/>
      <c r="DP104" s="104"/>
      <c r="DQ104" s="104"/>
      <c r="DR104" s="105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日当１日1名分　10/17平日</v>
      </c>
      <c r="FE104" s="61">
        <f t="shared" si="3"/>
        <v>1</v>
      </c>
      <c r="FF104" s="61" t="str">
        <f t="shared" si="4"/>
        <v>一式</v>
      </c>
      <c r="FG104" s="61">
        <f t="shared" si="5"/>
        <v>50000</v>
      </c>
      <c r="FH104" s="61">
        <f t="shared" si="6"/>
        <v>50000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99">
        <v>1</v>
      </c>
      <c r="CJ105" s="99"/>
      <c r="CK105" s="98">
        <f>IF(ISERROR(#REF!),0,#REF!)</f>
        <v>0</v>
      </c>
      <c r="CL105" s="98"/>
      <c r="CM105" s="98"/>
      <c r="CN105" s="98"/>
      <c r="CO105" s="98"/>
      <c r="CP105" s="98"/>
      <c r="CQ105" s="98"/>
      <c r="CR105" s="1"/>
      <c r="CS105" s="17" t="s">
        <v>17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43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1</v>
      </c>
      <c r="FF105" s="61" t="str">
        <f t="shared" si="4"/>
        <v>一式</v>
      </c>
      <c r="FG105" s="61">
        <f t="shared" si="5"/>
        <v>75000</v>
      </c>
      <c r="FH105" s="61">
        <f t="shared" si="6"/>
        <v>75000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99">
        <v>2</v>
      </c>
      <c r="CJ106" s="99"/>
      <c r="CK106" s="98">
        <f>IF(ISERROR(#REF!),0,#REF!)</f>
        <v>0</v>
      </c>
      <c r="CL106" s="98"/>
      <c r="CM106" s="98"/>
      <c r="CN106" s="98"/>
      <c r="CO106" s="98"/>
      <c r="CP106" s="98"/>
      <c r="CQ106" s="98"/>
      <c r="CR106" s="1"/>
      <c r="CS106" s="20" t="s">
        <v>18</v>
      </c>
      <c r="CT106" s="21"/>
      <c r="CU106" s="15"/>
      <c r="CV106" s="106" t="s">
        <v>19</v>
      </c>
      <c r="CW106" s="106"/>
      <c r="CX106" s="106"/>
      <c r="CY106" s="106"/>
      <c r="CZ106" s="106"/>
      <c r="DA106" s="15"/>
      <c r="DB106" s="15"/>
      <c r="DC106" s="15"/>
      <c r="DD106" s="38" t="s">
        <v>44</v>
      </c>
      <c r="DE106" s="39"/>
      <c r="DF106" s="39"/>
      <c r="DG106" s="39"/>
      <c r="DH106" s="39"/>
      <c r="DI106" s="39"/>
      <c r="DJ106" s="22"/>
      <c r="DK106" s="15"/>
      <c r="DL106" s="1"/>
      <c r="DM106" s="108" t="s">
        <v>65</v>
      </c>
      <c r="DN106" s="108"/>
      <c r="DO106" s="108"/>
      <c r="DP106" s="108"/>
      <c r="DQ106" s="108"/>
      <c r="DR106" s="10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 t="str">
        <f t="shared" si="4"/>
        <v>一式</v>
      </c>
      <c r="FG106" s="61">
        <f t="shared" si="5"/>
        <v>10000</v>
      </c>
      <c r="FH106" s="61">
        <f t="shared" si="6"/>
        <v>10000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99">
        <v>3</v>
      </c>
      <c r="CJ107" s="99"/>
      <c r="CK107" s="98">
        <f>IF(ISERROR(#REF!),0,#REF!)</f>
        <v>0</v>
      </c>
      <c r="CL107" s="98"/>
      <c r="CM107" s="98"/>
      <c r="CN107" s="98"/>
      <c r="CO107" s="98"/>
      <c r="CP107" s="98"/>
      <c r="CQ107" s="98"/>
      <c r="CR107" s="1"/>
      <c r="CS107" s="17" t="s">
        <v>20</v>
      </c>
      <c r="CT107" s="18"/>
      <c r="CU107" s="15"/>
      <c r="CV107" s="27" t="s">
        <v>21</v>
      </c>
      <c r="CW107" s="100">
        <v>100</v>
      </c>
      <c r="CX107" s="100"/>
      <c r="CY107" s="101"/>
      <c r="CZ107" s="22" t="s">
        <v>16</v>
      </c>
      <c r="DA107" s="15"/>
      <c r="DB107" s="15"/>
      <c r="DC107" s="15"/>
      <c r="DD107" s="38" t="s">
        <v>45</v>
      </c>
      <c r="DE107" s="39"/>
      <c r="DF107" s="39"/>
      <c r="DG107" s="39"/>
      <c r="DH107" s="39"/>
      <c r="DI107" s="39"/>
      <c r="DJ107" s="22"/>
      <c r="DK107" s="15"/>
      <c r="DL107" s="1"/>
      <c r="DM107" s="89" t="s">
        <v>73</v>
      </c>
      <c r="DN107" s="90"/>
      <c r="DO107" s="90"/>
      <c r="DP107" s="90"/>
      <c r="DQ107" s="90"/>
      <c r="DR107" s="9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49</v>
      </c>
      <c r="CF108" s="1"/>
      <c r="CG108" s="1"/>
      <c r="CH108" s="1"/>
      <c r="CI108" s="99">
        <v>4</v>
      </c>
      <c r="CJ108" s="99"/>
      <c r="CK108" s="98"/>
      <c r="CL108" s="98"/>
      <c r="CM108" s="98"/>
      <c r="CN108" s="98"/>
      <c r="CO108" s="98"/>
      <c r="CP108" s="98"/>
      <c r="CQ108" s="98"/>
      <c r="CR108" s="1"/>
      <c r="CS108" s="17" t="s">
        <v>22</v>
      </c>
      <c r="CT108" s="18"/>
      <c r="CU108" s="15"/>
      <c r="CV108" s="27" t="s">
        <v>23</v>
      </c>
      <c r="CW108" s="100">
        <v>80</v>
      </c>
      <c r="CX108" s="100"/>
      <c r="CY108" s="101"/>
      <c r="CZ108" s="22" t="s">
        <v>16</v>
      </c>
      <c r="DA108" s="15"/>
      <c r="DB108" s="15"/>
      <c r="DC108" s="15"/>
      <c r="DD108" s="38" t="s">
        <v>46</v>
      </c>
      <c r="DE108" s="39"/>
      <c r="DF108" s="39"/>
      <c r="DG108" s="39"/>
      <c r="DH108" s="39"/>
      <c r="DI108" s="39"/>
      <c r="DJ108" s="22"/>
      <c r="DK108" s="15"/>
      <c r="DL108" s="1"/>
      <c r="DM108" s="103" t="s">
        <v>66</v>
      </c>
      <c r="DN108" s="104"/>
      <c r="DO108" s="104"/>
      <c r="DP108" s="104"/>
      <c r="DQ108" s="104"/>
      <c r="DR108" s="105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展示会参加デモ用消耗品費　事前送付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99">
        <v>5</v>
      </c>
      <c r="CJ109" s="99"/>
      <c r="CK109" s="98"/>
      <c r="CL109" s="98"/>
      <c r="CM109" s="98"/>
      <c r="CN109" s="98"/>
      <c r="CO109" s="98"/>
      <c r="CP109" s="98"/>
      <c r="CQ109" s="98"/>
      <c r="CR109" s="1"/>
      <c r="CS109" s="20" t="s">
        <v>24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3" t="s">
        <v>67</v>
      </c>
      <c r="DN109" s="104"/>
      <c r="DO109" s="104"/>
      <c r="DP109" s="104"/>
      <c r="DQ109" s="104"/>
      <c r="DR109" s="105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50</v>
      </c>
      <c r="CF110" s="1"/>
      <c r="CG110" s="1"/>
      <c r="CH110" s="1"/>
      <c r="CI110" s="99">
        <v>6</v>
      </c>
      <c r="CJ110" s="99"/>
      <c r="CK110" s="98"/>
      <c r="CL110" s="98"/>
      <c r="CM110" s="98"/>
      <c r="CN110" s="98"/>
      <c r="CO110" s="98"/>
      <c r="CP110" s="98"/>
      <c r="CQ110" s="98"/>
      <c r="CR110" s="1"/>
      <c r="CS110" s="20" t="s">
        <v>25</v>
      </c>
      <c r="CT110" s="20"/>
      <c r="CU110" s="15"/>
      <c r="CV110" s="102" t="s">
        <v>26</v>
      </c>
      <c r="CW110" s="102"/>
      <c r="CX110" s="102"/>
      <c r="CY110" s="102"/>
      <c r="CZ110" s="102"/>
      <c r="DA110" s="102"/>
      <c r="DB110" s="102"/>
      <c r="DC110" s="102"/>
      <c r="DD110" s="102"/>
      <c r="DE110" s="106" t="s">
        <v>27</v>
      </c>
      <c r="DF110" s="106"/>
      <c r="DG110" s="106"/>
      <c r="DH110" s="106"/>
      <c r="DI110" s="106"/>
      <c r="DJ110" s="106"/>
      <c r="DK110" s="106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 t="str">
        <f t="shared" si="2"/>
        <v>出展協力50％値引き</v>
      </c>
      <c r="FE110" s="61">
        <f t="shared" si="3"/>
        <v>0</v>
      </c>
      <c r="FF110" s="61" t="str">
        <f t="shared" si="4"/>
        <v>一式</v>
      </c>
      <c r="FG110" s="61">
        <f t="shared" si="5"/>
        <v>-87500</v>
      </c>
      <c r="FH110" s="61">
        <f t="shared" si="6"/>
        <v>-87500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51</v>
      </c>
      <c r="CF111" s="1"/>
      <c r="CG111" s="1"/>
      <c r="CH111" s="1"/>
      <c r="CI111" s="99">
        <v>7</v>
      </c>
      <c r="CJ111" s="99"/>
      <c r="CK111" s="98"/>
      <c r="CL111" s="98"/>
      <c r="CM111" s="98"/>
      <c r="CN111" s="98"/>
      <c r="CO111" s="98"/>
      <c r="CP111" s="98"/>
      <c r="CQ111" s="98"/>
      <c r="CR111" s="1"/>
      <c r="CS111" s="17" t="s">
        <v>28</v>
      </c>
      <c r="CT111" s="18"/>
      <c r="CU111" s="15"/>
      <c r="CV111" s="27" t="s">
        <v>21</v>
      </c>
      <c r="CW111" s="96" t="s">
        <v>69</v>
      </c>
      <c r="CX111" s="96"/>
      <c r="CY111" s="96"/>
      <c r="CZ111" s="96"/>
      <c r="DA111" s="96"/>
      <c r="DB111" s="96"/>
      <c r="DC111" s="96"/>
      <c r="DD111" s="96"/>
      <c r="DE111" s="96" t="s">
        <v>29</v>
      </c>
      <c r="DF111" s="96"/>
      <c r="DG111" s="96"/>
      <c r="DH111" s="96"/>
      <c r="DI111" s="96"/>
      <c r="DJ111" s="96"/>
      <c r="DK111" s="96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 t="str">
        <f t="shared" si="2"/>
        <v>電源　遮光パネル　窒素　本体一式　御社手配</v>
      </c>
      <c r="FE111" s="61">
        <f t="shared" si="3"/>
        <v>0</v>
      </c>
      <c r="FF111" s="61" t="str">
        <f t="shared" si="4"/>
        <v>一式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99">
        <v>8</v>
      </c>
      <c r="CJ112" s="99"/>
      <c r="CK112" s="98"/>
      <c r="CL112" s="98"/>
      <c r="CM112" s="98"/>
      <c r="CN112" s="98"/>
      <c r="CO112" s="98"/>
      <c r="CP112" s="98"/>
      <c r="CQ112" s="98"/>
      <c r="CR112" s="1"/>
      <c r="CS112" s="17" t="s">
        <v>30</v>
      </c>
      <c r="CT112" s="18"/>
      <c r="CU112" s="15"/>
      <c r="CV112" s="27" t="s">
        <v>23</v>
      </c>
      <c r="CW112" s="96" t="s">
        <v>77</v>
      </c>
      <c r="CX112" s="96"/>
      <c r="CY112" s="96"/>
      <c r="CZ112" s="96"/>
      <c r="DA112" s="96"/>
      <c r="DB112" s="96"/>
      <c r="DC112" s="96"/>
      <c r="DD112" s="96"/>
      <c r="DE112" s="96" t="s">
        <v>78</v>
      </c>
      <c r="DF112" s="96"/>
      <c r="DG112" s="96"/>
      <c r="DH112" s="96"/>
      <c r="DI112" s="96"/>
      <c r="DJ112" s="96"/>
      <c r="DK112" s="96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99">
        <v>9</v>
      </c>
      <c r="CJ113" s="99"/>
      <c r="CK113" s="98"/>
      <c r="CL113" s="98"/>
      <c r="CM113" s="98"/>
      <c r="CN113" s="98"/>
      <c r="CO113" s="98"/>
      <c r="CP113" s="98"/>
      <c r="CQ113" s="98"/>
      <c r="CR113" s="1"/>
      <c r="CS113" s="17" t="s">
        <v>31</v>
      </c>
      <c r="CT113" s="18"/>
      <c r="CU113" s="15"/>
      <c r="CV113" s="27" t="s">
        <v>32</v>
      </c>
      <c r="CW113" s="96" t="s">
        <v>80</v>
      </c>
      <c r="CX113" s="96"/>
      <c r="CY113" s="96"/>
      <c r="CZ113" s="96"/>
      <c r="DA113" s="96"/>
      <c r="DB113" s="96"/>
      <c r="DC113" s="96"/>
      <c r="DD113" s="96"/>
      <c r="DE113" s="96" t="s">
        <v>79</v>
      </c>
      <c r="DF113" s="96"/>
      <c r="DG113" s="96"/>
      <c r="DH113" s="96"/>
      <c r="DI113" s="96"/>
      <c r="DJ113" s="96"/>
      <c r="DK113" s="96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99">
        <v>10</v>
      </c>
      <c r="CJ114" s="99"/>
      <c r="CK114" s="98"/>
      <c r="CL114" s="98"/>
      <c r="CM114" s="98"/>
      <c r="CN114" s="98"/>
      <c r="CO114" s="98"/>
      <c r="CP114" s="98"/>
      <c r="CQ114" s="98"/>
      <c r="CR114" s="1"/>
      <c r="CS114" s="20" t="s">
        <v>33</v>
      </c>
      <c r="CT114" s="21"/>
      <c r="CU114" s="15"/>
      <c r="CV114" s="27" t="s">
        <v>34</v>
      </c>
      <c r="CW114" s="96" t="s">
        <v>70</v>
      </c>
      <c r="CX114" s="96"/>
      <c r="CY114" s="96"/>
      <c r="CZ114" s="96"/>
      <c r="DA114" s="96"/>
      <c r="DB114" s="96"/>
      <c r="DC114" s="96"/>
      <c r="DD114" s="96"/>
      <c r="DE114" s="96" t="s">
        <v>35</v>
      </c>
      <c r="DF114" s="96"/>
      <c r="DG114" s="96"/>
      <c r="DH114" s="96"/>
      <c r="DI114" s="96"/>
      <c r="DJ114" s="96"/>
      <c r="DK114" s="96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7" t="s">
        <v>36</v>
      </c>
      <c r="CJ115" s="97"/>
      <c r="CK115" s="98">
        <f>SUM(CK104:CQ114)</f>
        <v>87500</v>
      </c>
      <c r="CL115" s="98"/>
      <c r="CM115" s="98"/>
      <c r="CN115" s="98"/>
      <c r="CO115" s="98"/>
      <c r="CP115" s="98"/>
      <c r="CQ115" s="98"/>
      <c r="CR115" s="1"/>
      <c r="CS115" s="17" t="s">
        <v>41</v>
      </c>
      <c r="CT115" s="18"/>
      <c r="CU115" s="15"/>
      <c r="CV115" s="27" t="s">
        <v>37</v>
      </c>
      <c r="CW115" s="96" t="s">
        <v>71</v>
      </c>
      <c r="CX115" s="96"/>
      <c r="CY115" s="96"/>
      <c r="CZ115" s="96"/>
      <c r="DA115" s="96"/>
      <c r="DB115" s="96"/>
      <c r="DC115" s="96"/>
      <c r="DD115" s="96"/>
      <c r="DE115" s="96" t="s">
        <v>38</v>
      </c>
      <c r="DF115" s="96"/>
      <c r="DG115" s="96"/>
      <c r="DH115" s="96"/>
      <c r="DI115" s="96"/>
      <c r="DJ115" s="96"/>
      <c r="DK115" s="96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93" t="s">
        <v>39</v>
      </c>
      <c r="CJ119" s="93"/>
      <c r="CK119" s="93"/>
      <c r="CL119" s="93"/>
      <c r="CM119" s="94" t="s">
        <v>81</v>
      </c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  <c r="DC119" s="95"/>
      <c r="DD119" s="95"/>
      <c r="DE119" s="95"/>
      <c r="DF119" s="95"/>
      <c r="DG119" s="95"/>
      <c r="DH119" s="95"/>
      <c r="DI119" s="95"/>
      <c r="DJ119" s="95"/>
      <c r="DK119" s="95"/>
      <c r="DL119" s="1"/>
      <c r="DM119" s="87" t="s">
        <v>40</v>
      </c>
      <c r="DN119" s="88"/>
      <c r="DO119" s="89" t="s">
        <v>74</v>
      </c>
      <c r="DP119" s="90"/>
      <c r="DQ119" s="90"/>
      <c r="DR119" s="90"/>
      <c r="DS119" s="90"/>
      <c r="DT119" s="90"/>
      <c r="DU119" s="9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93" t="s">
        <v>68</v>
      </c>
      <c r="CJ120" s="93"/>
      <c r="CK120" s="93"/>
      <c r="CL120" s="93"/>
      <c r="CM120" s="94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  <c r="DA120" s="95"/>
      <c r="DB120" s="95"/>
      <c r="DC120" s="95"/>
      <c r="DD120" s="95"/>
      <c r="DE120" s="95"/>
      <c r="DF120" s="95"/>
      <c r="DG120" s="95"/>
      <c r="DH120" s="95"/>
      <c r="DI120" s="95"/>
      <c r="DJ120" s="95"/>
      <c r="DK120" s="95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82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58</v>
      </c>
      <c r="FC400" s="59" t="s">
        <v>59</v>
      </c>
      <c r="FD400" s="59" t="s">
        <v>60</v>
      </c>
      <c r="FE400" s="59" t="s">
        <v>61</v>
      </c>
      <c r="FF400" s="59" t="s">
        <v>14</v>
      </c>
      <c r="FG400" s="59" t="s">
        <v>64</v>
      </c>
      <c r="FH400" s="59" t="s">
        <v>62</v>
      </c>
      <c r="FI400" s="59" t="s">
        <v>63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84900B1A-5889-4B74-BEA5-18BAB9CFE9CE}"/>
    <dataValidation allowBlank="1" showInputMessage="1" showErrorMessage="1" promptTitle="明細書01の状態" prompt="明細書01が表示されているときは 0_x000a_明細書01が非表示のときは 1" sqref="CE107" xr:uid="{46A5D41C-FC52-45C4-8D35-0F2E46795C9D}"/>
    <dataValidation allowBlank="1" showInputMessage="1" showErrorMessage="1" promptTitle="シート数を入力" prompt="明細書が出ていない状態でシート枚数を表示" sqref="CE106" xr:uid="{DAD6F79F-EAD4-4068-8CAD-FCC43BCC1A0B}"/>
    <dataValidation type="list" allowBlank="1" showInputMessage="1" showErrorMessage="1" sqref="DM104:DR104" xr:uid="{1205EC91-2731-4437-AA6A-C57117109FB6}">
      <formula1>$EM$102:$EM$103</formula1>
    </dataValidation>
    <dataValidation type="list" allowBlank="1" showInputMessage="1" showErrorMessage="1" sqref="T7:V8" xr:uid="{C506612D-294F-4E09-8E3F-22F4BC8B4356}">
      <formula1>$CE$109:$CE$111</formula1>
    </dataValidation>
    <dataValidation type="list" imeMode="hiragana" allowBlank="1" showInputMessage="1" showErrorMessage="1" prompt="ボタンを押し単位を入力" sqref="X26:Z37" xr:uid="{98202675-C3A1-4BD8-AFB2-7B10269EC598}">
      <formula1>$CS$104:$CS$116</formula1>
    </dataValidation>
    <dataValidation type="list" allowBlank="1" showInputMessage="1" showErrorMessage="1" sqref="AA2:AJ3" xr:uid="{B1F9DDB2-2E45-4E7C-8ED1-B1A5E69816EC}">
      <formula1>$DD$104:$DD$108</formula1>
    </dataValidation>
    <dataValidation imeMode="hiragana" allowBlank="1" showInputMessage="1" showErrorMessage="1" prompt="備考があれば入力" sqref="AN35:AS37 AM26:AM37" xr:uid="{A82A446E-BC76-4A06-80FD-4A2A828AD420}"/>
    <dataValidation imeMode="off" allowBlank="1" showInputMessage="1" showErrorMessage="1" prompt="単価を入力" sqref="AA26:AE37" xr:uid="{444384AF-99FF-4CB7-9C68-88426F155BAE}"/>
    <dataValidation imeMode="off" allowBlank="1" showInputMessage="1" showErrorMessage="1" prompt="数量を入力" sqref="T26:W37" xr:uid="{4F27B0A8-92D1-4990-8DD0-355F3BC1DA84}"/>
    <dataValidation imeMode="hiragana" allowBlank="1" showInputMessage="1" showErrorMessage="1" prompt="品名を入力" sqref="B26:S37" xr:uid="{BE3BA3DC-A299-42C1-B220-C365BCB735F9}"/>
    <dataValidation imeMode="hiragana" allowBlank="1" showInputMessage="1" showErrorMessage="1" prompt="担当者を入力" sqref="AF17:AL17" xr:uid="{42D59AB7-2110-40F5-BEB0-783D3CA19D6A}"/>
    <dataValidation imeMode="hiragana" allowBlank="1" showInputMessage="1" showErrorMessage="1" prompt="受渡場所を入力_x000a_例：貴社指定場所" sqref="H13:T13" xr:uid="{CA6EF768-F3AD-4315-9C14-57F37BFC5188}"/>
    <dataValidation imeMode="off" allowBlank="1" showInputMessage="1" showErrorMessage="1" prompt="年を入力" sqref="J17:L17" xr:uid="{4CEA4B43-4A85-460C-8A3F-11D24E9680BA}"/>
    <dataValidation imeMode="hiragana" allowBlank="1" showInputMessage="1" showErrorMessage="1" sqref="AB9:AS9 E40:AS40 B41:AS42" xr:uid="{6AEC3D7D-A56E-4986-BDE1-1AED8A3E4563}"/>
    <dataValidation allowBlank="1" showInputMessage="1" showErrorMessage="1" prompt="見積書NOを入力" sqref="AN3:AR3" xr:uid="{FA577B94-96C2-4F2F-A795-27C84BCF511F}"/>
    <dataValidation imeMode="hiragana" allowBlank="1" showInputMessage="1" showErrorMessage="1" prompt="お客様名を入力" sqref="D7:S8" xr:uid="{3C9FB03B-86EB-41D8-B301-145F217E3BF7}"/>
    <dataValidation imeMode="hiragana" allowBlank="1" showInputMessage="1" showErrorMessage="1" prompt="お客様の住所でビル名番地など入力" sqref="D5:R5" xr:uid="{8EBE9948-C151-427C-95F3-12D629674EC4}"/>
    <dataValidation imeMode="hiragana" allowBlank="1" showInputMessage="1" showErrorMessage="1" prompt="お客様の住所を入力" sqref="D4" xr:uid="{BFEE0A23-3AC6-496B-941A-0EF9029DAD61}"/>
    <dataValidation imeMode="off" allowBlank="1" showInputMessage="1" showErrorMessage="1" prompt="お客様の郵便番号を入力" sqref="E3:H3" xr:uid="{53E049CE-EAE1-4A30-A6FE-19CA760F7F49}"/>
    <dataValidation imeMode="off" allowBlank="1" showInputMessage="1" showErrorMessage="1" prompt="日を入力" sqref="AP6:AQ6 Q17:R17" xr:uid="{667DE10E-F928-426F-A5CB-AC3231C7D64E}"/>
    <dataValidation imeMode="off" allowBlank="1" showInputMessage="1" showErrorMessage="1" prompt="月を入力" sqref="AM6:AN6 N17:O17" xr:uid="{92830E36-464B-43B4-A124-F2501189BBCA}"/>
    <dataValidation imeMode="off" allowBlank="1" showInputMessage="1" showErrorMessage="1" prompt="年を入力  西暦表示の場合、平成を消してください" sqref="AI6:AK6" xr:uid="{407B4709-1AB8-45C2-8243-EFAE23CD604D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4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5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6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7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8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9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0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1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2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3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4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5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8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9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0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1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2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3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4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5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6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7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8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9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0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3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4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5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6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7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8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9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0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1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2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3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4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1C0D-3958-48A6-8BFB-FC31956693F6}">
  <sheetPr>
    <pageSetUpPr fitToPage="1"/>
  </sheetPr>
  <dimension ref="A1:FI642"/>
  <sheetViews>
    <sheetView showGridLines="0" showRowColHeaders="0" tabSelected="1" topLeftCell="A10" workbookViewId="0">
      <selection activeCell="B41" sqref="B41:AS41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0" t="s">
        <v>72</v>
      </c>
      <c r="N2" s="200"/>
      <c r="O2" s="200"/>
      <c r="P2" s="200"/>
      <c r="Q2" s="200"/>
      <c r="R2" s="200"/>
      <c r="W2" s="4"/>
      <c r="X2" s="4"/>
      <c r="Y2" s="4"/>
      <c r="Z2" s="4"/>
      <c r="AA2" s="167" t="s">
        <v>42</v>
      </c>
      <c r="AB2" s="167"/>
      <c r="AC2" s="167"/>
      <c r="AD2" s="167"/>
      <c r="AE2" s="167"/>
      <c r="AF2" s="167"/>
      <c r="AG2" s="167"/>
      <c r="AH2" s="167"/>
      <c r="AI2" s="167"/>
      <c r="AJ2" s="167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2" t="s">
        <v>95</v>
      </c>
      <c r="F3" s="192"/>
      <c r="G3" s="192"/>
      <c r="H3" s="192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L3" s="5" t="s">
        <v>0</v>
      </c>
      <c r="AM3" s="5"/>
      <c r="AN3" s="188" t="s">
        <v>186</v>
      </c>
      <c r="AO3" s="188"/>
      <c r="AP3" s="188"/>
      <c r="AQ3" s="188"/>
      <c r="AR3" s="188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0" t="s">
        <v>170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0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1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87</v>
      </c>
      <c r="AH6" s="12"/>
      <c r="AI6" s="196">
        <v>7</v>
      </c>
      <c r="AJ6" s="196"/>
      <c r="AK6" s="196"/>
      <c r="AL6" s="9" t="s">
        <v>1</v>
      </c>
      <c r="AM6" s="196">
        <v>7</v>
      </c>
      <c r="AN6" s="196"/>
      <c r="AO6" s="9" t="s">
        <v>2</v>
      </c>
      <c r="AP6" s="196">
        <v>18</v>
      </c>
      <c r="AQ6" s="196"/>
      <c r="AR6" s="30" t="s">
        <v>83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4" t="s">
        <v>97</v>
      </c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3" t="s">
        <v>50</v>
      </c>
      <c r="U7" s="193"/>
      <c r="V7" s="19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3"/>
      <c r="U8" s="193"/>
      <c r="V8" s="19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73" t="s">
        <v>93</v>
      </c>
      <c r="E11" s="68"/>
      <c r="F11" s="68"/>
      <c r="G11" s="68"/>
      <c r="H11" s="203" t="s">
        <v>171</v>
      </c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73" t="s">
        <v>94</v>
      </c>
      <c r="E13" s="68"/>
      <c r="F13" s="68"/>
      <c r="G13" s="68"/>
      <c r="H13" s="177" t="s">
        <v>169</v>
      </c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68"/>
      <c r="Z13" s="72"/>
      <c r="AB13" s="204" t="s">
        <v>52</v>
      </c>
      <c r="AC13" s="204"/>
      <c r="AD13" s="204"/>
      <c r="AE13" s="205" t="s">
        <v>75</v>
      </c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89</v>
      </c>
      <c r="E15" s="68"/>
      <c r="F15" s="68"/>
      <c r="G15" s="68"/>
      <c r="I15" s="75" t="s">
        <v>90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B15" s="206" t="s">
        <v>53</v>
      </c>
      <c r="AC15" s="206"/>
      <c r="AD15" s="206"/>
      <c r="AE15" s="205" t="s">
        <v>76</v>
      </c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88"/>
      <c r="K17" s="188"/>
      <c r="L17" s="188"/>
      <c r="M17" s="5"/>
      <c r="N17" s="188"/>
      <c r="O17" s="188"/>
      <c r="P17" s="5"/>
      <c r="Q17" s="188"/>
      <c r="R17" s="188"/>
      <c r="S17" s="5"/>
      <c r="T17" s="5"/>
      <c r="U17" s="5"/>
      <c r="AB17" s="73" t="s">
        <v>4</v>
      </c>
      <c r="AC17" s="73"/>
      <c r="AD17" s="73"/>
      <c r="AE17" s="73"/>
      <c r="AF17" s="177" t="s">
        <v>84</v>
      </c>
      <c r="AG17" s="177"/>
      <c r="AH17" s="177"/>
      <c r="AI17" s="177"/>
      <c r="AJ17" s="177"/>
      <c r="AK17" s="177"/>
      <c r="AL17" s="177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B19" s="72"/>
      <c r="J19" s="77">
        <f>H39</f>
        <v>220000</v>
      </c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AB19" s="168"/>
      <c r="AC19" s="169"/>
      <c r="AD19" s="169"/>
      <c r="AE19" s="169"/>
      <c r="AF19" s="170"/>
      <c r="AG19" s="168"/>
      <c r="AH19" s="169"/>
      <c r="AI19" s="169"/>
      <c r="AJ19" s="169"/>
      <c r="AK19" s="170"/>
      <c r="AL19" s="168"/>
      <c r="AM19" s="169"/>
      <c r="AN19" s="169"/>
      <c r="AO19" s="169"/>
      <c r="AP19" s="170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B20" s="72"/>
      <c r="D20" s="167" t="s">
        <v>85</v>
      </c>
      <c r="E20" s="167"/>
      <c r="F20" s="167"/>
      <c r="G20" s="167"/>
      <c r="H20" s="167"/>
      <c r="I20" s="167"/>
      <c r="J20" s="198">
        <f>H39</f>
        <v>220000</v>
      </c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AB20" s="171"/>
      <c r="AC20" s="172"/>
      <c r="AD20" s="172"/>
      <c r="AE20" s="172"/>
      <c r="AF20" s="173"/>
      <c r="AG20" s="171"/>
      <c r="AH20" s="172"/>
      <c r="AI20" s="172"/>
      <c r="AJ20" s="172"/>
      <c r="AK20" s="173"/>
      <c r="AL20" s="171"/>
      <c r="AM20" s="172"/>
      <c r="AN20" s="172"/>
      <c r="AO20" s="172"/>
      <c r="AP20" s="173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B21" s="72"/>
      <c r="D21" s="189"/>
      <c r="E21" s="189"/>
      <c r="F21" s="189"/>
      <c r="G21" s="189"/>
      <c r="H21" s="189"/>
      <c r="I21" s="18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AB21" s="171"/>
      <c r="AC21" s="172"/>
      <c r="AD21" s="172"/>
      <c r="AE21" s="172"/>
      <c r="AF21" s="173"/>
      <c r="AG21" s="171"/>
      <c r="AH21" s="172"/>
      <c r="AI21" s="172"/>
      <c r="AJ21" s="172"/>
      <c r="AK21" s="173"/>
      <c r="AL21" s="171"/>
      <c r="AM21" s="172"/>
      <c r="AN21" s="172"/>
      <c r="AO21" s="172"/>
      <c r="AP21" s="173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72"/>
      <c r="AB22" s="174"/>
      <c r="AC22" s="175"/>
      <c r="AD22" s="175"/>
      <c r="AE22" s="175"/>
      <c r="AF22" s="176"/>
      <c r="AG22" s="174"/>
      <c r="AH22" s="175"/>
      <c r="AI22" s="175"/>
      <c r="AJ22" s="175"/>
      <c r="AK22" s="176"/>
      <c r="AL22" s="174"/>
      <c r="AM22" s="175"/>
      <c r="AN22" s="175"/>
      <c r="AO22" s="175"/>
      <c r="AP22" s="176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61" t="s">
        <v>6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3"/>
      <c r="T24" s="153" t="s">
        <v>7</v>
      </c>
      <c r="U24" s="154"/>
      <c r="V24" s="154"/>
      <c r="W24" s="154"/>
      <c r="X24" s="154"/>
      <c r="Y24" s="154"/>
      <c r="Z24" s="159"/>
      <c r="AA24" s="153" t="s">
        <v>86</v>
      </c>
      <c r="AB24" s="154"/>
      <c r="AC24" s="154"/>
      <c r="AD24" s="154"/>
      <c r="AE24" s="154"/>
      <c r="AF24" s="153" t="s">
        <v>8</v>
      </c>
      <c r="AG24" s="154"/>
      <c r="AH24" s="154"/>
      <c r="AI24" s="154"/>
      <c r="AJ24" s="154"/>
      <c r="AK24" s="154"/>
      <c r="AL24" s="159"/>
      <c r="AM24" s="153" t="s">
        <v>9</v>
      </c>
      <c r="AN24" s="154"/>
      <c r="AO24" s="154"/>
      <c r="AP24" s="154"/>
      <c r="AQ24" s="154"/>
      <c r="AR24" s="154"/>
      <c r="AS24" s="15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64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6"/>
      <c r="T25" s="155"/>
      <c r="U25" s="156"/>
      <c r="V25" s="156"/>
      <c r="W25" s="156"/>
      <c r="X25" s="156"/>
      <c r="Y25" s="156"/>
      <c r="Z25" s="160"/>
      <c r="AA25" s="155"/>
      <c r="AB25" s="156"/>
      <c r="AC25" s="156"/>
      <c r="AD25" s="156"/>
      <c r="AE25" s="156"/>
      <c r="AF25" s="155"/>
      <c r="AG25" s="156"/>
      <c r="AH25" s="156"/>
      <c r="AI25" s="156"/>
      <c r="AJ25" s="156"/>
      <c r="AK25" s="156"/>
      <c r="AL25" s="160"/>
      <c r="AM25" s="155"/>
      <c r="AN25" s="156"/>
      <c r="AO25" s="156"/>
      <c r="AP25" s="156"/>
      <c r="AQ25" s="156"/>
      <c r="AR25" s="156"/>
      <c r="AS25" s="15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188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45"/>
      <c r="U26" s="146"/>
      <c r="V26" s="146"/>
      <c r="W26" s="146"/>
      <c r="X26" s="147"/>
      <c r="Y26" s="147"/>
      <c r="Z26" s="148"/>
      <c r="AA26" s="145"/>
      <c r="AB26" s="146"/>
      <c r="AC26" s="146"/>
      <c r="AD26" s="146"/>
      <c r="AE26" s="149"/>
      <c r="AF26" s="145">
        <f t="shared" ref="AF26:AF37" si="0">IF(T26="",1*AA26,T26*AA26)</f>
        <v>0</v>
      </c>
      <c r="AG26" s="146"/>
      <c r="AH26" s="146"/>
      <c r="AI26" s="146"/>
      <c r="AJ26" s="146"/>
      <c r="AK26" s="146"/>
      <c r="AL26" s="149"/>
      <c r="AM26" s="150"/>
      <c r="AN26" s="151"/>
      <c r="AO26" s="151"/>
      <c r="AP26" s="151"/>
      <c r="AQ26" s="151"/>
      <c r="AR26" s="151"/>
      <c r="AS26" s="152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168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45"/>
      <c r="U27" s="146"/>
      <c r="V27" s="146"/>
      <c r="W27" s="146"/>
      <c r="X27" s="147" t="s">
        <v>18</v>
      </c>
      <c r="Y27" s="147"/>
      <c r="Z27" s="148"/>
      <c r="AA27" s="145">
        <v>50000</v>
      </c>
      <c r="AB27" s="146"/>
      <c r="AC27" s="146"/>
      <c r="AD27" s="146"/>
      <c r="AE27" s="149"/>
      <c r="AF27" s="145">
        <f t="shared" si="0"/>
        <v>50000</v>
      </c>
      <c r="AG27" s="146"/>
      <c r="AH27" s="146"/>
      <c r="AI27" s="146"/>
      <c r="AJ27" s="146"/>
      <c r="AK27" s="146"/>
      <c r="AL27" s="149"/>
      <c r="AM27" s="150"/>
      <c r="AN27" s="151"/>
      <c r="AO27" s="151"/>
      <c r="AP27" s="151"/>
      <c r="AQ27" s="151"/>
      <c r="AR27" s="151"/>
      <c r="AS27" s="152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115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45"/>
      <c r="U28" s="146"/>
      <c r="V28" s="146"/>
      <c r="W28" s="146"/>
      <c r="X28" s="147" t="s">
        <v>18</v>
      </c>
      <c r="Y28" s="147"/>
      <c r="Z28" s="148"/>
      <c r="AA28" s="145">
        <v>19400</v>
      </c>
      <c r="AB28" s="146"/>
      <c r="AC28" s="146"/>
      <c r="AD28" s="146"/>
      <c r="AE28" s="149"/>
      <c r="AF28" s="145">
        <f>IF(T28="",1*AA28,T28*AA28)</f>
        <v>19400</v>
      </c>
      <c r="AG28" s="146"/>
      <c r="AH28" s="146"/>
      <c r="AI28" s="146"/>
      <c r="AJ28" s="146"/>
      <c r="AK28" s="146"/>
      <c r="AL28" s="149"/>
      <c r="AM28" s="150"/>
      <c r="AN28" s="151"/>
      <c r="AO28" s="151"/>
      <c r="AP28" s="151"/>
      <c r="AQ28" s="151"/>
      <c r="AR28" s="151"/>
      <c r="AS28" s="152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162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45"/>
      <c r="U29" s="146"/>
      <c r="V29" s="146"/>
      <c r="W29" s="146"/>
      <c r="X29" s="147" t="s">
        <v>18</v>
      </c>
      <c r="Y29" s="147"/>
      <c r="Z29" s="148"/>
      <c r="AA29" s="145">
        <v>30000</v>
      </c>
      <c r="AB29" s="146"/>
      <c r="AC29" s="146"/>
      <c r="AD29" s="146"/>
      <c r="AE29" s="149"/>
      <c r="AF29" s="145">
        <f t="shared" ref="AF29:AF32" si="1">IF(T29="",1*AA29,T29*AA29)</f>
        <v>30000</v>
      </c>
      <c r="AG29" s="146"/>
      <c r="AH29" s="146"/>
      <c r="AI29" s="146"/>
      <c r="AJ29" s="146"/>
      <c r="AK29" s="146"/>
      <c r="AL29" s="149"/>
      <c r="AM29" s="150"/>
      <c r="AN29" s="151"/>
      <c r="AO29" s="151"/>
      <c r="AP29" s="151"/>
      <c r="AQ29" s="151"/>
      <c r="AR29" s="151"/>
      <c r="AS29" s="152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173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45">
        <v>4</v>
      </c>
      <c r="U30" s="146"/>
      <c r="V30" s="146"/>
      <c r="W30" s="146"/>
      <c r="X30" s="147" t="s">
        <v>18</v>
      </c>
      <c r="Y30" s="147"/>
      <c r="Z30" s="148"/>
      <c r="AA30" s="145">
        <v>75000</v>
      </c>
      <c r="AB30" s="146"/>
      <c r="AC30" s="146"/>
      <c r="AD30" s="146"/>
      <c r="AE30" s="149"/>
      <c r="AF30" s="145">
        <f t="shared" si="1"/>
        <v>300000</v>
      </c>
      <c r="AG30" s="146"/>
      <c r="AH30" s="146"/>
      <c r="AI30" s="146"/>
      <c r="AJ30" s="146"/>
      <c r="AK30" s="146"/>
      <c r="AL30" s="149"/>
      <c r="AM30" s="150"/>
      <c r="AN30" s="151"/>
      <c r="AO30" s="151"/>
      <c r="AP30" s="151"/>
      <c r="AQ30" s="151"/>
      <c r="AR30" s="151"/>
      <c r="AS30" s="152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6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 t="s">
        <v>165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45"/>
      <c r="U31" s="146"/>
      <c r="V31" s="146"/>
      <c r="W31" s="146"/>
      <c r="X31" s="147" t="s">
        <v>18</v>
      </c>
      <c r="Y31" s="147"/>
      <c r="Z31" s="148"/>
      <c r="AA31" s="145">
        <v>20000</v>
      </c>
      <c r="AB31" s="146"/>
      <c r="AC31" s="146"/>
      <c r="AD31" s="146"/>
      <c r="AE31" s="149"/>
      <c r="AF31" s="145">
        <f t="shared" si="1"/>
        <v>20000</v>
      </c>
      <c r="AG31" s="146"/>
      <c r="AH31" s="146"/>
      <c r="AI31" s="146"/>
      <c r="AJ31" s="146"/>
      <c r="AK31" s="146"/>
      <c r="AL31" s="149"/>
      <c r="AM31" s="150"/>
      <c r="AN31" s="151"/>
      <c r="AO31" s="151"/>
      <c r="AP31" s="151"/>
      <c r="AQ31" s="151"/>
      <c r="AR31" s="151"/>
      <c r="AS31" s="152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 t="s">
        <v>92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45"/>
      <c r="U32" s="146"/>
      <c r="V32" s="146"/>
      <c r="W32" s="146"/>
      <c r="X32" s="147" t="s">
        <v>18</v>
      </c>
      <c r="Y32" s="147"/>
      <c r="Z32" s="148"/>
      <c r="AA32" s="145">
        <v>15000</v>
      </c>
      <c r="AB32" s="146"/>
      <c r="AC32" s="146"/>
      <c r="AD32" s="146"/>
      <c r="AE32" s="149"/>
      <c r="AF32" s="145">
        <f t="shared" si="1"/>
        <v>15000</v>
      </c>
      <c r="AG32" s="146"/>
      <c r="AH32" s="146"/>
      <c r="AI32" s="146"/>
      <c r="AJ32" s="146"/>
      <c r="AK32" s="146"/>
      <c r="AL32" s="149"/>
      <c r="AM32" s="150"/>
      <c r="AN32" s="151"/>
      <c r="AO32" s="151"/>
      <c r="AP32" s="151"/>
      <c r="AQ32" s="151"/>
      <c r="AR32" s="151"/>
      <c r="AS32" s="152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 t="s">
        <v>167</v>
      </c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45"/>
      <c r="U33" s="146"/>
      <c r="V33" s="146"/>
      <c r="W33" s="146"/>
      <c r="X33" s="147" t="s">
        <v>18</v>
      </c>
      <c r="Y33" s="147"/>
      <c r="Z33" s="148"/>
      <c r="AA33" s="145">
        <v>10000</v>
      </c>
      <c r="AB33" s="146"/>
      <c r="AC33" s="146"/>
      <c r="AD33" s="146"/>
      <c r="AE33" s="149"/>
      <c r="AF33" s="145">
        <f>IF(T33="",1*AA33,T33*AA33)</f>
        <v>10000</v>
      </c>
      <c r="AG33" s="146"/>
      <c r="AH33" s="146"/>
      <c r="AI33" s="146"/>
      <c r="AJ33" s="146"/>
      <c r="AK33" s="146"/>
      <c r="AL33" s="149"/>
      <c r="AM33" s="150"/>
      <c r="AN33" s="151"/>
      <c r="AO33" s="151"/>
      <c r="AP33" s="151"/>
      <c r="AQ33" s="151"/>
      <c r="AR33" s="151"/>
      <c r="AS33" s="152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42" t="s">
        <v>185</v>
      </c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45"/>
      <c r="U34" s="146"/>
      <c r="V34" s="146"/>
      <c r="W34" s="146"/>
      <c r="X34" s="147" t="s">
        <v>18</v>
      </c>
      <c r="Y34" s="147"/>
      <c r="Z34" s="148"/>
      <c r="AA34" s="145">
        <v>-22200</v>
      </c>
      <c r="AB34" s="146"/>
      <c r="AC34" s="146"/>
      <c r="AD34" s="146"/>
      <c r="AE34" s="149"/>
      <c r="AF34" s="145">
        <f>IF(T34="",1*AA34,T34*AA34)</f>
        <v>-22200</v>
      </c>
      <c r="AG34" s="146"/>
      <c r="AH34" s="146"/>
      <c r="AI34" s="146"/>
      <c r="AJ34" s="146"/>
      <c r="AK34" s="146"/>
      <c r="AL34" s="149"/>
      <c r="AM34" s="150"/>
      <c r="AN34" s="151"/>
      <c r="AO34" s="151"/>
      <c r="AP34" s="151"/>
      <c r="AQ34" s="151"/>
      <c r="AR34" s="151"/>
      <c r="AS34" s="152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 t="s">
        <v>174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45"/>
      <c r="U35" s="146"/>
      <c r="V35" s="146"/>
      <c r="W35" s="146"/>
      <c r="X35" s="147" t="s">
        <v>18</v>
      </c>
      <c r="Y35" s="147"/>
      <c r="Z35" s="148"/>
      <c r="AA35" s="145">
        <v>-222200</v>
      </c>
      <c r="AB35" s="146"/>
      <c r="AC35" s="146"/>
      <c r="AD35" s="146"/>
      <c r="AE35" s="149"/>
      <c r="AF35" s="145">
        <f>IF(T35="",1*AA35,T35*AA35)</f>
        <v>-222200</v>
      </c>
      <c r="AG35" s="146"/>
      <c r="AH35" s="146"/>
      <c r="AI35" s="146"/>
      <c r="AJ35" s="146"/>
      <c r="AK35" s="146"/>
      <c r="AL35" s="149"/>
      <c r="AM35" s="150"/>
      <c r="AN35" s="151"/>
      <c r="AO35" s="151"/>
      <c r="AP35" s="151"/>
      <c r="AQ35" s="151"/>
      <c r="AR35" s="151"/>
      <c r="AS35" s="152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 t="s">
        <v>163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45"/>
      <c r="U36" s="146"/>
      <c r="V36" s="146"/>
      <c r="W36" s="146"/>
      <c r="X36" s="147"/>
      <c r="Y36" s="147"/>
      <c r="Z36" s="148"/>
      <c r="AA36" s="145"/>
      <c r="AB36" s="146"/>
      <c r="AC36" s="146"/>
      <c r="AD36" s="146"/>
      <c r="AE36" s="149"/>
      <c r="AF36" s="145">
        <f t="shared" si="0"/>
        <v>0</v>
      </c>
      <c r="AG36" s="146"/>
      <c r="AH36" s="146"/>
      <c r="AI36" s="146"/>
      <c r="AJ36" s="146"/>
      <c r="AK36" s="146"/>
      <c r="AL36" s="149"/>
      <c r="AM36" s="150"/>
      <c r="AN36" s="151"/>
      <c r="AO36" s="151"/>
      <c r="AP36" s="151"/>
      <c r="AQ36" s="151"/>
      <c r="AR36" s="151"/>
      <c r="AS36" s="152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 t="s">
        <v>164</v>
      </c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 t="shared" si="0"/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32" t="s">
        <v>88</v>
      </c>
      <c r="C38" s="133"/>
      <c r="D38" s="133"/>
      <c r="E38" s="133"/>
      <c r="F38" s="133"/>
      <c r="G38" s="134"/>
      <c r="H38" s="135">
        <f>AA38*0.1</f>
        <v>20000</v>
      </c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7"/>
      <c r="T38" s="138" t="s">
        <v>11</v>
      </c>
      <c r="U38" s="133"/>
      <c r="V38" s="133"/>
      <c r="W38" s="133"/>
      <c r="X38" s="133"/>
      <c r="Y38" s="133"/>
      <c r="Z38" s="134"/>
      <c r="AA38" s="139">
        <f>SUM(AF26:AL37)</f>
        <v>200000</v>
      </c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1"/>
      <c r="AM38" s="185"/>
      <c r="AN38" s="186"/>
      <c r="AO38" s="186"/>
      <c r="AP38" s="186"/>
      <c r="AQ38" s="186"/>
      <c r="AR38" s="186"/>
      <c r="AS38" s="18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18" t="s">
        <v>5</v>
      </c>
      <c r="C39" s="119"/>
      <c r="D39" s="119"/>
      <c r="E39" s="119"/>
      <c r="F39" s="119"/>
      <c r="G39" s="120"/>
      <c r="H39" s="121">
        <f>CK115+H38</f>
        <v>220000</v>
      </c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3"/>
      <c r="AM39" s="181"/>
      <c r="AN39" s="182"/>
      <c r="AO39" s="182"/>
      <c r="AP39" s="182"/>
      <c r="AQ39" s="182"/>
      <c r="AR39" s="182"/>
      <c r="AS39" s="183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24" t="s">
        <v>12</v>
      </c>
      <c r="C40" s="125"/>
      <c r="D40" s="125"/>
      <c r="E40" s="126" t="s">
        <v>187</v>
      </c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8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thickBot="1" x14ac:dyDescent="0.2">
      <c r="A41" s="25"/>
      <c r="B41" s="129" t="s">
        <v>189</v>
      </c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Top="1" thickBot="1" x14ac:dyDescent="0.2">
      <c r="A42" s="25"/>
      <c r="B42" s="129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9"/>
      <c r="O44" s="109"/>
      <c r="P44" s="109"/>
      <c r="Q44" s="109"/>
      <c r="R44" s="109"/>
      <c r="S44" s="109"/>
      <c r="T44" s="109"/>
      <c r="U44" s="109"/>
      <c r="V44" s="109"/>
      <c r="W44" s="1"/>
      <c r="X44" s="50"/>
      <c r="Y44" s="16"/>
      <c r="Z44" s="15"/>
      <c r="AA44" s="15"/>
      <c r="AB44" s="117"/>
      <c r="AC44" s="117"/>
      <c r="AD44" s="117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11"/>
      <c r="O45" s="111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6"/>
      <c r="AC45" s="116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1"/>
      <c r="O46" s="111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1"/>
      <c r="O47" s="111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7"/>
      <c r="AB47" s="117"/>
      <c r="AC47" s="117"/>
      <c r="AD47" s="117"/>
      <c r="AE47" s="117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1"/>
      <c r="O48" s="111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6"/>
      <c r="AC48" s="116"/>
      <c r="AD48" s="116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1"/>
      <c r="O49" s="111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6"/>
      <c r="AC49" s="116"/>
      <c r="AD49" s="116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1"/>
      <c r="O50" s="111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1"/>
      <c r="O51" s="111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84"/>
      <c r="AB51" s="184"/>
      <c r="AC51" s="184"/>
      <c r="AD51" s="184"/>
      <c r="AE51" s="184"/>
      <c r="AF51" s="184"/>
      <c r="AG51" s="184"/>
      <c r="AH51" s="184"/>
      <c r="AI51" s="184"/>
      <c r="AJ51" s="117"/>
      <c r="AK51" s="117"/>
      <c r="AL51" s="117"/>
      <c r="AM51" s="117"/>
      <c r="AN51" s="117"/>
      <c r="AO51" s="117"/>
      <c r="AP51" s="117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1"/>
      <c r="O52" s="111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1"/>
      <c r="O53" s="111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1"/>
      <c r="O54" s="111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1"/>
      <c r="O55" s="111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9"/>
      <c r="O56" s="109"/>
      <c r="P56" s="107">
        <f>SUM(CK115:CQ115)</f>
        <v>200000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5"/>
      <c r="O60" s="115"/>
      <c r="P60" s="115"/>
      <c r="Q60" s="115"/>
      <c r="R60" s="113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"/>
      <c r="AR60" s="109"/>
      <c r="AS60" s="109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58</v>
      </c>
      <c r="FC100" s="59" t="s">
        <v>59</v>
      </c>
      <c r="FD100" s="59" t="s">
        <v>60</v>
      </c>
      <c r="FE100" s="59" t="s">
        <v>61</v>
      </c>
      <c r="FF100" s="59" t="s">
        <v>14</v>
      </c>
      <c r="FG100" s="59" t="s">
        <v>14</v>
      </c>
      <c r="FH100" s="59" t="s">
        <v>62</v>
      </c>
      <c r="FI100" s="59" t="s">
        <v>63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RSD-SUNMAX-FL-LCW-PRO 講習会</v>
      </c>
      <c r="FE101" s="61">
        <f>T26</f>
        <v>0</v>
      </c>
      <c r="FF101" s="61">
        <f>X26</f>
        <v>0</v>
      </c>
      <c r="FG101" s="61">
        <f>AA26</f>
        <v>0</v>
      </c>
      <c r="FH101" s="61">
        <f>AF26</f>
        <v>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56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交通費　往復　岐阜-太田市　商用車使用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50000</v>
      </c>
      <c r="FH102" s="61">
        <f t="shared" ref="FH102:FH112" si="6">AF27</f>
        <v>50000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48</v>
      </c>
      <c r="CF103" s="1"/>
      <c r="CG103" s="1"/>
      <c r="CH103" s="1"/>
      <c r="CI103" s="87" t="s">
        <v>13</v>
      </c>
      <c r="CJ103" s="112"/>
      <c r="CK103" s="112"/>
      <c r="CL103" s="112"/>
      <c r="CM103" s="112"/>
      <c r="CN103" s="112"/>
      <c r="CO103" s="112"/>
      <c r="CP103" s="112"/>
      <c r="CQ103" s="88"/>
      <c r="CR103" s="1"/>
      <c r="CS103" s="26" t="s">
        <v>14</v>
      </c>
      <c r="CT103" s="14"/>
      <c r="CU103" s="15"/>
      <c r="CV103" s="15"/>
      <c r="CW103" s="106" t="s">
        <v>10</v>
      </c>
      <c r="CX103" s="106"/>
      <c r="CY103" s="106"/>
      <c r="CZ103" s="15"/>
      <c r="DA103" s="16"/>
      <c r="DB103" s="16"/>
      <c r="DC103" s="16"/>
      <c r="DD103" s="35" t="s">
        <v>47</v>
      </c>
      <c r="DE103" s="36"/>
      <c r="DF103" s="36"/>
      <c r="DG103" s="36"/>
      <c r="DH103" s="36"/>
      <c r="DI103" s="36"/>
      <c r="DJ103" s="37"/>
      <c r="DK103" s="15"/>
      <c r="DL103" s="1"/>
      <c r="DM103" s="108" t="s">
        <v>54</v>
      </c>
      <c r="DN103" s="108"/>
      <c r="DO103" s="108"/>
      <c r="DP103" s="108"/>
      <c r="DQ103" s="108"/>
      <c r="DR103" s="10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57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ETC利用料金</v>
      </c>
      <c r="FE103" s="61">
        <f t="shared" si="3"/>
        <v>0</v>
      </c>
      <c r="FF103" s="61" t="str">
        <f t="shared" si="4"/>
        <v>一式</v>
      </c>
      <c r="FG103" s="61">
        <f t="shared" si="5"/>
        <v>19400</v>
      </c>
      <c r="FH103" s="61">
        <f t="shared" si="6"/>
        <v>19400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99">
        <v>0</v>
      </c>
      <c r="CJ104" s="99"/>
      <c r="CK104" s="98">
        <f>AA38</f>
        <v>200000</v>
      </c>
      <c r="CL104" s="98"/>
      <c r="CM104" s="98"/>
      <c r="CN104" s="98"/>
      <c r="CO104" s="98"/>
      <c r="CP104" s="98"/>
      <c r="CQ104" s="98"/>
      <c r="CR104" s="1"/>
      <c r="CS104" s="17" t="s">
        <v>15</v>
      </c>
      <c r="CT104" s="18"/>
      <c r="CU104" s="15"/>
      <c r="CV104" s="15"/>
      <c r="CW104" s="100">
        <v>5</v>
      </c>
      <c r="CX104" s="101"/>
      <c r="CY104" s="19" t="s">
        <v>16</v>
      </c>
      <c r="CZ104" s="15"/>
      <c r="DA104" s="15"/>
      <c r="DB104" s="15"/>
      <c r="DC104" s="15"/>
      <c r="DD104" s="38" t="s">
        <v>42</v>
      </c>
      <c r="DE104" s="39"/>
      <c r="DF104" s="39"/>
      <c r="DG104" s="39"/>
      <c r="DH104" s="39"/>
      <c r="DI104" s="39"/>
      <c r="DJ104" s="22"/>
      <c r="DK104" s="15"/>
      <c r="DL104" s="1"/>
      <c r="DM104" s="103" t="s">
        <v>55</v>
      </c>
      <c r="DN104" s="104"/>
      <c r="DO104" s="104"/>
      <c r="DP104" s="104"/>
      <c r="DQ104" s="104"/>
      <c r="DR104" s="105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宿泊費　1泊2日　　2名分</v>
      </c>
      <c r="FE104" s="61">
        <f t="shared" si="3"/>
        <v>0</v>
      </c>
      <c r="FF104" s="61" t="str">
        <f t="shared" si="4"/>
        <v>一式</v>
      </c>
      <c r="FG104" s="61">
        <f t="shared" si="5"/>
        <v>30000</v>
      </c>
      <c r="FH104" s="61">
        <f t="shared" si="6"/>
        <v>30000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99">
        <v>1</v>
      </c>
      <c r="CJ105" s="99"/>
      <c r="CK105" s="98">
        <f>IF(ISERROR(#REF!),0,#REF!)</f>
        <v>0</v>
      </c>
      <c r="CL105" s="98"/>
      <c r="CM105" s="98"/>
      <c r="CN105" s="98"/>
      <c r="CO105" s="98"/>
      <c r="CP105" s="98"/>
      <c r="CQ105" s="98"/>
      <c r="CR105" s="1"/>
      <c r="CS105" s="17" t="s">
        <v>17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43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4</v>
      </c>
      <c r="FF105" s="61" t="str">
        <f t="shared" si="4"/>
        <v>一式</v>
      </c>
      <c r="FG105" s="61">
        <f t="shared" si="5"/>
        <v>75000</v>
      </c>
      <c r="FH105" s="61">
        <f t="shared" si="6"/>
        <v>300000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99">
        <v>2</v>
      </c>
      <c r="CJ106" s="99"/>
      <c r="CK106" s="98">
        <f>IF(ISERROR(#REF!),0,#REF!)</f>
        <v>0</v>
      </c>
      <c r="CL106" s="98"/>
      <c r="CM106" s="98"/>
      <c r="CN106" s="98"/>
      <c r="CO106" s="98"/>
      <c r="CP106" s="98"/>
      <c r="CQ106" s="98"/>
      <c r="CR106" s="1"/>
      <c r="CS106" s="20" t="s">
        <v>18</v>
      </c>
      <c r="CT106" s="21"/>
      <c r="CU106" s="15"/>
      <c r="CV106" s="106" t="s">
        <v>19</v>
      </c>
      <c r="CW106" s="106"/>
      <c r="CX106" s="106"/>
      <c r="CY106" s="106"/>
      <c r="CZ106" s="106"/>
      <c r="DA106" s="15"/>
      <c r="DB106" s="15"/>
      <c r="DC106" s="15"/>
      <c r="DD106" s="38" t="s">
        <v>44</v>
      </c>
      <c r="DE106" s="39"/>
      <c r="DF106" s="39"/>
      <c r="DG106" s="39"/>
      <c r="DH106" s="39"/>
      <c r="DI106" s="39"/>
      <c r="DJ106" s="22"/>
      <c r="DK106" s="15"/>
      <c r="DL106" s="1"/>
      <c r="DM106" s="108" t="s">
        <v>65</v>
      </c>
      <c r="DN106" s="108"/>
      <c r="DO106" s="108"/>
      <c r="DP106" s="108"/>
      <c r="DQ106" s="108"/>
      <c r="DR106" s="10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 t="str">
        <f t="shared" si="4"/>
        <v>一式</v>
      </c>
      <c r="FG106" s="61">
        <f t="shared" si="5"/>
        <v>20000</v>
      </c>
      <c r="FH106" s="61">
        <f t="shared" si="6"/>
        <v>20000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99">
        <v>3</v>
      </c>
      <c r="CJ107" s="99"/>
      <c r="CK107" s="98">
        <f>IF(ISERROR(#REF!),0,#REF!)</f>
        <v>0</v>
      </c>
      <c r="CL107" s="98"/>
      <c r="CM107" s="98"/>
      <c r="CN107" s="98"/>
      <c r="CO107" s="98"/>
      <c r="CP107" s="98"/>
      <c r="CQ107" s="98"/>
      <c r="CR107" s="1"/>
      <c r="CS107" s="17" t="s">
        <v>20</v>
      </c>
      <c r="CT107" s="18"/>
      <c r="CU107" s="15"/>
      <c r="CV107" s="27" t="s">
        <v>21</v>
      </c>
      <c r="CW107" s="100">
        <v>100</v>
      </c>
      <c r="CX107" s="100"/>
      <c r="CY107" s="101"/>
      <c r="CZ107" s="22" t="s">
        <v>16</v>
      </c>
      <c r="DA107" s="15"/>
      <c r="DB107" s="15"/>
      <c r="DC107" s="15"/>
      <c r="DD107" s="38" t="s">
        <v>45</v>
      </c>
      <c r="DE107" s="39"/>
      <c r="DF107" s="39"/>
      <c r="DG107" s="39"/>
      <c r="DH107" s="39"/>
      <c r="DI107" s="39"/>
      <c r="DJ107" s="22"/>
      <c r="DK107" s="15"/>
      <c r="DL107" s="1"/>
      <c r="DM107" s="89" t="s">
        <v>73</v>
      </c>
      <c r="DN107" s="90"/>
      <c r="DO107" s="90"/>
      <c r="DP107" s="90"/>
      <c r="DQ107" s="90"/>
      <c r="DR107" s="9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 t="str">
        <f t="shared" si="4"/>
        <v>一式</v>
      </c>
      <c r="FG107" s="61">
        <f t="shared" si="5"/>
        <v>15000</v>
      </c>
      <c r="FH107" s="61">
        <f t="shared" si="6"/>
        <v>15000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49</v>
      </c>
      <c r="CF108" s="1"/>
      <c r="CG108" s="1"/>
      <c r="CH108" s="1"/>
      <c r="CI108" s="99">
        <v>4</v>
      </c>
      <c r="CJ108" s="99"/>
      <c r="CK108" s="98"/>
      <c r="CL108" s="98"/>
      <c r="CM108" s="98"/>
      <c r="CN108" s="98"/>
      <c r="CO108" s="98"/>
      <c r="CP108" s="98"/>
      <c r="CQ108" s="98"/>
      <c r="CR108" s="1"/>
      <c r="CS108" s="17" t="s">
        <v>22</v>
      </c>
      <c r="CT108" s="18"/>
      <c r="CU108" s="15"/>
      <c r="CV108" s="27" t="s">
        <v>23</v>
      </c>
      <c r="CW108" s="100">
        <v>80</v>
      </c>
      <c r="CX108" s="100"/>
      <c r="CY108" s="101"/>
      <c r="CZ108" s="22" t="s">
        <v>16</v>
      </c>
      <c r="DA108" s="15"/>
      <c r="DB108" s="15"/>
      <c r="DC108" s="15"/>
      <c r="DD108" s="38" t="s">
        <v>46</v>
      </c>
      <c r="DE108" s="39"/>
      <c r="DF108" s="39"/>
      <c r="DG108" s="39"/>
      <c r="DH108" s="39"/>
      <c r="DI108" s="39"/>
      <c r="DJ108" s="22"/>
      <c r="DK108" s="15"/>
      <c r="DL108" s="1"/>
      <c r="DM108" s="103" t="s">
        <v>66</v>
      </c>
      <c r="DN108" s="104"/>
      <c r="DO108" s="104"/>
      <c r="DP108" s="104"/>
      <c r="DQ108" s="104"/>
      <c r="DR108" s="105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FL-LCW　デモ機展示設置費用LCW1.5kw</v>
      </c>
      <c r="FE108" s="61">
        <f t="shared" si="3"/>
        <v>0</v>
      </c>
      <c r="FF108" s="61" t="str">
        <f t="shared" si="4"/>
        <v>一式</v>
      </c>
      <c r="FG108" s="61">
        <f t="shared" si="5"/>
        <v>10000</v>
      </c>
      <c r="FH108" s="61">
        <f t="shared" si="6"/>
        <v>10000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99">
        <v>5</v>
      </c>
      <c r="CJ109" s="99"/>
      <c r="CK109" s="98"/>
      <c r="CL109" s="98"/>
      <c r="CM109" s="98"/>
      <c r="CN109" s="98"/>
      <c r="CO109" s="98"/>
      <c r="CP109" s="98"/>
      <c r="CQ109" s="98"/>
      <c r="CR109" s="1"/>
      <c r="CS109" s="20" t="s">
        <v>24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3" t="s">
        <v>67</v>
      </c>
      <c r="DN109" s="104"/>
      <c r="DO109" s="104"/>
      <c r="DP109" s="104"/>
      <c r="DQ109" s="104"/>
      <c r="DR109" s="105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 t="str">
        <f t="shared" si="2"/>
        <v>追加値引き</v>
      </c>
      <c r="FE109" s="61">
        <f t="shared" si="3"/>
        <v>0</v>
      </c>
      <c r="FF109" s="61" t="str">
        <f t="shared" si="4"/>
        <v>一式</v>
      </c>
      <c r="FG109" s="61">
        <f t="shared" si="5"/>
        <v>-22200</v>
      </c>
      <c r="FH109" s="61">
        <f t="shared" si="6"/>
        <v>-22200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50</v>
      </c>
      <c r="CF110" s="1"/>
      <c r="CG110" s="1"/>
      <c r="CH110" s="1"/>
      <c r="CI110" s="99">
        <v>6</v>
      </c>
      <c r="CJ110" s="99"/>
      <c r="CK110" s="98"/>
      <c r="CL110" s="98"/>
      <c r="CM110" s="98"/>
      <c r="CN110" s="98"/>
      <c r="CO110" s="98"/>
      <c r="CP110" s="98"/>
      <c r="CQ110" s="98"/>
      <c r="CR110" s="1"/>
      <c r="CS110" s="20" t="s">
        <v>25</v>
      </c>
      <c r="CT110" s="20"/>
      <c r="CU110" s="15"/>
      <c r="CV110" s="102" t="s">
        <v>26</v>
      </c>
      <c r="CW110" s="102"/>
      <c r="CX110" s="102"/>
      <c r="CY110" s="102"/>
      <c r="CZ110" s="102"/>
      <c r="DA110" s="102"/>
      <c r="DB110" s="102"/>
      <c r="DC110" s="102"/>
      <c r="DD110" s="102"/>
      <c r="DE110" s="106" t="s">
        <v>27</v>
      </c>
      <c r="DF110" s="106"/>
      <c r="DG110" s="106"/>
      <c r="DH110" s="106"/>
      <c r="DI110" s="106"/>
      <c r="DJ110" s="106"/>
      <c r="DK110" s="106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 t="str">
        <f t="shared" si="2"/>
        <v>出展協力50％値引き</v>
      </c>
      <c r="FE110" s="61">
        <f t="shared" si="3"/>
        <v>0</v>
      </c>
      <c r="FF110" s="61" t="str">
        <f t="shared" si="4"/>
        <v>一式</v>
      </c>
      <c r="FG110" s="61">
        <f t="shared" si="5"/>
        <v>-222200</v>
      </c>
      <c r="FH110" s="61">
        <f t="shared" si="6"/>
        <v>-222200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51</v>
      </c>
      <c r="CF111" s="1"/>
      <c r="CG111" s="1"/>
      <c r="CH111" s="1"/>
      <c r="CI111" s="99">
        <v>7</v>
      </c>
      <c r="CJ111" s="99"/>
      <c r="CK111" s="98"/>
      <c r="CL111" s="98"/>
      <c r="CM111" s="98"/>
      <c r="CN111" s="98"/>
      <c r="CO111" s="98"/>
      <c r="CP111" s="98"/>
      <c r="CQ111" s="98"/>
      <c r="CR111" s="1"/>
      <c r="CS111" s="17" t="s">
        <v>28</v>
      </c>
      <c r="CT111" s="18"/>
      <c r="CU111" s="15"/>
      <c r="CV111" s="27" t="s">
        <v>21</v>
      </c>
      <c r="CW111" s="96" t="s">
        <v>69</v>
      </c>
      <c r="CX111" s="96"/>
      <c r="CY111" s="96"/>
      <c r="CZ111" s="96"/>
      <c r="DA111" s="96"/>
      <c r="DB111" s="96"/>
      <c r="DC111" s="96"/>
      <c r="DD111" s="96"/>
      <c r="DE111" s="96" t="s">
        <v>29</v>
      </c>
      <c r="DF111" s="96"/>
      <c r="DG111" s="96"/>
      <c r="DH111" s="96"/>
      <c r="DI111" s="96"/>
      <c r="DJ111" s="96"/>
      <c r="DK111" s="96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 t="str">
        <f t="shared" si="2"/>
        <v>電源　遮光パネル　窒素　御社手配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99">
        <v>8</v>
      </c>
      <c r="CJ112" s="99"/>
      <c r="CK112" s="98"/>
      <c r="CL112" s="98"/>
      <c r="CM112" s="98"/>
      <c r="CN112" s="98"/>
      <c r="CO112" s="98"/>
      <c r="CP112" s="98"/>
      <c r="CQ112" s="98"/>
      <c r="CR112" s="1"/>
      <c r="CS112" s="17" t="s">
        <v>30</v>
      </c>
      <c r="CT112" s="18"/>
      <c r="CU112" s="15"/>
      <c r="CV112" s="27" t="s">
        <v>23</v>
      </c>
      <c r="CW112" s="96" t="s">
        <v>77</v>
      </c>
      <c r="CX112" s="96"/>
      <c r="CY112" s="96"/>
      <c r="CZ112" s="96"/>
      <c r="DA112" s="96"/>
      <c r="DB112" s="96"/>
      <c r="DC112" s="96"/>
      <c r="DD112" s="96"/>
      <c r="DE112" s="96" t="s">
        <v>78</v>
      </c>
      <c r="DF112" s="96"/>
      <c r="DG112" s="96"/>
      <c r="DH112" s="96"/>
      <c r="DI112" s="96"/>
      <c r="DJ112" s="96"/>
      <c r="DK112" s="96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 t="str">
        <f t="shared" si="2"/>
        <v>デモ機の搬入撤収時男性お手伝い要します。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99">
        <v>9</v>
      </c>
      <c r="CJ113" s="99"/>
      <c r="CK113" s="98"/>
      <c r="CL113" s="98"/>
      <c r="CM113" s="98"/>
      <c r="CN113" s="98"/>
      <c r="CO113" s="98"/>
      <c r="CP113" s="98"/>
      <c r="CQ113" s="98"/>
      <c r="CR113" s="1"/>
      <c r="CS113" s="17" t="s">
        <v>31</v>
      </c>
      <c r="CT113" s="18"/>
      <c r="CU113" s="15"/>
      <c r="CV113" s="27" t="s">
        <v>32</v>
      </c>
      <c r="CW113" s="96" t="s">
        <v>80</v>
      </c>
      <c r="CX113" s="96"/>
      <c r="CY113" s="96"/>
      <c r="CZ113" s="96"/>
      <c r="DA113" s="96"/>
      <c r="DB113" s="96"/>
      <c r="DC113" s="96"/>
      <c r="DD113" s="96"/>
      <c r="DE113" s="96" t="s">
        <v>79</v>
      </c>
      <c r="DF113" s="96"/>
      <c r="DG113" s="96"/>
      <c r="DH113" s="96"/>
      <c r="DI113" s="96"/>
      <c r="DJ113" s="96"/>
      <c r="DK113" s="96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99">
        <v>10</v>
      </c>
      <c r="CJ114" s="99"/>
      <c r="CK114" s="98"/>
      <c r="CL114" s="98"/>
      <c r="CM114" s="98"/>
      <c r="CN114" s="98"/>
      <c r="CO114" s="98"/>
      <c r="CP114" s="98"/>
      <c r="CQ114" s="98"/>
      <c r="CR114" s="1"/>
      <c r="CS114" s="20" t="s">
        <v>33</v>
      </c>
      <c r="CT114" s="21"/>
      <c r="CU114" s="15"/>
      <c r="CV114" s="27" t="s">
        <v>34</v>
      </c>
      <c r="CW114" s="96" t="s">
        <v>70</v>
      </c>
      <c r="CX114" s="96"/>
      <c r="CY114" s="96"/>
      <c r="CZ114" s="96"/>
      <c r="DA114" s="96"/>
      <c r="DB114" s="96"/>
      <c r="DC114" s="96"/>
      <c r="DD114" s="96"/>
      <c r="DE114" s="96" t="s">
        <v>35</v>
      </c>
      <c r="DF114" s="96"/>
      <c r="DG114" s="96"/>
      <c r="DH114" s="96"/>
      <c r="DI114" s="96"/>
      <c r="DJ114" s="96"/>
      <c r="DK114" s="96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7" t="s">
        <v>36</v>
      </c>
      <c r="CJ115" s="97"/>
      <c r="CK115" s="98">
        <f>SUM(CK104:CQ114)</f>
        <v>200000</v>
      </c>
      <c r="CL115" s="98"/>
      <c r="CM115" s="98"/>
      <c r="CN115" s="98"/>
      <c r="CO115" s="98"/>
      <c r="CP115" s="98"/>
      <c r="CQ115" s="98"/>
      <c r="CR115" s="1"/>
      <c r="CS115" s="17" t="s">
        <v>41</v>
      </c>
      <c r="CT115" s="18"/>
      <c r="CU115" s="15"/>
      <c r="CV115" s="27" t="s">
        <v>37</v>
      </c>
      <c r="CW115" s="96" t="s">
        <v>71</v>
      </c>
      <c r="CX115" s="96"/>
      <c r="CY115" s="96"/>
      <c r="CZ115" s="96"/>
      <c r="DA115" s="96"/>
      <c r="DB115" s="96"/>
      <c r="DC115" s="96"/>
      <c r="DD115" s="96"/>
      <c r="DE115" s="96" t="s">
        <v>38</v>
      </c>
      <c r="DF115" s="96"/>
      <c r="DG115" s="96"/>
      <c r="DH115" s="96"/>
      <c r="DI115" s="96"/>
      <c r="DJ115" s="96"/>
      <c r="DK115" s="96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93" t="s">
        <v>39</v>
      </c>
      <c r="CJ119" s="93"/>
      <c r="CK119" s="93"/>
      <c r="CL119" s="93"/>
      <c r="CM119" s="94" t="s">
        <v>81</v>
      </c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  <c r="DC119" s="95"/>
      <c r="DD119" s="95"/>
      <c r="DE119" s="95"/>
      <c r="DF119" s="95"/>
      <c r="DG119" s="95"/>
      <c r="DH119" s="95"/>
      <c r="DI119" s="95"/>
      <c r="DJ119" s="95"/>
      <c r="DK119" s="95"/>
      <c r="DL119" s="1"/>
      <c r="DM119" s="87" t="s">
        <v>40</v>
      </c>
      <c r="DN119" s="88"/>
      <c r="DO119" s="89" t="s">
        <v>74</v>
      </c>
      <c r="DP119" s="90"/>
      <c r="DQ119" s="90"/>
      <c r="DR119" s="90"/>
      <c r="DS119" s="90"/>
      <c r="DT119" s="90"/>
      <c r="DU119" s="9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93" t="s">
        <v>68</v>
      </c>
      <c r="CJ120" s="93"/>
      <c r="CK120" s="93"/>
      <c r="CL120" s="93"/>
      <c r="CM120" s="94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  <c r="DA120" s="95"/>
      <c r="DB120" s="95"/>
      <c r="DC120" s="95"/>
      <c r="DD120" s="95"/>
      <c r="DE120" s="95"/>
      <c r="DF120" s="95"/>
      <c r="DG120" s="95"/>
      <c r="DH120" s="95"/>
      <c r="DI120" s="95"/>
      <c r="DJ120" s="95"/>
      <c r="DK120" s="95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82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58</v>
      </c>
      <c r="FC400" s="59" t="s">
        <v>59</v>
      </c>
      <c r="FD400" s="59" t="s">
        <v>60</v>
      </c>
      <c r="FE400" s="59" t="s">
        <v>61</v>
      </c>
      <c r="FF400" s="59" t="s">
        <v>14</v>
      </c>
      <c r="FG400" s="59" t="s">
        <v>64</v>
      </c>
      <c r="FH400" s="59" t="s">
        <v>62</v>
      </c>
      <c r="FI400" s="59" t="s">
        <v>63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46B6D743-35D6-4C92-9198-BEE4C3946300}"/>
    <dataValidation allowBlank="1" showInputMessage="1" showErrorMessage="1" promptTitle="明細書01の状態" prompt="明細書01が表示されているときは 0_x000a_明細書01が非表示のときは 1" sqref="CE107" xr:uid="{BFACB485-8930-4590-84B5-6C66DBD38550}"/>
    <dataValidation allowBlank="1" showInputMessage="1" showErrorMessage="1" promptTitle="シート数を入力" prompt="明細書が出ていない状態でシート枚数を表示" sqref="CE106" xr:uid="{50A089CA-1514-4157-8355-19818B24DD00}"/>
    <dataValidation type="list" allowBlank="1" showInputMessage="1" showErrorMessage="1" sqref="DM104:DR104" xr:uid="{852D713E-2805-4ED2-9EDF-A7150613067A}">
      <formula1>$EM$102:$EM$103</formula1>
    </dataValidation>
    <dataValidation type="list" allowBlank="1" showInputMessage="1" showErrorMessage="1" sqref="T7:V8" xr:uid="{A7372D3E-8866-439C-9648-5E7179444163}">
      <formula1>$CE$109:$CE$111</formula1>
    </dataValidation>
    <dataValidation type="list" imeMode="hiragana" allowBlank="1" showInputMessage="1" showErrorMessage="1" prompt="ボタンを押し単位を入力" sqref="X26:Z37" xr:uid="{7744BF28-276A-4C23-9938-98A3E984C63A}">
      <formula1>$CS$104:$CS$116</formula1>
    </dataValidation>
    <dataValidation type="list" allowBlank="1" showInputMessage="1" showErrorMessage="1" sqref="AA2:AJ3" xr:uid="{84052D96-8492-47E8-8EDE-C553E73ABC17}">
      <formula1>$DD$104:$DD$108</formula1>
    </dataValidation>
    <dataValidation imeMode="hiragana" allowBlank="1" showInputMessage="1" showErrorMessage="1" prompt="備考があれば入力" sqref="AN35:AS37 AM26:AM37" xr:uid="{415F5824-7B7A-476C-AE80-B868AF15A822}"/>
    <dataValidation imeMode="off" allowBlank="1" showInputMessage="1" showErrorMessage="1" prompt="単価を入力" sqref="AA26:AE37" xr:uid="{B7069E08-F040-4EC0-B5BB-F3799DC0283B}"/>
    <dataValidation imeMode="off" allowBlank="1" showInputMessage="1" showErrorMessage="1" prompt="数量を入力" sqref="T26:W37" xr:uid="{929967E5-F951-4B9A-87C1-346B3FE69DCB}"/>
    <dataValidation imeMode="hiragana" allowBlank="1" showInputMessage="1" showErrorMessage="1" prompt="品名を入力" sqref="B26:S37" xr:uid="{55F6BBB5-D3E8-4AE1-B886-9AE9EDCA8D5B}"/>
    <dataValidation imeMode="hiragana" allowBlank="1" showInputMessage="1" showErrorMessage="1" prompt="担当者を入力" sqref="AF17:AL17" xr:uid="{9D171640-C808-4631-AF90-08AECFA461B3}"/>
    <dataValidation imeMode="hiragana" allowBlank="1" showInputMessage="1" showErrorMessage="1" prompt="受渡場所を入力_x000a_例：貴社指定場所" sqref="H13:T13" xr:uid="{B5118B67-81CF-4C59-A62C-24C5A43CAB6D}"/>
    <dataValidation imeMode="off" allowBlank="1" showInputMessage="1" showErrorMessage="1" prompt="年を入力" sqref="J17:L17" xr:uid="{0307439C-1143-4796-8769-DA5FEB86C320}"/>
    <dataValidation imeMode="hiragana" allowBlank="1" showInputMessage="1" showErrorMessage="1" sqref="AB9:AS9 E40:AS40 B41:AS42" xr:uid="{D27910DD-A878-4F98-AE80-8458945FAF30}"/>
    <dataValidation allowBlank="1" showInputMessage="1" showErrorMessage="1" prompt="見積書NOを入力" sqref="AN3:AR3" xr:uid="{3D3B6F9B-3E81-4AAF-88B0-7596B3A4BE46}"/>
    <dataValidation imeMode="hiragana" allowBlank="1" showInputMessage="1" showErrorMessage="1" prompt="お客様名を入力" sqref="D7:S8" xr:uid="{2DDB5723-3925-4446-AE49-95E3472AF8AC}"/>
    <dataValidation imeMode="hiragana" allowBlank="1" showInputMessage="1" showErrorMessage="1" prompt="お客様の住所でビル名番地など入力" sqref="D5:R5" xr:uid="{4C4C0A46-4D8E-4D6C-A225-BFCC0E812A6C}"/>
    <dataValidation imeMode="hiragana" allowBlank="1" showInputMessage="1" showErrorMessage="1" prompt="お客様の住所を入力" sqref="D4" xr:uid="{53C95EB5-51BB-47D3-8FF7-AE30868052A1}"/>
    <dataValidation imeMode="off" allowBlank="1" showInputMessage="1" showErrorMessage="1" prompt="お客様の郵便番号を入力" sqref="E3:H3" xr:uid="{0FC9593D-5882-4161-A884-BDAE92660985}"/>
    <dataValidation imeMode="off" allowBlank="1" showInputMessage="1" showErrorMessage="1" prompt="日を入力" sqref="AP6:AQ6 Q17:R17" xr:uid="{9DB63DC9-5D50-4E27-A1DE-9B5DA412A585}"/>
    <dataValidation imeMode="off" allowBlank="1" showInputMessage="1" showErrorMessage="1" prompt="月を入力" sqref="AM6:AN6 N17:O17" xr:uid="{07F0DD5F-0187-4BA8-9F0A-F345CEFC3295}"/>
    <dataValidation imeMode="off" allowBlank="1" showInputMessage="1" showErrorMessage="1" prompt="年を入力  西暦表示の場合、平成を消してください" sqref="AI6:AK6" xr:uid="{3F871D08-8FC5-40EA-AD23-F9DE749A3BE2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7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8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9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0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1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2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3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5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6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7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8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9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0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1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2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3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4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5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6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7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8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9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0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2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3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4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5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6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0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1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2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3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4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5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6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CE8-6FAA-4989-8C56-814A27260E70}">
  <sheetPr>
    <pageSetUpPr fitToPage="1"/>
  </sheetPr>
  <dimension ref="A1:DU178"/>
  <sheetViews>
    <sheetView showGridLines="0" showRowColHeaders="0" zoomScaleNormal="10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19" sqref="C19:T19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30" t="s">
        <v>142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AL3" s="5" t="s">
        <v>0</v>
      </c>
      <c r="AM3" s="5"/>
      <c r="AN3" s="233"/>
      <c r="AO3" s="233"/>
      <c r="AP3" s="233"/>
      <c r="AQ3" s="233"/>
      <c r="AR3" s="233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234" t="s">
        <v>143</v>
      </c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6"/>
      <c r="U5" s="240" t="s">
        <v>7</v>
      </c>
      <c r="V5" s="241"/>
      <c r="W5" s="241"/>
      <c r="X5" s="241"/>
      <c r="Y5" s="241"/>
      <c r="Z5" s="241"/>
      <c r="AA5" s="242"/>
      <c r="AB5" s="240" t="s">
        <v>138</v>
      </c>
      <c r="AC5" s="241"/>
      <c r="AD5" s="241"/>
      <c r="AE5" s="241"/>
      <c r="AF5" s="241"/>
      <c r="AG5" s="240" t="s">
        <v>8</v>
      </c>
      <c r="AH5" s="241"/>
      <c r="AI5" s="241"/>
      <c r="AJ5" s="241"/>
      <c r="AK5" s="241"/>
      <c r="AL5" s="241"/>
      <c r="AM5" s="242"/>
      <c r="AN5" s="240" t="s">
        <v>9</v>
      </c>
      <c r="AO5" s="241"/>
      <c r="AP5" s="241"/>
      <c r="AQ5" s="241"/>
      <c r="AR5" s="241"/>
      <c r="AS5" s="241"/>
      <c r="AT5" s="246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237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9"/>
      <c r="U6" s="243"/>
      <c r="V6" s="244"/>
      <c r="W6" s="244"/>
      <c r="X6" s="244"/>
      <c r="Y6" s="244"/>
      <c r="Z6" s="244"/>
      <c r="AA6" s="245"/>
      <c r="AB6" s="243"/>
      <c r="AC6" s="244"/>
      <c r="AD6" s="244"/>
      <c r="AE6" s="244"/>
      <c r="AF6" s="244"/>
      <c r="AG6" s="243"/>
      <c r="AH6" s="244"/>
      <c r="AI6" s="244"/>
      <c r="AJ6" s="244"/>
      <c r="AK6" s="244"/>
      <c r="AL6" s="244"/>
      <c r="AM6" s="245"/>
      <c r="AN6" s="243"/>
      <c r="AO6" s="244"/>
      <c r="AP6" s="244"/>
      <c r="AQ6" s="244"/>
      <c r="AR6" s="244"/>
      <c r="AS6" s="244"/>
      <c r="AT6" s="247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79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7" t="s">
        <v>144</v>
      </c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9"/>
      <c r="U7" s="145">
        <v>1</v>
      </c>
      <c r="V7" s="146"/>
      <c r="W7" s="146"/>
      <c r="X7" s="146"/>
      <c r="Y7" s="147"/>
      <c r="Z7" s="147"/>
      <c r="AA7" s="148"/>
      <c r="AB7" s="145"/>
      <c r="AC7" s="146"/>
      <c r="AD7" s="146"/>
      <c r="AE7" s="146"/>
      <c r="AF7" s="149"/>
      <c r="AG7" s="145">
        <f>IF(U7="",1*AB7,U7*AB7)</f>
        <v>0</v>
      </c>
      <c r="AH7" s="146"/>
      <c r="AI7" s="146"/>
      <c r="AJ7" s="146"/>
      <c r="AK7" s="146"/>
      <c r="AL7" s="146"/>
      <c r="AM7" s="149"/>
      <c r="AN7" s="223" t="s">
        <v>155</v>
      </c>
      <c r="AO7" s="218"/>
      <c r="AP7" s="218"/>
      <c r="AQ7" s="218"/>
      <c r="AR7" s="218"/>
      <c r="AS7" s="218"/>
      <c r="AT7" s="22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2"/>
      <c r="BM7" s="53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7" t="s">
        <v>160</v>
      </c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9"/>
      <c r="U8" s="145">
        <v>1</v>
      </c>
      <c r="V8" s="146"/>
      <c r="W8" s="146"/>
      <c r="X8" s="146"/>
      <c r="Y8" s="147"/>
      <c r="Z8" s="147"/>
      <c r="AA8" s="148"/>
      <c r="AB8" s="145"/>
      <c r="AC8" s="146"/>
      <c r="AD8" s="146"/>
      <c r="AE8" s="146"/>
      <c r="AF8" s="149"/>
      <c r="AG8" s="145">
        <f t="shared" ref="AG8:AG29" si="0">IF(U8="",1*AB8,U8*AB8)</f>
        <v>0</v>
      </c>
      <c r="AH8" s="146"/>
      <c r="AI8" s="146"/>
      <c r="AJ8" s="146"/>
      <c r="AK8" s="146"/>
      <c r="AL8" s="146"/>
      <c r="AM8" s="149"/>
      <c r="AN8" s="227" t="s">
        <v>156</v>
      </c>
      <c r="AO8" s="228"/>
      <c r="AP8" s="228"/>
      <c r="AQ8" s="228"/>
      <c r="AR8" s="228"/>
      <c r="AS8" s="228"/>
      <c r="AT8" s="229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2"/>
      <c r="BM8" s="53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7" t="s">
        <v>161</v>
      </c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9"/>
      <c r="U9" s="145">
        <v>1</v>
      </c>
      <c r="V9" s="146"/>
      <c r="W9" s="146"/>
      <c r="X9" s="146"/>
      <c r="Y9" s="147"/>
      <c r="Z9" s="147"/>
      <c r="AA9" s="148"/>
      <c r="AB9" s="145"/>
      <c r="AC9" s="146"/>
      <c r="AD9" s="146"/>
      <c r="AE9" s="146"/>
      <c r="AF9" s="149"/>
      <c r="AG9" s="145">
        <f t="shared" si="0"/>
        <v>0</v>
      </c>
      <c r="AH9" s="146"/>
      <c r="AI9" s="146"/>
      <c r="AJ9" s="146"/>
      <c r="AK9" s="146"/>
      <c r="AL9" s="146"/>
      <c r="AM9" s="149"/>
      <c r="AN9" s="227" t="s">
        <v>156</v>
      </c>
      <c r="AO9" s="228"/>
      <c r="AP9" s="228"/>
      <c r="AQ9" s="228"/>
      <c r="AR9" s="228"/>
      <c r="AS9" s="228"/>
      <c r="AT9" s="229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2"/>
      <c r="BM9" s="53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 t="s">
        <v>145</v>
      </c>
      <c r="C10" s="217" t="s">
        <v>159</v>
      </c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9"/>
      <c r="U10" s="145">
        <v>2</v>
      </c>
      <c r="V10" s="146"/>
      <c r="W10" s="146"/>
      <c r="X10" s="146"/>
      <c r="Y10" s="147"/>
      <c r="Z10" s="147"/>
      <c r="AA10" s="148"/>
      <c r="AB10" s="145"/>
      <c r="AC10" s="146"/>
      <c r="AD10" s="146"/>
      <c r="AE10" s="146"/>
      <c r="AF10" s="149"/>
      <c r="AG10" s="145">
        <f t="shared" si="0"/>
        <v>0</v>
      </c>
      <c r="AH10" s="146"/>
      <c r="AI10" s="146"/>
      <c r="AJ10" s="146"/>
      <c r="AK10" s="146"/>
      <c r="AL10" s="146"/>
      <c r="AM10" s="149"/>
      <c r="AN10" s="223" t="s">
        <v>155</v>
      </c>
      <c r="AO10" s="218"/>
      <c r="AP10" s="218"/>
      <c r="AQ10" s="218"/>
      <c r="AR10" s="218"/>
      <c r="AS10" s="218"/>
      <c r="AT10" s="22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2"/>
      <c r="BM10" s="53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7" t="s">
        <v>146</v>
      </c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9"/>
      <c r="U11" s="145">
        <v>1</v>
      </c>
      <c r="V11" s="146"/>
      <c r="W11" s="146"/>
      <c r="X11" s="146"/>
      <c r="Y11" s="147"/>
      <c r="Z11" s="147"/>
      <c r="AA11" s="148"/>
      <c r="AB11" s="145"/>
      <c r="AC11" s="146"/>
      <c r="AD11" s="146"/>
      <c r="AE11" s="146"/>
      <c r="AF11" s="149"/>
      <c r="AG11" s="145">
        <f t="shared" si="0"/>
        <v>0</v>
      </c>
      <c r="AH11" s="146"/>
      <c r="AI11" s="146"/>
      <c r="AJ11" s="146"/>
      <c r="AK11" s="146"/>
      <c r="AL11" s="146"/>
      <c r="AM11" s="149"/>
      <c r="AN11" s="223" t="s">
        <v>155</v>
      </c>
      <c r="AO11" s="218"/>
      <c r="AP11" s="218"/>
      <c r="AQ11" s="218"/>
      <c r="AR11" s="218"/>
      <c r="AS11" s="218"/>
      <c r="AT11" s="22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2"/>
      <c r="BM11" s="53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 t="s">
        <v>147</v>
      </c>
      <c r="C12" s="217" t="s">
        <v>148</v>
      </c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9"/>
      <c r="U12" s="145">
        <v>1</v>
      </c>
      <c r="V12" s="146"/>
      <c r="W12" s="146"/>
      <c r="X12" s="146"/>
      <c r="Y12" s="147"/>
      <c r="Z12" s="147"/>
      <c r="AA12" s="148"/>
      <c r="AB12" s="145"/>
      <c r="AC12" s="146"/>
      <c r="AD12" s="146"/>
      <c r="AE12" s="146"/>
      <c r="AF12" s="149"/>
      <c r="AG12" s="145">
        <f t="shared" si="0"/>
        <v>0</v>
      </c>
      <c r="AH12" s="146"/>
      <c r="AI12" s="146"/>
      <c r="AJ12" s="146"/>
      <c r="AK12" s="146"/>
      <c r="AL12" s="146"/>
      <c r="AM12" s="149"/>
      <c r="AN12" s="223" t="s">
        <v>155</v>
      </c>
      <c r="AO12" s="218"/>
      <c r="AP12" s="218"/>
      <c r="AQ12" s="218"/>
      <c r="AR12" s="218"/>
      <c r="AS12" s="218"/>
      <c r="AT12" s="22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2"/>
      <c r="BM12" s="52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7" t="s">
        <v>158</v>
      </c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9"/>
      <c r="U13" s="145">
        <v>1</v>
      </c>
      <c r="V13" s="146"/>
      <c r="W13" s="146"/>
      <c r="X13" s="146"/>
      <c r="Y13" s="147"/>
      <c r="Z13" s="147"/>
      <c r="AA13" s="148"/>
      <c r="AB13" s="145"/>
      <c r="AC13" s="146"/>
      <c r="AD13" s="146"/>
      <c r="AE13" s="146"/>
      <c r="AF13" s="149"/>
      <c r="AG13" s="145">
        <f t="shared" si="0"/>
        <v>0</v>
      </c>
      <c r="AH13" s="146"/>
      <c r="AI13" s="146"/>
      <c r="AJ13" s="146"/>
      <c r="AK13" s="146"/>
      <c r="AL13" s="146"/>
      <c r="AM13" s="149"/>
      <c r="AN13" s="223" t="s">
        <v>155</v>
      </c>
      <c r="AO13" s="218"/>
      <c r="AP13" s="218"/>
      <c r="AQ13" s="218"/>
      <c r="AR13" s="218"/>
      <c r="AS13" s="218"/>
      <c r="AT13" s="22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2"/>
      <c r="BM13" s="52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7" t="s">
        <v>157</v>
      </c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9"/>
      <c r="U14" s="145">
        <v>1</v>
      </c>
      <c r="V14" s="146"/>
      <c r="W14" s="146"/>
      <c r="X14" s="146"/>
      <c r="Y14" s="147"/>
      <c r="Z14" s="147"/>
      <c r="AA14" s="148"/>
      <c r="AB14" s="145"/>
      <c r="AC14" s="146"/>
      <c r="AD14" s="146"/>
      <c r="AE14" s="146"/>
      <c r="AF14" s="149"/>
      <c r="AG14" s="145">
        <f>IF(U14="",1*AB14,U14*AB14)</f>
        <v>0</v>
      </c>
      <c r="AH14" s="146"/>
      <c r="AI14" s="146"/>
      <c r="AJ14" s="146"/>
      <c r="AK14" s="146"/>
      <c r="AL14" s="146"/>
      <c r="AM14" s="149"/>
      <c r="AN14" s="223" t="s">
        <v>155</v>
      </c>
      <c r="AO14" s="218"/>
      <c r="AP14" s="218"/>
      <c r="AQ14" s="218"/>
      <c r="AR14" s="218"/>
      <c r="AS14" s="218"/>
      <c r="AT14" s="22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2"/>
      <c r="BM14" s="53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7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9"/>
      <c r="U15" s="145"/>
      <c r="V15" s="146"/>
      <c r="W15" s="146"/>
      <c r="X15" s="146"/>
      <c r="Y15" s="147"/>
      <c r="Z15" s="147"/>
      <c r="AA15" s="148"/>
      <c r="AB15" s="145"/>
      <c r="AC15" s="146"/>
      <c r="AD15" s="146"/>
      <c r="AE15" s="146"/>
      <c r="AF15" s="149"/>
      <c r="AG15" s="145">
        <f t="shared" ref="AG15:AG20" si="1">IF(U15="",1*AB15,U15*AB15)</f>
        <v>0</v>
      </c>
      <c r="AH15" s="146"/>
      <c r="AI15" s="146"/>
      <c r="AJ15" s="146"/>
      <c r="AK15" s="146"/>
      <c r="AL15" s="146"/>
      <c r="AM15" s="149"/>
      <c r="AN15" s="223"/>
      <c r="AO15" s="218"/>
      <c r="AP15" s="218"/>
      <c r="AQ15" s="218"/>
      <c r="AR15" s="218"/>
      <c r="AS15" s="218"/>
      <c r="AT15" s="22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2"/>
      <c r="BM15" s="53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7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9"/>
      <c r="U16" s="145"/>
      <c r="V16" s="146"/>
      <c r="W16" s="146"/>
      <c r="X16" s="146"/>
      <c r="Y16" s="147"/>
      <c r="Z16" s="147"/>
      <c r="AA16" s="148"/>
      <c r="AB16" s="145"/>
      <c r="AC16" s="146"/>
      <c r="AD16" s="146"/>
      <c r="AE16" s="146"/>
      <c r="AF16" s="149"/>
      <c r="AG16" s="145">
        <f t="shared" si="1"/>
        <v>0</v>
      </c>
      <c r="AH16" s="146"/>
      <c r="AI16" s="146"/>
      <c r="AJ16" s="146"/>
      <c r="AK16" s="146"/>
      <c r="AL16" s="146"/>
      <c r="AM16" s="149"/>
      <c r="AN16" s="223"/>
      <c r="AO16" s="218"/>
      <c r="AP16" s="218"/>
      <c r="AQ16" s="218"/>
      <c r="AR16" s="218"/>
      <c r="AS16" s="218"/>
      <c r="AT16" s="22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2"/>
      <c r="BM16" s="53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7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9"/>
      <c r="U17" s="145"/>
      <c r="V17" s="146"/>
      <c r="W17" s="146"/>
      <c r="X17" s="146"/>
      <c r="Y17" s="147"/>
      <c r="Z17" s="147"/>
      <c r="AA17" s="148"/>
      <c r="AB17" s="145"/>
      <c r="AC17" s="146"/>
      <c r="AD17" s="146"/>
      <c r="AE17" s="146"/>
      <c r="AF17" s="149"/>
      <c r="AG17" s="145">
        <f t="shared" si="1"/>
        <v>0</v>
      </c>
      <c r="AH17" s="146"/>
      <c r="AI17" s="146"/>
      <c r="AJ17" s="146"/>
      <c r="AK17" s="146"/>
      <c r="AL17" s="146"/>
      <c r="AM17" s="149"/>
      <c r="AN17" s="223"/>
      <c r="AO17" s="218"/>
      <c r="AP17" s="218"/>
      <c r="AQ17" s="218"/>
      <c r="AR17" s="218"/>
      <c r="AS17" s="218"/>
      <c r="AT17" s="22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2"/>
      <c r="BM17" s="53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7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9"/>
      <c r="U18" s="145"/>
      <c r="V18" s="146"/>
      <c r="W18" s="146"/>
      <c r="X18" s="146"/>
      <c r="Y18" s="147"/>
      <c r="Z18" s="147"/>
      <c r="AA18" s="148"/>
      <c r="AB18" s="145"/>
      <c r="AC18" s="146"/>
      <c r="AD18" s="146"/>
      <c r="AE18" s="146"/>
      <c r="AF18" s="149"/>
      <c r="AG18" s="145">
        <f t="shared" si="1"/>
        <v>0</v>
      </c>
      <c r="AH18" s="146"/>
      <c r="AI18" s="146"/>
      <c r="AJ18" s="146"/>
      <c r="AK18" s="146"/>
      <c r="AL18" s="146"/>
      <c r="AM18" s="149"/>
      <c r="AN18" s="223"/>
      <c r="AO18" s="218"/>
      <c r="AP18" s="218"/>
      <c r="AQ18" s="218"/>
      <c r="AR18" s="218"/>
      <c r="AS18" s="218"/>
      <c r="AT18" s="22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2"/>
      <c r="BM18" s="53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7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9"/>
      <c r="U19" s="145"/>
      <c r="V19" s="146"/>
      <c r="W19" s="146"/>
      <c r="X19" s="146"/>
      <c r="Y19" s="147"/>
      <c r="Z19" s="147"/>
      <c r="AA19" s="148"/>
      <c r="AB19" s="145"/>
      <c r="AC19" s="146"/>
      <c r="AD19" s="146"/>
      <c r="AE19" s="146"/>
      <c r="AF19" s="149"/>
      <c r="AG19" s="145">
        <f t="shared" si="1"/>
        <v>0</v>
      </c>
      <c r="AH19" s="146"/>
      <c r="AI19" s="146"/>
      <c r="AJ19" s="146"/>
      <c r="AK19" s="146"/>
      <c r="AL19" s="146"/>
      <c r="AM19" s="149"/>
      <c r="AN19" s="223"/>
      <c r="AO19" s="218"/>
      <c r="AP19" s="218"/>
      <c r="AQ19" s="218"/>
      <c r="AR19" s="218"/>
      <c r="AS19" s="218"/>
      <c r="AT19" s="22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2"/>
      <c r="BM19" s="53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2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9"/>
      <c r="U20" s="145"/>
      <c r="V20" s="146"/>
      <c r="W20" s="146"/>
      <c r="X20" s="146"/>
      <c r="Y20" s="147"/>
      <c r="Z20" s="147"/>
      <c r="AA20" s="148"/>
      <c r="AB20" s="145"/>
      <c r="AC20" s="146"/>
      <c r="AD20" s="146"/>
      <c r="AE20" s="146"/>
      <c r="AF20" s="149"/>
      <c r="AG20" s="145">
        <f t="shared" si="1"/>
        <v>0</v>
      </c>
      <c r="AH20" s="146"/>
      <c r="AI20" s="146"/>
      <c r="AJ20" s="146"/>
      <c r="AK20" s="146"/>
      <c r="AL20" s="146"/>
      <c r="AM20" s="149"/>
      <c r="AN20" s="223"/>
      <c r="AO20" s="218"/>
      <c r="AP20" s="218"/>
      <c r="AQ20" s="218"/>
      <c r="AR20" s="218"/>
      <c r="AS20" s="218"/>
      <c r="AT20" s="22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2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4"/>
      <c r="U21" s="145"/>
      <c r="V21" s="146"/>
      <c r="W21" s="146"/>
      <c r="X21" s="146"/>
      <c r="Y21" s="147"/>
      <c r="Z21" s="147"/>
      <c r="AA21" s="148"/>
      <c r="AB21" s="145"/>
      <c r="AC21" s="146"/>
      <c r="AD21" s="146"/>
      <c r="AE21" s="146"/>
      <c r="AF21" s="149"/>
      <c r="AG21" s="145">
        <f t="shared" si="0"/>
        <v>0</v>
      </c>
      <c r="AH21" s="146"/>
      <c r="AI21" s="146"/>
      <c r="AJ21" s="146"/>
      <c r="AK21" s="146"/>
      <c r="AL21" s="146"/>
      <c r="AM21" s="149"/>
      <c r="AN21" s="223"/>
      <c r="AO21" s="218"/>
      <c r="AP21" s="218"/>
      <c r="AQ21" s="218"/>
      <c r="AR21" s="218"/>
      <c r="AS21" s="218"/>
      <c r="AT21" s="22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2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4"/>
      <c r="U22" s="145"/>
      <c r="V22" s="146"/>
      <c r="W22" s="146"/>
      <c r="X22" s="146"/>
      <c r="Y22" s="225"/>
      <c r="Z22" s="225"/>
      <c r="AA22" s="226"/>
      <c r="AB22" s="145"/>
      <c r="AC22" s="146"/>
      <c r="AD22" s="146"/>
      <c r="AE22" s="146"/>
      <c r="AF22" s="149"/>
      <c r="AG22" s="145">
        <f t="shared" si="0"/>
        <v>0</v>
      </c>
      <c r="AH22" s="146"/>
      <c r="AI22" s="146"/>
      <c r="AJ22" s="146"/>
      <c r="AK22" s="146"/>
      <c r="AL22" s="146"/>
      <c r="AM22" s="149"/>
      <c r="AN22" s="223"/>
      <c r="AO22" s="218"/>
      <c r="AP22" s="218"/>
      <c r="AQ22" s="218"/>
      <c r="AR22" s="218"/>
      <c r="AS22" s="218"/>
      <c r="AT22" s="224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7" t="s">
        <v>149</v>
      </c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9"/>
      <c r="U23" s="145">
        <v>10</v>
      </c>
      <c r="V23" s="146"/>
      <c r="W23" s="146"/>
      <c r="X23" s="146"/>
      <c r="Y23" s="147"/>
      <c r="Z23" s="147"/>
      <c r="AA23" s="148"/>
      <c r="AB23" s="145">
        <v>300</v>
      </c>
      <c r="AC23" s="146"/>
      <c r="AD23" s="146"/>
      <c r="AE23" s="146"/>
      <c r="AF23" s="149"/>
      <c r="AG23" s="145">
        <f>IF(U23="",1*AB23,U23*AB23)</f>
        <v>3000</v>
      </c>
      <c r="AH23" s="146"/>
      <c r="AI23" s="146"/>
      <c r="AJ23" s="146"/>
      <c r="AK23" s="146"/>
      <c r="AL23" s="146"/>
      <c r="AM23" s="149"/>
      <c r="AN23" s="223"/>
      <c r="AO23" s="218"/>
      <c r="AP23" s="218"/>
      <c r="AQ23" s="218"/>
      <c r="AR23" s="218"/>
      <c r="AS23" s="218"/>
      <c r="AT23" s="224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7" t="s">
        <v>150</v>
      </c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9"/>
      <c r="U24" s="145">
        <v>10</v>
      </c>
      <c r="V24" s="146"/>
      <c r="W24" s="146"/>
      <c r="X24" s="146"/>
      <c r="Y24" s="147"/>
      <c r="Z24" s="147"/>
      <c r="AA24" s="148"/>
      <c r="AB24" s="145">
        <v>350</v>
      </c>
      <c r="AC24" s="146"/>
      <c r="AD24" s="146"/>
      <c r="AE24" s="146"/>
      <c r="AF24" s="149"/>
      <c r="AG24" s="145">
        <f t="shared" ref="AG24:AG27" si="2">IF(U24="",1*AB24,U24*AB24)</f>
        <v>3500</v>
      </c>
      <c r="AH24" s="146"/>
      <c r="AI24" s="146"/>
      <c r="AJ24" s="146"/>
      <c r="AK24" s="146"/>
      <c r="AL24" s="146"/>
      <c r="AM24" s="149"/>
      <c r="AN24" s="223"/>
      <c r="AO24" s="218"/>
      <c r="AP24" s="218"/>
      <c r="AQ24" s="218"/>
      <c r="AR24" s="218"/>
      <c r="AS24" s="218"/>
      <c r="AT24" s="224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7" t="s">
        <v>151</v>
      </c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9"/>
      <c r="U25" s="145">
        <v>8</v>
      </c>
      <c r="V25" s="146"/>
      <c r="W25" s="146"/>
      <c r="X25" s="146"/>
      <c r="Y25" s="147"/>
      <c r="Z25" s="147"/>
      <c r="AA25" s="148"/>
      <c r="AB25" s="145">
        <v>400</v>
      </c>
      <c r="AC25" s="146"/>
      <c r="AD25" s="146"/>
      <c r="AE25" s="146"/>
      <c r="AF25" s="149"/>
      <c r="AG25" s="145">
        <f t="shared" si="2"/>
        <v>3200</v>
      </c>
      <c r="AH25" s="146"/>
      <c r="AI25" s="146"/>
      <c r="AJ25" s="146"/>
      <c r="AK25" s="146"/>
      <c r="AL25" s="146"/>
      <c r="AM25" s="149"/>
      <c r="AN25" s="223"/>
      <c r="AO25" s="218"/>
      <c r="AP25" s="218"/>
      <c r="AQ25" s="218"/>
      <c r="AR25" s="218"/>
      <c r="AS25" s="218"/>
      <c r="AT25" s="224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7" t="s">
        <v>152</v>
      </c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9"/>
      <c r="U26" s="145">
        <v>8</v>
      </c>
      <c r="V26" s="146"/>
      <c r="W26" s="146"/>
      <c r="X26" s="146"/>
      <c r="Y26" s="147"/>
      <c r="Z26" s="147"/>
      <c r="AA26" s="148"/>
      <c r="AB26" s="145">
        <v>600</v>
      </c>
      <c r="AC26" s="146"/>
      <c r="AD26" s="146"/>
      <c r="AE26" s="146"/>
      <c r="AF26" s="149"/>
      <c r="AG26" s="145">
        <f t="shared" si="2"/>
        <v>4800</v>
      </c>
      <c r="AH26" s="146"/>
      <c r="AI26" s="146"/>
      <c r="AJ26" s="146"/>
      <c r="AK26" s="146"/>
      <c r="AL26" s="146"/>
      <c r="AM26" s="149"/>
      <c r="AN26" s="223"/>
      <c r="AO26" s="218"/>
      <c r="AP26" s="218"/>
      <c r="AQ26" s="218"/>
      <c r="AR26" s="218"/>
      <c r="AS26" s="218"/>
      <c r="AT26" s="224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7" t="s">
        <v>153</v>
      </c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9"/>
      <c r="U27" s="145">
        <v>1</v>
      </c>
      <c r="V27" s="146"/>
      <c r="W27" s="146"/>
      <c r="X27" s="146"/>
      <c r="Y27" s="147"/>
      <c r="Z27" s="147"/>
      <c r="AA27" s="148"/>
      <c r="AB27" s="145">
        <v>3000</v>
      </c>
      <c r="AC27" s="146"/>
      <c r="AD27" s="146"/>
      <c r="AE27" s="146"/>
      <c r="AF27" s="149"/>
      <c r="AG27" s="145">
        <f t="shared" si="2"/>
        <v>3000</v>
      </c>
      <c r="AH27" s="146"/>
      <c r="AI27" s="146"/>
      <c r="AJ27" s="146"/>
      <c r="AK27" s="146"/>
      <c r="AL27" s="146"/>
      <c r="AM27" s="149"/>
      <c r="AN27" s="223"/>
      <c r="AO27" s="218"/>
      <c r="AP27" s="218"/>
      <c r="AQ27" s="218"/>
      <c r="AR27" s="218"/>
      <c r="AS27" s="218"/>
      <c r="AT27" s="224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7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9"/>
      <c r="U28" s="145"/>
      <c r="V28" s="146"/>
      <c r="W28" s="146"/>
      <c r="X28" s="146"/>
      <c r="Y28" s="147"/>
      <c r="Z28" s="147"/>
      <c r="AA28" s="148"/>
      <c r="AB28" s="145"/>
      <c r="AC28" s="146"/>
      <c r="AD28" s="146"/>
      <c r="AE28" s="146"/>
      <c r="AF28" s="149"/>
      <c r="AG28" s="145">
        <f t="shared" si="0"/>
        <v>0</v>
      </c>
      <c r="AH28" s="146"/>
      <c r="AI28" s="146"/>
      <c r="AJ28" s="146"/>
      <c r="AK28" s="146"/>
      <c r="AL28" s="146"/>
      <c r="AM28" s="149"/>
      <c r="AN28" s="223"/>
      <c r="AO28" s="218"/>
      <c r="AP28" s="218"/>
      <c r="AQ28" s="218"/>
      <c r="AR28" s="218"/>
      <c r="AS28" s="218"/>
      <c r="AT28" s="22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139</v>
      </c>
      <c r="C29" s="217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9"/>
      <c r="U29" s="145"/>
      <c r="V29" s="146"/>
      <c r="W29" s="146"/>
      <c r="X29" s="146"/>
      <c r="Y29" s="147"/>
      <c r="Z29" s="147"/>
      <c r="AA29" s="148"/>
      <c r="AB29" s="220"/>
      <c r="AC29" s="221"/>
      <c r="AD29" s="221"/>
      <c r="AE29" s="221"/>
      <c r="AF29" s="222"/>
      <c r="AG29" s="220">
        <f t="shared" si="0"/>
        <v>0</v>
      </c>
      <c r="AH29" s="221"/>
      <c r="AI29" s="221"/>
      <c r="AJ29" s="221"/>
      <c r="AK29" s="221"/>
      <c r="AL29" s="221"/>
      <c r="AM29" s="222"/>
      <c r="AN29" s="223"/>
      <c r="AO29" s="218"/>
      <c r="AP29" s="218"/>
      <c r="AQ29" s="218"/>
      <c r="AR29" s="218"/>
      <c r="AS29" s="218"/>
      <c r="AT29" s="224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207" t="s">
        <v>140</v>
      </c>
      <c r="V30" s="208"/>
      <c r="W30" s="208"/>
      <c r="X30" s="208"/>
      <c r="Y30" s="208"/>
      <c r="Z30" s="208"/>
      <c r="AA30" s="209"/>
      <c r="AB30" s="210">
        <f>SUM(AG7:AG29)</f>
        <v>17500</v>
      </c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2"/>
      <c r="AO30" s="213"/>
      <c r="AP30" s="213"/>
      <c r="AQ30" s="213"/>
      <c r="AR30" s="213"/>
      <c r="AS30" s="213"/>
      <c r="AT30" s="214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6" t="s">
        <v>14</v>
      </c>
      <c r="CT103" s="14"/>
    </row>
    <row r="104" spans="97:98" ht="13.5" customHeight="1" x14ac:dyDescent="0.15">
      <c r="CS104" s="82" t="e">
        <f>#REF!</f>
        <v>#REF!</v>
      </c>
      <c r="CT104" s="18"/>
    </row>
    <row r="105" spans="97:98" ht="13.5" customHeight="1" x14ac:dyDescent="0.15">
      <c r="CS105" s="82" t="e">
        <f>#REF!</f>
        <v>#REF!</v>
      </c>
      <c r="CT105" s="18"/>
    </row>
    <row r="106" spans="97:98" ht="13.5" customHeight="1" x14ac:dyDescent="0.15">
      <c r="CS106" s="82" t="e">
        <f>#REF!</f>
        <v>#REF!</v>
      </c>
      <c r="CT106" s="21"/>
    </row>
    <row r="107" spans="97:98" ht="13.5" customHeight="1" x14ac:dyDescent="0.15">
      <c r="CS107" s="82" t="e">
        <f>#REF!</f>
        <v>#REF!</v>
      </c>
      <c r="CT107" s="18"/>
    </row>
    <row r="108" spans="97:98" ht="13.5" customHeight="1" x14ac:dyDescent="0.15">
      <c r="CS108" s="82" t="e">
        <f>#REF!</f>
        <v>#REF!</v>
      </c>
      <c r="CT108" s="18"/>
    </row>
    <row r="109" spans="97:98" ht="13.5" customHeight="1" x14ac:dyDescent="0.15">
      <c r="CS109" s="82" t="e">
        <f>#REF!</f>
        <v>#REF!</v>
      </c>
      <c r="CT109" s="20"/>
    </row>
    <row r="110" spans="97:98" ht="13.5" customHeight="1" x14ac:dyDescent="0.15">
      <c r="CS110" s="82" t="e">
        <f>#REF!</f>
        <v>#REF!</v>
      </c>
      <c r="CT110" s="20"/>
    </row>
    <row r="111" spans="97:98" ht="13.5" customHeight="1" x14ac:dyDescent="0.15">
      <c r="CS111" s="82" t="e">
        <f>#REF!</f>
        <v>#REF!</v>
      </c>
      <c r="CT111" s="18"/>
    </row>
    <row r="112" spans="97:98" ht="13.5" customHeight="1" x14ac:dyDescent="0.15">
      <c r="CS112" s="82" t="e">
        <f>#REF!</f>
        <v>#REF!</v>
      </c>
      <c r="CT112" s="18"/>
    </row>
    <row r="113" spans="87:125" ht="13.5" customHeight="1" x14ac:dyDescent="0.15">
      <c r="CS113" s="82" t="e">
        <f>#REF!</f>
        <v>#REF!</v>
      </c>
      <c r="CT113" s="18"/>
    </row>
    <row r="114" spans="87:125" ht="13.5" customHeight="1" x14ac:dyDescent="0.15">
      <c r="CS114" s="82" t="e">
        <f>#REF!</f>
        <v>#REF!</v>
      </c>
      <c r="CT114" s="21"/>
    </row>
    <row r="115" spans="87:125" ht="13.5" customHeight="1" x14ac:dyDescent="0.15">
      <c r="CS115" s="82" t="e">
        <f>#REF!</f>
        <v>#REF!</v>
      </c>
      <c r="CT115" s="18"/>
    </row>
    <row r="116" spans="87:125" ht="13.5" customHeight="1" x14ac:dyDescent="0.15">
      <c r="CS116" s="82" t="e">
        <f>#REF!</f>
        <v>#REF!</v>
      </c>
      <c r="CT116" s="18"/>
    </row>
    <row r="119" spans="87:125" ht="13.5" customHeight="1" x14ac:dyDescent="0.15">
      <c r="CI119" s="93" t="s">
        <v>39</v>
      </c>
      <c r="CJ119" s="93"/>
      <c r="CK119" s="93"/>
      <c r="CL119" s="93"/>
      <c r="CM119" s="215" t="e">
        <f>#REF!</f>
        <v>#REF!</v>
      </c>
      <c r="CN119" s="216"/>
      <c r="CO119" s="216"/>
      <c r="CP119" s="216"/>
      <c r="CQ119" s="216"/>
      <c r="CR119" s="216"/>
      <c r="CS119" s="216"/>
      <c r="CT119" s="216"/>
      <c r="CU119" s="216"/>
      <c r="CV119" s="216"/>
      <c r="CW119" s="216"/>
      <c r="CX119" s="216"/>
      <c r="CY119" s="216"/>
      <c r="CZ119" s="216"/>
      <c r="DA119" s="216"/>
      <c r="DB119" s="216"/>
      <c r="DC119" s="216"/>
      <c r="DD119" s="216"/>
      <c r="DE119" s="216"/>
      <c r="DF119" s="216"/>
      <c r="DG119" s="216"/>
      <c r="DH119" s="216"/>
      <c r="DI119" s="216"/>
      <c r="DJ119" s="216"/>
      <c r="DK119" s="216"/>
      <c r="DO119" s="83" t="e">
        <f>#REF!</f>
        <v>#REF!</v>
      </c>
      <c r="DP119" s="84"/>
      <c r="DQ119" s="84"/>
      <c r="DR119" s="84"/>
      <c r="DS119" s="84"/>
      <c r="DT119" s="84"/>
      <c r="DU119" s="85"/>
    </row>
    <row r="120" spans="87:125" ht="13.5" customHeight="1" x14ac:dyDescent="0.15">
      <c r="CI120" s="93" t="s">
        <v>141</v>
      </c>
      <c r="CJ120" s="93"/>
      <c r="CK120" s="93"/>
      <c r="CL120" s="93"/>
      <c r="CM120" s="215" t="e">
        <f>#REF!</f>
        <v>#REF!</v>
      </c>
      <c r="CN120" s="216"/>
      <c r="CO120" s="216"/>
      <c r="CP120" s="216"/>
      <c r="CQ120" s="216"/>
      <c r="CR120" s="216"/>
      <c r="CS120" s="216"/>
      <c r="CT120" s="216"/>
      <c r="CU120" s="216"/>
      <c r="CV120" s="216"/>
      <c r="CW120" s="216"/>
      <c r="CX120" s="216"/>
      <c r="CY120" s="216"/>
      <c r="CZ120" s="216"/>
      <c r="DA120" s="216"/>
      <c r="DB120" s="216"/>
      <c r="DC120" s="216"/>
      <c r="DD120" s="216"/>
      <c r="DE120" s="216"/>
      <c r="DF120" s="216"/>
      <c r="DG120" s="216"/>
      <c r="DH120" s="216"/>
      <c r="DI120" s="216"/>
      <c r="DJ120" s="216"/>
      <c r="DK120" s="216"/>
    </row>
    <row r="178" spans="16:16" ht="13.5" customHeight="1" x14ac:dyDescent="0.15">
      <c r="P178" s="29" t="e">
        <f>#REF!</f>
        <v>#REF!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Y7:AA7"/>
    <mergeCell ref="Y8:AA8"/>
    <mergeCell ref="C7:T7"/>
    <mergeCell ref="U7:X7"/>
    <mergeCell ref="AB7:AF7"/>
    <mergeCell ref="AG7:AM7"/>
    <mergeCell ref="AN7:AT7"/>
    <mergeCell ref="C8:T8"/>
    <mergeCell ref="U8:X8"/>
    <mergeCell ref="AB8:AF8"/>
    <mergeCell ref="AG8:AM8"/>
    <mergeCell ref="AN8:AT8"/>
    <mergeCell ref="C9:T9"/>
    <mergeCell ref="U9:X9"/>
    <mergeCell ref="AB9:AF9"/>
    <mergeCell ref="AG9:AM9"/>
    <mergeCell ref="AN9:AT9"/>
    <mergeCell ref="C10:T10"/>
    <mergeCell ref="U10:X10"/>
    <mergeCell ref="Y10:AA10"/>
    <mergeCell ref="AB10:AF10"/>
    <mergeCell ref="AG10:AM10"/>
    <mergeCell ref="Y9:AA9"/>
    <mergeCell ref="C12:T12"/>
    <mergeCell ref="U12:X12"/>
    <mergeCell ref="Y12:AA12"/>
    <mergeCell ref="AB12:AF12"/>
    <mergeCell ref="AG12:AM12"/>
    <mergeCell ref="AN12:AT12"/>
    <mergeCell ref="AN10:AT10"/>
    <mergeCell ref="C11:T11"/>
    <mergeCell ref="U11:X11"/>
    <mergeCell ref="Y11:AA11"/>
    <mergeCell ref="AB11:AF11"/>
    <mergeCell ref="AG11:AM11"/>
    <mergeCell ref="AN11:AT11"/>
    <mergeCell ref="C14:T14"/>
    <mergeCell ref="U14:X14"/>
    <mergeCell ref="Y14:AA14"/>
    <mergeCell ref="AB14:AF14"/>
    <mergeCell ref="AG14:AM14"/>
    <mergeCell ref="AN14:AT14"/>
    <mergeCell ref="C13:T13"/>
    <mergeCell ref="U13:X13"/>
    <mergeCell ref="Y13:AA13"/>
    <mergeCell ref="AB13:AF13"/>
    <mergeCell ref="AG13:AM13"/>
    <mergeCell ref="AN13:AT13"/>
    <mergeCell ref="C16:T16"/>
    <mergeCell ref="U16:X16"/>
    <mergeCell ref="Y16:AA16"/>
    <mergeCell ref="AB16:AF16"/>
    <mergeCell ref="AG16:AM16"/>
    <mergeCell ref="AN16:AT16"/>
    <mergeCell ref="C15:T15"/>
    <mergeCell ref="U15:X15"/>
    <mergeCell ref="Y15:AA15"/>
    <mergeCell ref="AB15:AF15"/>
    <mergeCell ref="AG15:AM15"/>
    <mergeCell ref="AN15:AT15"/>
    <mergeCell ref="C18:T18"/>
    <mergeCell ref="U18:X18"/>
    <mergeCell ref="Y18:AA18"/>
    <mergeCell ref="AB18:AF18"/>
    <mergeCell ref="AG18:AM18"/>
    <mergeCell ref="AN18:AT18"/>
    <mergeCell ref="C17:T17"/>
    <mergeCell ref="U17:X17"/>
    <mergeCell ref="Y17:AA17"/>
    <mergeCell ref="AB17:AF17"/>
    <mergeCell ref="AG17:AM17"/>
    <mergeCell ref="AN17:AT17"/>
    <mergeCell ref="C20:T20"/>
    <mergeCell ref="U20:X20"/>
    <mergeCell ref="Y20:AA20"/>
    <mergeCell ref="AB20:AF20"/>
    <mergeCell ref="AG20:AM20"/>
    <mergeCell ref="AN20:AT20"/>
    <mergeCell ref="C19:T19"/>
    <mergeCell ref="U19:X19"/>
    <mergeCell ref="Y19:AA19"/>
    <mergeCell ref="AB19:AF19"/>
    <mergeCell ref="AG19:AM19"/>
    <mergeCell ref="AN19:AT19"/>
    <mergeCell ref="C22:T22"/>
    <mergeCell ref="U22:X22"/>
    <mergeCell ref="Y22:AA22"/>
    <mergeCell ref="AB22:AF22"/>
    <mergeCell ref="AG22:AM22"/>
    <mergeCell ref="AN22:AT22"/>
    <mergeCell ref="C21:T21"/>
    <mergeCell ref="U21:X21"/>
    <mergeCell ref="Y21:AA21"/>
    <mergeCell ref="AB21:AF21"/>
    <mergeCell ref="AG21:AM21"/>
    <mergeCell ref="AN21:AT21"/>
    <mergeCell ref="C24:T24"/>
    <mergeCell ref="U24:X24"/>
    <mergeCell ref="Y24:AA24"/>
    <mergeCell ref="AB24:AF24"/>
    <mergeCell ref="AG24:AM24"/>
    <mergeCell ref="AN24:AT24"/>
    <mergeCell ref="C23:T23"/>
    <mergeCell ref="U23:X23"/>
    <mergeCell ref="Y23:AA23"/>
    <mergeCell ref="AB23:AF23"/>
    <mergeCell ref="AG23:AM23"/>
    <mergeCell ref="AN23:AT23"/>
    <mergeCell ref="C26:T26"/>
    <mergeCell ref="U26:X26"/>
    <mergeCell ref="Y26:AA26"/>
    <mergeCell ref="AB26:AF26"/>
    <mergeCell ref="AG26:AM26"/>
    <mergeCell ref="AN26:AT26"/>
    <mergeCell ref="C25:T25"/>
    <mergeCell ref="U25:X25"/>
    <mergeCell ref="Y25:AA25"/>
    <mergeCell ref="AB25:AF25"/>
    <mergeCell ref="AG25:AM25"/>
    <mergeCell ref="AN25:AT25"/>
    <mergeCell ref="C28:T28"/>
    <mergeCell ref="U28:X28"/>
    <mergeCell ref="Y28:AA28"/>
    <mergeCell ref="AB28:AF28"/>
    <mergeCell ref="AG28:AM28"/>
    <mergeCell ref="AN28:AT28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9:T29"/>
    <mergeCell ref="U29:X29"/>
    <mergeCell ref="Y29:AA29"/>
    <mergeCell ref="AB29:AF29"/>
    <mergeCell ref="AG29:AM29"/>
    <mergeCell ref="AN29:AT29"/>
  </mergeCells>
  <phoneticPr fontId="4"/>
  <dataValidations count="6">
    <dataValidation type="list" imeMode="hiragana" allowBlank="1" showInputMessage="1" showErrorMessage="1" prompt="ボタンを押し単位を入力" sqref="Y19:AA22" xr:uid="{17B9FCE2-668F-401A-888A-589B4363B49A}">
      <formula1>$CS$92:$CS$104</formula1>
    </dataValidation>
    <dataValidation imeMode="hiragana" allowBlank="1" showInputMessage="1" showErrorMessage="1" prompt="品名を入力" sqref="D7:T7 D19:T19 D28:T29 C7:C29" xr:uid="{337CB0BF-6209-40C1-86EA-883E94CFEDF9}"/>
    <dataValidation imeMode="off" allowBlank="1" showInputMessage="1" showErrorMessage="1" prompt="数量を入力" sqref="U7:X29" xr:uid="{55236B6B-C3BE-40DB-8832-D02B13BEDF96}"/>
    <dataValidation imeMode="off" allowBlank="1" showInputMessage="1" showErrorMessage="1" prompt="単価を入力" sqref="AB7:AF29" xr:uid="{3710DFCB-50B0-4188-9BA0-10DBA2FA59E6}"/>
    <dataValidation imeMode="hiragana" allowBlank="1" showInputMessage="1" showErrorMessage="1" prompt="備考があれば入力" sqref="AN7:AT29" xr:uid="{30D3F133-FF8E-4EB2-BEB7-71F6BFEB6447}"/>
    <dataValidation type="list" imeMode="hiragana" allowBlank="1" showInputMessage="1" showErrorMessage="1" prompt="ボタンを押し単位を入力" sqref="Y7:AA18 Y23:AA29" xr:uid="{EEC4A52E-7351-4183-975C-9F47F89A3C69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3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5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6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7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8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0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1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C0D5-4D8E-49F5-8ABF-8E6C366F0C13}">
  <sheetPr>
    <pageSetUpPr fitToPage="1"/>
  </sheetPr>
  <dimension ref="A1:FI642"/>
  <sheetViews>
    <sheetView showGridLines="0" showRowColHeaders="0" topLeftCell="A10" workbookViewId="0">
      <selection activeCell="B32" sqref="B32:S32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0" t="s">
        <v>72</v>
      </c>
      <c r="N2" s="200"/>
      <c r="O2" s="200"/>
      <c r="P2" s="200"/>
      <c r="Q2" s="200"/>
      <c r="R2" s="200"/>
      <c r="W2" s="4"/>
      <c r="X2" s="4"/>
      <c r="Y2" s="4"/>
      <c r="Z2" s="4"/>
      <c r="AA2" s="167" t="s">
        <v>42</v>
      </c>
      <c r="AB2" s="167"/>
      <c r="AC2" s="167"/>
      <c r="AD2" s="167"/>
      <c r="AE2" s="167"/>
      <c r="AF2" s="167"/>
      <c r="AG2" s="167"/>
      <c r="AH2" s="167"/>
      <c r="AI2" s="167"/>
      <c r="AJ2" s="167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2" t="s">
        <v>125</v>
      </c>
      <c r="F3" s="192"/>
      <c r="G3" s="192"/>
      <c r="H3" s="192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L3" s="5" t="s">
        <v>0</v>
      </c>
      <c r="AM3" s="5"/>
      <c r="AN3" s="188" t="s">
        <v>126</v>
      </c>
      <c r="AO3" s="188"/>
      <c r="AP3" s="188"/>
      <c r="AQ3" s="188"/>
      <c r="AR3" s="188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0" t="s">
        <v>127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0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1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87</v>
      </c>
      <c r="AH6" s="12"/>
      <c r="AI6" s="196">
        <v>7</v>
      </c>
      <c r="AJ6" s="196"/>
      <c r="AK6" s="196"/>
      <c r="AL6" s="9" t="s">
        <v>1</v>
      </c>
      <c r="AM6" s="196">
        <v>4</v>
      </c>
      <c r="AN6" s="196"/>
      <c r="AO6" s="9" t="s">
        <v>2</v>
      </c>
      <c r="AP6" s="196">
        <v>22</v>
      </c>
      <c r="AQ6" s="196"/>
      <c r="AR6" s="30" t="s">
        <v>83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4" t="s">
        <v>128</v>
      </c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3" t="s">
        <v>50</v>
      </c>
      <c r="U7" s="193"/>
      <c r="V7" s="19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3"/>
      <c r="U8" s="193"/>
      <c r="V8" s="19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129</v>
      </c>
      <c r="E11" s="68"/>
      <c r="F11" s="68"/>
      <c r="G11" s="68"/>
      <c r="H11" s="203" t="s">
        <v>130</v>
      </c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131</v>
      </c>
      <c r="E13" s="68"/>
      <c r="F13" s="68"/>
      <c r="G13" s="68"/>
      <c r="H13" s="177" t="s">
        <v>132</v>
      </c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68"/>
      <c r="Z13" s="72"/>
      <c r="AA13" s="72"/>
      <c r="AB13" s="178" t="s">
        <v>52</v>
      </c>
      <c r="AC13" s="178"/>
      <c r="AD13" s="178"/>
      <c r="AE13" s="179" t="s">
        <v>75</v>
      </c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89</v>
      </c>
      <c r="E15" s="68"/>
      <c r="F15" s="68"/>
      <c r="G15" s="68"/>
      <c r="I15" s="75" t="s">
        <v>90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80" t="s">
        <v>53</v>
      </c>
      <c r="AC15" s="180"/>
      <c r="AD15" s="180"/>
      <c r="AE15" s="179" t="s">
        <v>76</v>
      </c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88"/>
      <c r="K17" s="188"/>
      <c r="L17" s="188"/>
      <c r="M17" s="5"/>
      <c r="N17" s="188"/>
      <c r="O17" s="188"/>
      <c r="P17" s="5"/>
      <c r="Q17" s="188"/>
      <c r="R17" s="188"/>
      <c r="S17" s="5"/>
      <c r="T17" s="5"/>
      <c r="U17" s="5"/>
      <c r="W17" s="72"/>
      <c r="X17" s="29"/>
      <c r="AB17" s="73" t="s">
        <v>4</v>
      </c>
      <c r="AC17" s="73"/>
      <c r="AD17" s="73"/>
      <c r="AE17" s="73"/>
      <c r="AF17" s="177" t="s">
        <v>84</v>
      </c>
      <c r="AG17" s="177"/>
      <c r="AH17" s="177"/>
      <c r="AI17" s="177"/>
      <c r="AJ17" s="177"/>
      <c r="AK17" s="177"/>
      <c r="AL17" s="177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77">
        <f>H39</f>
        <v>39820</v>
      </c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AB19" s="168"/>
      <c r="AC19" s="169"/>
      <c r="AD19" s="169"/>
      <c r="AE19" s="169"/>
      <c r="AF19" s="170"/>
      <c r="AG19" s="168"/>
      <c r="AH19" s="169"/>
      <c r="AI19" s="169"/>
      <c r="AJ19" s="169"/>
      <c r="AK19" s="170"/>
      <c r="AL19" s="168"/>
      <c r="AM19" s="169"/>
      <c r="AN19" s="169"/>
      <c r="AO19" s="169"/>
      <c r="AP19" s="170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7" t="s">
        <v>85</v>
      </c>
      <c r="E20" s="167"/>
      <c r="F20" s="167"/>
      <c r="G20" s="167"/>
      <c r="H20" s="167"/>
      <c r="I20" s="167"/>
      <c r="J20" s="198">
        <f>H39</f>
        <v>39820</v>
      </c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AB20" s="171"/>
      <c r="AC20" s="172"/>
      <c r="AD20" s="172"/>
      <c r="AE20" s="172"/>
      <c r="AF20" s="173"/>
      <c r="AG20" s="171"/>
      <c r="AH20" s="172"/>
      <c r="AI20" s="172"/>
      <c r="AJ20" s="172"/>
      <c r="AK20" s="173"/>
      <c r="AL20" s="171"/>
      <c r="AM20" s="172"/>
      <c r="AN20" s="172"/>
      <c r="AO20" s="172"/>
      <c r="AP20" s="173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89"/>
      <c r="E21" s="189"/>
      <c r="F21" s="189"/>
      <c r="G21" s="189"/>
      <c r="H21" s="189"/>
      <c r="I21" s="18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AB21" s="171"/>
      <c r="AC21" s="172"/>
      <c r="AD21" s="172"/>
      <c r="AE21" s="172"/>
      <c r="AF21" s="173"/>
      <c r="AG21" s="171"/>
      <c r="AH21" s="172"/>
      <c r="AI21" s="172"/>
      <c r="AJ21" s="172"/>
      <c r="AK21" s="173"/>
      <c r="AL21" s="171"/>
      <c r="AM21" s="172"/>
      <c r="AN21" s="172"/>
      <c r="AO21" s="172"/>
      <c r="AP21" s="173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97" t="s">
        <v>133</v>
      </c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AB22" s="174"/>
      <c r="AC22" s="175"/>
      <c r="AD22" s="175"/>
      <c r="AE22" s="175"/>
      <c r="AF22" s="176"/>
      <c r="AG22" s="174"/>
      <c r="AH22" s="175"/>
      <c r="AI22" s="175"/>
      <c r="AJ22" s="175"/>
      <c r="AK22" s="176"/>
      <c r="AL22" s="174"/>
      <c r="AM22" s="175"/>
      <c r="AN22" s="175"/>
      <c r="AO22" s="175"/>
      <c r="AP22" s="176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61" t="s">
        <v>6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3"/>
      <c r="T24" s="153" t="s">
        <v>7</v>
      </c>
      <c r="U24" s="154"/>
      <c r="V24" s="154"/>
      <c r="W24" s="154"/>
      <c r="X24" s="154"/>
      <c r="Y24" s="154"/>
      <c r="Z24" s="159"/>
      <c r="AA24" s="153" t="s">
        <v>86</v>
      </c>
      <c r="AB24" s="154"/>
      <c r="AC24" s="154"/>
      <c r="AD24" s="154"/>
      <c r="AE24" s="154"/>
      <c r="AF24" s="153" t="s">
        <v>8</v>
      </c>
      <c r="AG24" s="154"/>
      <c r="AH24" s="154"/>
      <c r="AI24" s="154"/>
      <c r="AJ24" s="154"/>
      <c r="AK24" s="154"/>
      <c r="AL24" s="159"/>
      <c r="AM24" s="153" t="s">
        <v>9</v>
      </c>
      <c r="AN24" s="154"/>
      <c r="AO24" s="154"/>
      <c r="AP24" s="154"/>
      <c r="AQ24" s="154"/>
      <c r="AR24" s="154"/>
      <c r="AS24" s="15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64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6"/>
      <c r="T25" s="155"/>
      <c r="U25" s="156"/>
      <c r="V25" s="156"/>
      <c r="W25" s="156"/>
      <c r="X25" s="156"/>
      <c r="Y25" s="156"/>
      <c r="Z25" s="160"/>
      <c r="AA25" s="155"/>
      <c r="AB25" s="156"/>
      <c r="AC25" s="156"/>
      <c r="AD25" s="156"/>
      <c r="AE25" s="156"/>
      <c r="AF25" s="155"/>
      <c r="AG25" s="156"/>
      <c r="AH25" s="156"/>
      <c r="AI25" s="156"/>
      <c r="AJ25" s="156"/>
      <c r="AK25" s="156"/>
      <c r="AL25" s="160"/>
      <c r="AM25" s="155"/>
      <c r="AN25" s="156"/>
      <c r="AO25" s="156"/>
      <c r="AP25" s="156"/>
      <c r="AQ25" s="156"/>
      <c r="AR25" s="156"/>
      <c r="AS25" s="15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134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45"/>
      <c r="U26" s="146"/>
      <c r="V26" s="146"/>
      <c r="W26" s="146"/>
      <c r="X26" s="147"/>
      <c r="Y26" s="147"/>
      <c r="Z26" s="148"/>
      <c r="AA26" s="145"/>
      <c r="AB26" s="146"/>
      <c r="AC26" s="146"/>
      <c r="AD26" s="146"/>
      <c r="AE26" s="149"/>
      <c r="AF26" s="145">
        <f t="shared" ref="AF26:AF27" si="0">IF(T26="",1*AA26,T26*AA26)</f>
        <v>0</v>
      </c>
      <c r="AG26" s="146"/>
      <c r="AH26" s="146"/>
      <c r="AI26" s="146"/>
      <c r="AJ26" s="146"/>
      <c r="AK26" s="146"/>
      <c r="AL26" s="149"/>
      <c r="AM26" s="251"/>
      <c r="AN26" s="143"/>
      <c r="AO26" s="143"/>
      <c r="AP26" s="143"/>
      <c r="AQ26" s="143"/>
      <c r="AR26" s="143"/>
      <c r="AS26" s="252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135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45"/>
      <c r="U27" s="146"/>
      <c r="V27" s="146"/>
      <c r="W27" s="146"/>
      <c r="X27" s="147" t="s">
        <v>18</v>
      </c>
      <c r="Y27" s="147"/>
      <c r="Z27" s="148"/>
      <c r="AA27" s="145">
        <v>35000</v>
      </c>
      <c r="AB27" s="146"/>
      <c r="AC27" s="146"/>
      <c r="AD27" s="146"/>
      <c r="AE27" s="149"/>
      <c r="AF27" s="145">
        <f t="shared" si="0"/>
        <v>35000</v>
      </c>
      <c r="AG27" s="146"/>
      <c r="AH27" s="146"/>
      <c r="AI27" s="146"/>
      <c r="AJ27" s="146"/>
      <c r="AK27" s="146"/>
      <c r="AL27" s="149"/>
      <c r="AM27" s="251"/>
      <c r="AN27" s="143"/>
      <c r="AO27" s="143"/>
      <c r="AP27" s="143"/>
      <c r="AQ27" s="143"/>
      <c r="AR27" s="143"/>
      <c r="AS27" s="252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136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45"/>
      <c r="U28" s="146"/>
      <c r="V28" s="146"/>
      <c r="W28" s="146"/>
      <c r="X28" s="147" t="s">
        <v>18</v>
      </c>
      <c r="Y28" s="147"/>
      <c r="Z28" s="148"/>
      <c r="AA28" s="145">
        <v>1200</v>
      </c>
      <c r="AB28" s="146"/>
      <c r="AC28" s="146"/>
      <c r="AD28" s="146"/>
      <c r="AE28" s="149"/>
      <c r="AF28" s="145">
        <f>IF(T28="",1*AA28,T28*AA28)</f>
        <v>1200</v>
      </c>
      <c r="AG28" s="146"/>
      <c r="AH28" s="146"/>
      <c r="AI28" s="146"/>
      <c r="AJ28" s="146"/>
      <c r="AK28" s="146"/>
      <c r="AL28" s="149"/>
      <c r="AM28" s="251"/>
      <c r="AN28" s="143"/>
      <c r="AO28" s="143"/>
      <c r="AP28" s="143"/>
      <c r="AQ28" s="143"/>
      <c r="AR28" s="143"/>
      <c r="AS28" s="252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45"/>
      <c r="U29" s="146"/>
      <c r="V29" s="146"/>
      <c r="W29" s="146"/>
      <c r="X29" s="147"/>
      <c r="Y29" s="147"/>
      <c r="Z29" s="148"/>
      <c r="AA29" s="145"/>
      <c r="AB29" s="146"/>
      <c r="AC29" s="146"/>
      <c r="AD29" s="146"/>
      <c r="AE29" s="149"/>
      <c r="AF29" s="145">
        <f t="shared" ref="AF29:AF32" si="1">IF(T29="",1*AA29,T29*AA29)</f>
        <v>0</v>
      </c>
      <c r="AG29" s="146"/>
      <c r="AH29" s="146"/>
      <c r="AI29" s="146"/>
      <c r="AJ29" s="146"/>
      <c r="AK29" s="146"/>
      <c r="AL29" s="149"/>
      <c r="AM29" s="251"/>
      <c r="AN29" s="143"/>
      <c r="AO29" s="143"/>
      <c r="AP29" s="143"/>
      <c r="AQ29" s="143"/>
      <c r="AR29" s="143"/>
      <c r="AS29" s="252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45"/>
      <c r="U30" s="146"/>
      <c r="V30" s="146"/>
      <c r="W30" s="146"/>
      <c r="X30" s="147"/>
      <c r="Y30" s="147"/>
      <c r="Z30" s="148"/>
      <c r="AA30" s="145"/>
      <c r="AB30" s="146"/>
      <c r="AC30" s="146"/>
      <c r="AD30" s="146"/>
      <c r="AE30" s="149"/>
      <c r="AF30" s="145">
        <f t="shared" si="1"/>
        <v>0</v>
      </c>
      <c r="AG30" s="146"/>
      <c r="AH30" s="146"/>
      <c r="AI30" s="146"/>
      <c r="AJ30" s="146"/>
      <c r="AK30" s="146"/>
      <c r="AL30" s="149"/>
      <c r="AM30" s="251"/>
      <c r="AN30" s="143"/>
      <c r="AO30" s="143"/>
      <c r="AP30" s="143"/>
      <c r="AQ30" s="143"/>
      <c r="AR30" s="143"/>
      <c r="AS30" s="252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6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45"/>
      <c r="U31" s="146"/>
      <c r="V31" s="146"/>
      <c r="W31" s="146"/>
      <c r="X31" s="147"/>
      <c r="Y31" s="147"/>
      <c r="Z31" s="148"/>
      <c r="AA31" s="145"/>
      <c r="AB31" s="146"/>
      <c r="AC31" s="146"/>
      <c r="AD31" s="146"/>
      <c r="AE31" s="149"/>
      <c r="AF31" s="145">
        <f t="shared" si="1"/>
        <v>0</v>
      </c>
      <c r="AG31" s="146"/>
      <c r="AH31" s="146"/>
      <c r="AI31" s="146"/>
      <c r="AJ31" s="146"/>
      <c r="AK31" s="146"/>
      <c r="AL31" s="149"/>
      <c r="AM31" s="251"/>
      <c r="AN31" s="143"/>
      <c r="AO31" s="143"/>
      <c r="AP31" s="143"/>
      <c r="AQ31" s="143"/>
      <c r="AR31" s="143"/>
      <c r="AS31" s="252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45"/>
      <c r="U32" s="146"/>
      <c r="V32" s="146"/>
      <c r="W32" s="146"/>
      <c r="X32" s="147"/>
      <c r="Y32" s="147"/>
      <c r="Z32" s="148"/>
      <c r="AA32" s="145"/>
      <c r="AB32" s="146"/>
      <c r="AC32" s="146"/>
      <c r="AD32" s="146"/>
      <c r="AE32" s="149"/>
      <c r="AF32" s="145">
        <f t="shared" si="1"/>
        <v>0</v>
      </c>
      <c r="AG32" s="146"/>
      <c r="AH32" s="146"/>
      <c r="AI32" s="146"/>
      <c r="AJ32" s="146"/>
      <c r="AK32" s="146"/>
      <c r="AL32" s="149"/>
      <c r="AM32" s="251"/>
      <c r="AN32" s="143"/>
      <c r="AO32" s="143"/>
      <c r="AP32" s="143"/>
      <c r="AQ32" s="143"/>
      <c r="AR32" s="143"/>
      <c r="AS32" s="252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45"/>
      <c r="U33" s="146"/>
      <c r="V33" s="146"/>
      <c r="W33" s="146"/>
      <c r="X33" s="147"/>
      <c r="Y33" s="147"/>
      <c r="Z33" s="148"/>
      <c r="AA33" s="145"/>
      <c r="AB33" s="146"/>
      <c r="AC33" s="146"/>
      <c r="AD33" s="146"/>
      <c r="AE33" s="149"/>
      <c r="AF33" s="145">
        <f>IF(T33="",1*AA33,T33*AA33)</f>
        <v>0</v>
      </c>
      <c r="AG33" s="146"/>
      <c r="AH33" s="146"/>
      <c r="AI33" s="146"/>
      <c r="AJ33" s="146"/>
      <c r="AK33" s="146"/>
      <c r="AL33" s="149"/>
      <c r="AM33" s="251"/>
      <c r="AN33" s="143"/>
      <c r="AO33" s="143"/>
      <c r="AP33" s="143"/>
      <c r="AQ33" s="143"/>
      <c r="AR33" s="143"/>
      <c r="AS33" s="252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42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45"/>
      <c r="U34" s="146"/>
      <c r="V34" s="146"/>
      <c r="W34" s="146"/>
      <c r="X34" s="147"/>
      <c r="Y34" s="147"/>
      <c r="Z34" s="148"/>
      <c r="AA34" s="145"/>
      <c r="AB34" s="146"/>
      <c r="AC34" s="146"/>
      <c r="AD34" s="146"/>
      <c r="AE34" s="149"/>
      <c r="AF34" s="145">
        <f>IF(T34="",1*AA34,T34*AA34)</f>
        <v>0</v>
      </c>
      <c r="AG34" s="146"/>
      <c r="AH34" s="146"/>
      <c r="AI34" s="146"/>
      <c r="AJ34" s="146"/>
      <c r="AK34" s="146"/>
      <c r="AL34" s="149"/>
      <c r="AM34" s="251"/>
      <c r="AN34" s="143"/>
      <c r="AO34" s="143"/>
      <c r="AP34" s="143"/>
      <c r="AQ34" s="143"/>
      <c r="AR34" s="143"/>
      <c r="AS34" s="252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45"/>
      <c r="U35" s="146"/>
      <c r="V35" s="146"/>
      <c r="W35" s="146"/>
      <c r="X35" s="147"/>
      <c r="Y35" s="147"/>
      <c r="Z35" s="148"/>
      <c r="AA35" s="145"/>
      <c r="AB35" s="146"/>
      <c r="AC35" s="146"/>
      <c r="AD35" s="146"/>
      <c r="AE35" s="149"/>
      <c r="AF35" s="145">
        <f>IF(T35="",1*AA35,T35*AA35)</f>
        <v>0</v>
      </c>
      <c r="AG35" s="146"/>
      <c r="AH35" s="146"/>
      <c r="AI35" s="146"/>
      <c r="AJ35" s="146"/>
      <c r="AK35" s="146"/>
      <c r="AL35" s="149"/>
      <c r="AM35" s="251"/>
      <c r="AN35" s="143"/>
      <c r="AO35" s="143"/>
      <c r="AP35" s="143"/>
      <c r="AQ35" s="143"/>
      <c r="AR35" s="143"/>
      <c r="AS35" s="252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45"/>
      <c r="U36" s="146"/>
      <c r="V36" s="146"/>
      <c r="W36" s="146"/>
      <c r="X36" s="147"/>
      <c r="Y36" s="147"/>
      <c r="Z36" s="148"/>
      <c r="AA36" s="145"/>
      <c r="AB36" s="146"/>
      <c r="AC36" s="146"/>
      <c r="AD36" s="146"/>
      <c r="AE36" s="149"/>
      <c r="AF36" s="145"/>
      <c r="AG36" s="146"/>
      <c r="AH36" s="146"/>
      <c r="AI36" s="146"/>
      <c r="AJ36" s="146"/>
      <c r="AK36" s="146"/>
      <c r="AL36" s="149"/>
      <c r="AM36" s="251"/>
      <c r="AN36" s="143"/>
      <c r="AO36" s="143"/>
      <c r="AP36" s="143"/>
      <c r="AQ36" s="143"/>
      <c r="AR36" s="143"/>
      <c r="AS36" s="252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/>
      <c r="AG37" s="146"/>
      <c r="AH37" s="146"/>
      <c r="AI37" s="146"/>
      <c r="AJ37" s="146"/>
      <c r="AK37" s="146"/>
      <c r="AL37" s="149"/>
      <c r="AM37" s="251"/>
      <c r="AN37" s="143"/>
      <c r="AO37" s="143"/>
      <c r="AP37" s="143"/>
      <c r="AQ37" s="143"/>
      <c r="AR37" s="143"/>
      <c r="AS37" s="252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32" t="s">
        <v>137</v>
      </c>
      <c r="C38" s="133"/>
      <c r="D38" s="133"/>
      <c r="E38" s="133"/>
      <c r="F38" s="133"/>
      <c r="G38" s="134"/>
      <c r="H38" s="135">
        <f>AA38*0.1</f>
        <v>3620</v>
      </c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7"/>
      <c r="T38" s="138" t="s">
        <v>11</v>
      </c>
      <c r="U38" s="133"/>
      <c r="V38" s="133"/>
      <c r="W38" s="133"/>
      <c r="X38" s="133"/>
      <c r="Y38" s="133"/>
      <c r="Z38" s="134"/>
      <c r="AA38" s="139">
        <f>SUM(AF26:AL37)</f>
        <v>36200</v>
      </c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1"/>
      <c r="AM38" s="185"/>
      <c r="AN38" s="186"/>
      <c r="AO38" s="186"/>
      <c r="AP38" s="186"/>
      <c r="AQ38" s="186"/>
      <c r="AR38" s="186"/>
      <c r="AS38" s="18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18" t="s">
        <v>5</v>
      </c>
      <c r="C39" s="119"/>
      <c r="D39" s="119"/>
      <c r="E39" s="119"/>
      <c r="F39" s="119"/>
      <c r="G39" s="120"/>
      <c r="H39" s="121">
        <f>CK115+H38</f>
        <v>39820</v>
      </c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3"/>
      <c r="AM39" s="181"/>
      <c r="AN39" s="182"/>
      <c r="AO39" s="182"/>
      <c r="AP39" s="182"/>
      <c r="AQ39" s="182"/>
      <c r="AR39" s="182"/>
      <c r="AS39" s="183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24" t="s">
        <v>12</v>
      </c>
      <c r="C40" s="125"/>
      <c r="D40" s="125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8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248"/>
      <c r="C41" s="249"/>
      <c r="D41" s="249"/>
      <c r="E41" s="249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50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9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9"/>
      <c r="O44" s="109"/>
      <c r="P44" s="109"/>
      <c r="Q44" s="109"/>
      <c r="R44" s="109"/>
      <c r="S44" s="109"/>
      <c r="T44" s="109"/>
      <c r="U44" s="109"/>
      <c r="V44" s="109"/>
      <c r="W44" s="1"/>
      <c r="X44" s="50"/>
      <c r="Y44" s="16"/>
      <c r="Z44" s="15"/>
      <c r="AA44" s="15"/>
      <c r="AB44" s="117"/>
      <c r="AC44" s="117"/>
      <c r="AD44" s="117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11"/>
      <c r="O45" s="111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6"/>
      <c r="AC45" s="116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1"/>
      <c r="O46" s="111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1"/>
      <c r="O47" s="111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7"/>
      <c r="AB47" s="117"/>
      <c r="AC47" s="117"/>
      <c r="AD47" s="117"/>
      <c r="AE47" s="117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1"/>
      <c r="O48" s="111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6"/>
      <c r="AC48" s="116"/>
      <c r="AD48" s="116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1"/>
      <c r="O49" s="111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6"/>
      <c r="AC49" s="116"/>
      <c r="AD49" s="116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1"/>
      <c r="O50" s="111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1"/>
      <c r="O51" s="111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84"/>
      <c r="AB51" s="184"/>
      <c r="AC51" s="184"/>
      <c r="AD51" s="184"/>
      <c r="AE51" s="184"/>
      <c r="AF51" s="184"/>
      <c r="AG51" s="184"/>
      <c r="AH51" s="184"/>
      <c r="AI51" s="184"/>
      <c r="AJ51" s="117"/>
      <c r="AK51" s="117"/>
      <c r="AL51" s="117"/>
      <c r="AM51" s="117"/>
      <c r="AN51" s="117"/>
      <c r="AO51" s="117"/>
      <c r="AP51" s="117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1"/>
      <c r="O52" s="111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1"/>
      <c r="O53" s="111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1"/>
      <c r="O54" s="111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1"/>
      <c r="O55" s="111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9"/>
      <c r="O56" s="109"/>
      <c r="P56" s="107">
        <f>SUM(CK115:CQ115)</f>
        <v>36200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5"/>
      <c r="O60" s="115"/>
      <c r="P60" s="115"/>
      <c r="Q60" s="115"/>
      <c r="R60" s="113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"/>
      <c r="AR60" s="109"/>
      <c r="AS60" s="109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58</v>
      </c>
      <c r="FC100" s="59" t="s">
        <v>59</v>
      </c>
      <c r="FD100" s="59" t="s">
        <v>60</v>
      </c>
      <c r="FE100" s="59" t="s">
        <v>61</v>
      </c>
      <c r="FF100" s="59" t="s">
        <v>14</v>
      </c>
      <c r="FG100" s="59" t="s">
        <v>14</v>
      </c>
      <c r="FH100" s="59" t="s">
        <v>62</v>
      </c>
      <c r="FI100" s="59" t="s">
        <v>63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東京ビッグサイト展示会</v>
      </c>
      <c r="FE101" s="61">
        <f>T26</f>
        <v>0</v>
      </c>
      <c r="FF101" s="61">
        <f>X26</f>
        <v>0</v>
      </c>
      <c r="FG101" s="61">
        <f>AA26</f>
        <v>0</v>
      </c>
      <c r="FH101" s="61">
        <f>AF26</f>
        <v>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56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　溶接テスト用材料費　アルミ　ステンレス　鉄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35000</v>
      </c>
      <c r="FH102" s="61">
        <f t="shared" ref="FH102:FH112" si="6">AF27</f>
        <v>35000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48</v>
      </c>
      <c r="CF103" s="1"/>
      <c r="CG103" s="1"/>
      <c r="CH103" s="1"/>
      <c r="CI103" s="87" t="s">
        <v>13</v>
      </c>
      <c r="CJ103" s="112"/>
      <c r="CK103" s="112"/>
      <c r="CL103" s="112"/>
      <c r="CM103" s="112"/>
      <c r="CN103" s="112"/>
      <c r="CO103" s="112"/>
      <c r="CP103" s="112"/>
      <c r="CQ103" s="88"/>
      <c r="CR103" s="1"/>
      <c r="CS103" s="26" t="s">
        <v>14</v>
      </c>
      <c r="CT103" s="14"/>
      <c r="CU103" s="15"/>
      <c r="CV103" s="15"/>
      <c r="CW103" s="106" t="s">
        <v>10</v>
      </c>
      <c r="CX103" s="106"/>
      <c r="CY103" s="106"/>
      <c r="CZ103" s="15"/>
      <c r="DA103" s="16"/>
      <c r="DB103" s="16"/>
      <c r="DC103" s="16"/>
      <c r="DD103" s="35" t="s">
        <v>47</v>
      </c>
      <c r="DE103" s="36"/>
      <c r="DF103" s="36"/>
      <c r="DG103" s="36"/>
      <c r="DH103" s="36"/>
      <c r="DI103" s="36"/>
      <c r="DJ103" s="37"/>
      <c r="DK103" s="15"/>
      <c r="DL103" s="1"/>
      <c r="DM103" s="108" t="s">
        <v>54</v>
      </c>
      <c r="DN103" s="108"/>
      <c r="DO103" s="108"/>
      <c r="DP103" s="108"/>
      <c r="DQ103" s="108"/>
      <c r="DR103" s="10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57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　送料　事前送付</v>
      </c>
      <c r="FE103" s="61">
        <f t="shared" si="3"/>
        <v>0</v>
      </c>
      <c r="FF103" s="61" t="str">
        <f t="shared" si="4"/>
        <v>一式</v>
      </c>
      <c r="FG103" s="61">
        <f t="shared" si="5"/>
        <v>1200</v>
      </c>
      <c r="FH103" s="61">
        <f t="shared" si="6"/>
        <v>1200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99">
        <v>0</v>
      </c>
      <c r="CJ104" s="99"/>
      <c r="CK104" s="98">
        <f>AA38</f>
        <v>36200</v>
      </c>
      <c r="CL104" s="98"/>
      <c r="CM104" s="98"/>
      <c r="CN104" s="98"/>
      <c r="CO104" s="98"/>
      <c r="CP104" s="98"/>
      <c r="CQ104" s="98"/>
      <c r="CR104" s="1"/>
      <c r="CS104" s="17" t="s">
        <v>15</v>
      </c>
      <c r="CT104" s="18"/>
      <c r="CU104" s="15"/>
      <c r="CV104" s="15"/>
      <c r="CW104" s="100">
        <v>5</v>
      </c>
      <c r="CX104" s="101"/>
      <c r="CY104" s="19" t="s">
        <v>16</v>
      </c>
      <c r="CZ104" s="15"/>
      <c r="DA104" s="15"/>
      <c r="DB104" s="15"/>
      <c r="DC104" s="15"/>
      <c r="DD104" s="38" t="s">
        <v>42</v>
      </c>
      <c r="DE104" s="39"/>
      <c r="DF104" s="39"/>
      <c r="DG104" s="39"/>
      <c r="DH104" s="39"/>
      <c r="DI104" s="39"/>
      <c r="DJ104" s="22"/>
      <c r="DK104" s="15"/>
      <c r="DL104" s="1"/>
      <c r="DM104" s="103" t="s">
        <v>55</v>
      </c>
      <c r="DN104" s="104"/>
      <c r="DO104" s="104"/>
      <c r="DP104" s="104"/>
      <c r="DQ104" s="104"/>
      <c r="DR104" s="105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>
        <f>B29</f>
        <v>0</v>
      </c>
      <c r="FE104" s="61">
        <f t="shared" si="3"/>
        <v>0</v>
      </c>
      <c r="FF104" s="61">
        <f t="shared" si="4"/>
        <v>0</v>
      </c>
      <c r="FG104" s="61">
        <f t="shared" si="5"/>
        <v>0</v>
      </c>
      <c r="FH104" s="61">
        <f t="shared" si="6"/>
        <v>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99">
        <v>1</v>
      </c>
      <c r="CJ105" s="99"/>
      <c r="CK105" s="98">
        <f>IF(ISERROR([1]本体装備品一覧!AB30),0,[1]本体装備品一覧!AB30)</f>
        <v>0</v>
      </c>
      <c r="CL105" s="98"/>
      <c r="CM105" s="98"/>
      <c r="CN105" s="98"/>
      <c r="CO105" s="98"/>
      <c r="CP105" s="98"/>
      <c r="CQ105" s="98"/>
      <c r="CR105" s="1"/>
      <c r="CS105" s="17" t="s">
        <v>17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43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99">
        <v>2</v>
      </c>
      <c r="CJ106" s="99"/>
      <c r="CK106" s="98">
        <f>IF(ISERROR(#REF!),0,#REF!)</f>
        <v>0</v>
      </c>
      <c r="CL106" s="98"/>
      <c r="CM106" s="98"/>
      <c r="CN106" s="98"/>
      <c r="CO106" s="98"/>
      <c r="CP106" s="98"/>
      <c r="CQ106" s="98"/>
      <c r="CR106" s="1"/>
      <c r="CS106" s="20" t="s">
        <v>18</v>
      </c>
      <c r="CT106" s="21"/>
      <c r="CU106" s="15"/>
      <c r="CV106" s="106" t="s">
        <v>19</v>
      </c>
      <c r="CW106" s="106"/>
      <c r="CX106" s="106"/>
      <c r="CY106" s="106"/>
      <c r="CZ106" s="106"/>
      <c r="DA106" s="15"/>
      <c r="DB106" s="15"/>
      <c r="DC106" s="15"/>
      <c r="DD106" s="38" t="s">
        <v>44</v>
      </c>
      <c r="DE106" s="39"/>
      <c r="DF106" s="39"/>
      <c r="DG106" s="39"/>
      <c r="DH106" s="39"/>
      <c r="DI106" s="39"/>
      <c r="DJ106" s="22"/>
      <c r="DK106" s="15"/>
      <c r="DL106" s="1"/>
      <c r="DM106" s="108" t="s">
        <v>65</v>
      </c>
      <c r="DN106" s="108"/>
      <c r="DO106" s="108"/>
      <c r="DP106" s="108"/>
      <c r="DQ106" s="108"/>
      <c r="DR106" s="10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>
        <f t="shared" si="4"/>
        <v>0</v>
      </c>
      <c r="FG106" s="61">
        <f t="shared" si="5"/>
        <v>0</v>
      </c>
      <c r="FH106" s="61">
        <f t="shared" si="6"/>
        <v>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99">
        <v>3</v>
      </c>
      <c r="CJ107" s="99"/>
      <c r="CK107" s="98">
        <f>IF(ISERROR(#REF!),0,#REF!)</f>
        <v>0</v>
      </c>
      <c r="CL107" s="98"/>
      <c r="CM107" s="98"/>
      <c r="CN107" s="98"/>
      <c r="CO107" s="98"/>
      <c r="CP107" s="98"/>
      <c r="CQ107" s="98"/>
      <c r="CR107" s="1"/>
      <c r="CS107" s="17" t="s">
        <v>20</v>
      </c>
      <c r="CT107" s="18"/>
      <c r="CU107" s="15"/>
      <c r="CV107" s="27" t="s">
        <v>21</v>
      </c>
      <c r="CW107" s="100">
        <v>100</v>
      </c>
      <c r="CX107" s="100"/>
      <c r="CY107" s="101"/>
      <c r="CZ107" s="22" t="s">
        <v>16</v>
      </c>
      <c r="DA107" s="15"/>
      <c r="DB107" s="15"/>
      <c r="DC107" s="15"/>
      <c r="DD107" s="38" t="s">
        <v>45</v>
      </c>
      <c r="DE107" s="39"/>
      <c r="DF107" s="39"/>
      <c r="DG107" s="39"/>
      <c r="DH107" s="39"/>
      <c r="DI107" s="39"/>
      <c r="DJ107" s="22"/>
      <c r="DK107" s="15"/>
      <c r="DL107" s="1"/>
      <c r="DM107" s="89" t="s">
        <v>73</v>
      </c>
      <c r="DN107" s="90"/>
      <c r="DO107" s="90"/>
      <c r="DP107" s="90"/>
      <c r="DQ107" s="90"/>
      <c r="DR107" s="9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49</v>
      </c>
      <c r="CF108" s="1"/>
      <c r="CG108" s="1"/>
      <c r="CH108" s="1"/>
      <c r="CI108" s="99">
        <v>4</v>
      </c>
      <c r="CJ108" s="99"/>
      <c r="CK108" s="98"/>
      <c r="CL108" s="98"/>
      <c r="CM108" s="98"/>
      <c r="CN108" s="98"/>
      <c r="CO108" s="98"/>
      <c r="CP108" s="98"/>
      <c r="CQ108" s="98"/>
      <c r="CR108" s="1"/>
      <c r="CS108" s="17" t="s">
        <v>22</v>
      </c>
      <c r="CT108" s="18"/>
      <c r="CU108" s="15"/>
      <c r="CV108" s="27" t="s">
        <v>23</v>
      </c>
      <c r="CW108" s="100">
        <v>80</v>
      </c>
      <c r="CX108" s="100"/>
      <c r="CY108" s="101"/>
      <c r="CZ108" s="22" t="s">
        <v>16</v>
      </c>
      <c r="DA108" s="15"/>
      <c r="DB108" s="15"/>
      <c r="DC108" s="15"/>
      <c r="DD108" s="38" t="s">
        <v>46</v>
      </c>
      <c r="DE108" s="39"/>
      <c r="DF108" s="39"/>
      <c r="DG108" s="39"/>
      <c r="DH108" s="39"/>
      <c r="DI108" s="39"/>
      <c r="DJ108" s="22"/>
      <c r="DK108" s="15"/>
      <c r="DL108" s="1"/>
      <c r="DM108" s="103" t="s">
        <v>66</v>
      </c>
      <c r="DN108" s="104"/>
      <c r="DO108" s="104"/>
      <c r="DP108" s="104"/>
      <c r="DQ108" s="104"/>
      <c r="DR108" s="105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>
        <f>B31</f>
        <v>0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99">
        <v>5</v>
      </c>
      <c r="CJ109" s="99"/>
      <c r="CK109" s="98"/>
      <c r="CL109" s="98"/>
      <c r="CM109" s="98"/>
      <c r="CN109" s="98"/>
      <c r="CO109" s="98"/>
      <c r="CP109" s="98"/>
      <c r="CQ109" s="98"/>
      <c r="CR109" s="1"/>
      <c r="CS109" s="20" t="s">
        <v>24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3" t="s">
        <v>67</v>
      </c>
      <c r="DN109" s="104"/>
      <c r="DO109" s="104"/>
      <c r="DP109" s="104"/>
      <c r="DQ109" s="104"/>
      <c r="DR109" s="105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50</v>
      </c>
      <c r="CF110" s="1"/>
      <c r="CG110" s="1"/>
      <c r="CH110" s="1"/>
      <c r="CI110" s="99">
        <v>6</v>
      </c>
      <c r="CJ110" s="99"/>
      <c r="CK110" s="98"/>
      <c r="CL110" s="98"/>
      <c r="CM110" s="98"/>
      <c r="CN110" s="98"/>
      <c r="CO110" s="98"/>
      <c r="CP110" s="98"/>
      <c r="CQ110" s="98"/>
      <c r="CR110" s="1"/>
      <c r="CS110" s="20" t="s">
        <v>25</v>
      </c>
      <c r="CT110" s="20"/>
      <c r="CU110" s="15"/>
      <c r="CV110" s="102" t="s">
        <v>26</v>
      </c>
      <c r="CW110" s="102"/>
      <c r="CX110" s="102"/>
      <c r="CY110" s="102"/>
      <c r="CZ110" s="102"/>
      <c r="DA110" s="102"/>
      <c r="DB110" s="102"/>
      <c r="DC110" s="102"/>
      <c r="DD110" s="102"/>
      <c r="DE110" s="106" t="s">
        <v>27</v>
      </c>
      <c r="DF110" s="106"/>
      <c r="DG110" s="106"/>
      <c r="DH110" s="106"/>
      <c r="DI110" s="106"/>
      <c r="DJ110" s="106"/>
      <c r="DK110" s="106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>
        <f t="shared" si="2"/>
        <v>0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51</v>
      </c>
      <c r="CF111" s="1"/>
      <c r="CG111" s="1"/>
      <c r="CH111" s="1"/>
      <c r="CI111" s="99">
        <v>7</v>
      </c>
      <c r="CJ111" s="99"/>
      <c r="CK111" s="98"/>
      <c r="CL111" s="98"/>
      <c r="CM111" s="98"/>
      <c r="CN111" s="98"/>
      <c r="CO111" s="98"/>
      <c r="CP111" s="98"/>
      <c r="CQ111" s="98"/>
      <c r="CR111" s="1"/>
      <c r="CS111" s="17" t="s">
        <v>28</v>
      </c>
      <c r="CT111" s="18"/>
      <c r="CU111" s="15"/>
      <c r="CV111" s="27" t="s">
        <v>21</v>
      </c>
      <c r="CW111" s="96" t="s">
        <v>69</v>
      </c>
      <c r="CX111" s="96"/>
      <c r="CY111" s="96"/>
      <c r="CZ111" s="96"/>
      <c r="DA111" s="96"/>
      <c r="DB111" s="96"/>
      <c r="DC111" s="96"/>
      <c r="DD111" s="96"/>
      <c r="DE111" s="96" t="s">
        <v>29</v>
      </c>
      <c r="DF111" s="96"/>
      <c r="DG111" s="96"/>
      <c r="DH111" s="96"/>
      <c r="DI111" s="96"/>
      <c r="DJ111" s="96"/>
      <c r="DK111" s="96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99">
        <v>8</v>
      </c>
      <c r="CJ112" s="99"/>
      <c r="CK112" s="98"/>
      <c r="CL112" s="98"/>
      <c r="CM112" s="98"/>
      <c r="CN112" s="98"/>
      <c r="CO112" s="98"/>
      <c r="CP112" s="98"/>
      <c r="CQ112" s="98"/>
      <c r="CR112" s="1"/>
      <c r="CS112" s="17" t="s">
        <v>30</v>
      </c>
      <c r="CT112" s="18"/>
      <c r="CU112" s="15"/>
      <c r="CV112" s="27" t="s">
        <v>23</v>
      </c>
      <c r="CW112" s="96" t="s">
        <v>77</v>
      </c>
      <c r="CX112" s="96"/>
      <c r="CY112" s="96"/>
      <c r="CZ112" s="96"/>
      <c r="DA112" s="96"/>
      <c r="DB112" s="96"/>
      <c r="DC112" s="96"/>
      <c r="DD112" s="96"/>
      <c r="DE112" s="96" t="s">
        <v>78</v>
      </c>
      <c r="DF112" s="96"/>
      <c r="DG112" s="96"/>
      <c r="DH112" s="96"/>
      <c r="DI112" s="96"/>
      <c r="DJ112" s="96"/>
      <c r="DK112" s="96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99">
        <v>9</v>
      </c>
      <c r="CJ113" s="99"/>
      <c r="CK113" s="98"/>
      <c r="CL113" s="98"/>
      <c r="CM113" s="98"/>
      <c r="CN113" s="98"/>
      <c r="CO113" s="98"/>
      <c r="CP113" s="98"/>
      <c r="CQ113" s="98"/>
      <c r="CR113" s="1"/>
      <c r="CS113" s="17" t="s">
        <v>31</v>
      </c>
      <c r="CT113" s="18"/>
      <c r="CU113" s="15"/>
      <c r="CV113" s="27" t="s">
        <v>32</v>
      </c>
      <c r="CW113" s="96" t="s">
        <v>80</v>
      </c>
      <c r="CX113" s="96"/>
      <c r="CY113" s="96"/>
      <c r="CZ113" s="96"/>
      <c r="DA113" s="96"/>
      <c r="DB113" s="96"/>
      <c r="DC113" s="96"/>
      <c r="DD113" s="96"/>
      <c r="DE113" s="96" t="s">
        <v>79</v>
      </c>
      <c r="DF113" s="96"/>
      <c r="DG113" s="96"/>
      <c r="DH113" s="96"/>
      <c r="DI113" s="96"/>
      <c r="DJ113" s="96"/>
      <c r="DK113" s="96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>
        <f>[1]本体装備品一覧!$C$7</f>
        <v>0</v>
      </c>
      <c r="FE113" s="61">
        <f>[1]本体装備品一覧!$U$7</f>
        <v>0</v>
      </c>
      <c r="FF113" s="61">
        <f>[1]本体装備品一覧!$Y$7</f>
        <v>0</v>
      </c>
      <c r="FG113" s="61">
        <f>[1]本体装備品一覧!$AB$7</f>
        <v>0</v>
      </c>
      <c r="FH113" s="61">
        <f>[1]本体装備品一覧!$AG$7</f>
        <v>0</v>
      </c>
      <c r="FI113" s="61">
        <f>[1]本体装備品一覧!$AN$7</f>
        <v>0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99">
        <v>10</v>
      </c>
      <c r="CJ114" s="99"/>
      <c r="CK114" s="98"/>
      <c r="CL114" s="98"/>
      <c r="CM114" s="98"/>
      <c r="CN114" s="98"/>
      <c r="CO114" s="98"/>
      <c r="CP114" s="98"/>
      <c r="CQ114" s="98"/>
      <c r="CR114" s="1"/>
      <c r="CS114" s="20" t="s">
        <v>33</v>
      </c>
      <c r="CT114" s="21"/>
      <c r="CU114" s="15"/>
      <c r="CV114" s="27" t="s">
        <v>34</v>
      </c>
      <c r="CW114" s="96" t="s">
        <v>70</v>
      </c>
      <c r="CX114" s="96"/>
      <c r="CY114" s="96"/>
      <c r="CZ114" s="96"/>
      <c r="DA114" s="96"/>
      <c r="DB114" s="96"/>
      <c r="DC114" s="96"/>
      <c r="DD114" s="96"/>
      <c r="DE114" s="96" t="s">
        <v>35</v>
      </c>
      <c r="DF114" s="96"/>
      <c r="DG114" s="96"/>
      <c r="DH114" s="96"/>
      <c r="DI114" s="96"/>
      <c r="DJ114" s="96"/>
      <c r="DK114" s="96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>
        <f>[1]本体装備品一覧!$C$8</f>
        <v>0</v>
      </c>
      <c r="FE114" s="61">
        <f>[1]本体装備品一覧!$U$8</f>
        <v>0</v>
      </c>
      <c r="FF114" s="61">
        <f>[1]本体装備品一覧!$Y$8</f>
        <v>0</v>
      </c>
      <c r="FG114" s="61">
        <f>[1]本体装備品一覧!$AB$8</f>
        <v>0</v>
      </c>
      <c r="FH114" s="61">
        <f>[1]本体装備品一覧!$AG$8</f>
        <v>0</v>
      </c>
      <c r="FI114" s="61">
        <f>[1]本体装備品一覧!$AN$8</f>
        <v>0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7" t="s">
        <v>36</v>
      </c>
      <c r="CJ115" s="97"/>
      <c r="CK115" s="98">
        <f>SUM(CK104:CQ114)</f>
        <v>36200</v>
      </c>
      <c r="CL115" s="98"/>
      <c r="CM115" s="98"/>
      <c r="CN115" s="98"/>
      <c r="CO115" s="98"/>
      <c r="CP115" s="98"/>
      <c r="CQ115" s="98"/>
      <c r="CR115" s="1"/>
      <c r="CS115" s="17" t="s">
        <v>41</v>
      </c>
      <c r="CT115" s="18"/>
      <c r="CU115" s="15"/>
      <c r="CV115" s="27" t="s">
        <v>37</v>
      </c>
      <c r="CW115" s="96" t="s">
        <v>71</v>
      </c>
      <c r="CX115" s="96"/>
      <c r="CY115" s="96"/>
      <c r="CZ115" s="96"/>
      <c r="DA115" s="96"/>
      <c r="DB115" s="96"/>
      <c r="DC115" s="96"/>
      <c r="DD115" s="96"/>
      <c r="DE115" s="96" t="s">
        <v>38</v>
      </c>
      <c r="DF115" s="96"/>
      <c r="DG115" s="96"/>
      <c r="DH115" s="96"/>
      <c r="DI115" s="96"/>
      <c r="DJ115" s="96"/>
      <c r="DK115" s="96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>
        <f>[1]本体装備品一覧!$C$9</f>
        <v>0</v>
      </c>
      <c r="FE115" s="61">
        <f>[1]本体装備品一覧!$U$9</f>
        <v>0</v>
      </c>
      <c r="FF115" s="61">
        <f>[1]本体装備品一覧!$Y$9</f>
        <v>0</v>
      </c>
      <c r="FG115" s="61">
        <f>[1]本体装備品一覧!$AB$9</f>
        <v>0</v>
      </c>
      <c r="FH115" s="61">
        <f>[1]本体装備品一覧!$AG$9</f>
        <v>0</v>
      </c>
      <c r="FI115" s="61">
        <f>[1]本体装備品一覧!$AN$9</f>
        <v>0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>
        <f>[1]本体装備品一覧!$C$10</f>
        <v>0</v>
      </c>
      <c r="FE116" s="61">
        <f>[1]本体装備品一覧!$U$10</f>
        <v>0</v>
      </c>
      <c r="FF116" s="61">
        <f>[1]本体装備品一覧!$Y$10</f>
        <v>0</v>
      </c>
      <c r="FG116" s="61">
        <f>[1]本体装備品一覧!$AB$10</f>
        <v>0</v>
      </c>
      <c r="FH116" s="61">
        <f>[1]本体装備品一覧!$AG$10</f>
        <v>0</v>
      </c>
      <c r="FI116" s="61">
        <f>[1]本体装備品一覧!$AN$10</f>
        <v>0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>
        <f>[1]本体装備品一覧!$C$11</f>
        <v>0</v>
      </c>
      <c r="FE117" s="61">
        <f>[1]本体装備品一覧!$U$11</f>
        <v>0</v>
      </c>
      <c r="FF117" s="61">
        <f>[1]本体装備品一覧!$Y$11</f>
        <v>0</v>
      </c>
      <c r="FG117" s="61">
        <f>[1]本体装備品一覧!$AB$11</f>
        <v>0</v>
      </c>
      <c r="FH117" s="61">
        <f>[1]本体装備品一覧!$AG$11</f>
        <v>0</v>
      </c>
      <c r="FI117" s="61">
        <f>[1]本体装備品一覧!$AN$11</f>
        <v>0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>
        <f>[1]本体装備品一覧!$C$12</f>
        <v>0</v>
      </c>
      <c r="FE118" s="61">
        <f>[1]本体装備品一覧!$U$12</f>
        <v>0</v>
      </c>
      <c r="FF118" s="61">
        <f>[1]本体装備品一覧!$Y$12</f>
        <v>0</v>
      </c>
      <c r="FG118" s="61">
        <f>[1]本体装備品一覧!$AB$12</f>
        <v>0</v>
      </c>
      <c r="FH118" s="61">
        <f>[1]本体装備品一覧!$AG$12</f>
        <v>0</v>
      </c>
      <c r="FI118" s="61">
        <f>[1]本体装備品一覧!$AN$12</f>
        <v>0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93" t="s">
        <v>39</v>
      </c>
      <c r="CJ119" s="93"/>
      <c r="CK119" s="93"/>
      <c r="CL119" s="93"/>
      <c r="CM119" s="94" t="s">
        <v>81</v>
      </c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  <c r="DC119" s="95"/>
      <c r="DD119" s="95"/>
      <c r="DE119" s="95"/>
      <c r="DF119" s="95"/>
      <c r="DG119" s="95"/>
      <c r="DH119" s="95"/>
      <c r="DI119" s="95"/>
      <c r="DJ119" s="95"/>
      <c r="DK119" s="95"/>
      <c r="DL119" s="1"/>
      <c r="DM119" s="87" t="s">
        <v>40</v>
      </c>
      <c r="DN119" s="88"/>
      <c r="DO119" s="89" t="s">
        <v>74</v>
      </c>
      <c r="DP119" s="90"/>
      <c r="DQ119" s="90"/>
      <c r="DR119" s="90"/>
      <c r="DS119" s="90"/>
      <c r="DT119" s="90"/>
      <c r="DU119" s="9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>
        <f>[1]本体装備品一覧!$C$13</f>
        <v>0</v>
      </c>
      <c r="FE119" s="61">
        <f>[1]本体装備品一覧!$U$13</f>
        <v>0</v>
      </c>
      <c r="FF119" s="61">
        <f>[1]本体装備品一覧!$Y$13</f>
        <v>0</v>
      </c>
      <c r="FG119" s="61">
        <f>[1]本体装備品一覧!$AB$13</f>
        <v>0</v>
      </c>
      <c r="FH119" s="61">
        <f>[1]本体装備品一覧!$AG$13</f>
        <v>0</v>
      </c>
      <c r="FI119" s="61">
        <f>[1]本体装備品一覧!$AN$13</f>
        <v>0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93" t="s">
        <v>68</v>
      </c>
      <c r="CJ120" s="93"/>
      <c r="CK120" s="93"/>
      <c r="CL120" s="93"/>
      <c r="CM120" s="94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  <c r="DA120" s="95"/>
      <c r="DB120" s="95"/>
      <c r="DC120" s="95"/>
      <c r="DD120" s="95"/>
      <c r="DE120" s="95"/>
      <c r="DF120" s="95"/>
      <c r="DG120" s="95"/>
      <c r="DH120" s="95"/>
      <c r="DI120" s="95"/>
      <c r="DJ120" s="95"/>
      <c r="DK120" s="95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>
        <f>[1]本体装備品一覧!$C$14</f>
        <v>0</v>
      </c>
      <c r="FE120" s="61">
        <f>[1]本体装備品一覧!$U$14</f>
        <v>0</v>
      </c>
      <c r="FF120" s="61">
        <f>[1]本体装備品一覧!$Y$14</f>
        <v>0</v>
      </c>
      <c r="FG120" s="61">
        <f>[1]本体装備品一覧!$AB$14</f>
        <v>0</v>
      </c>
      <c r="FH120" s="61">
        <f>[1]本体装備品一覧!$AG$14</f>
        <v>0</v>
      </c>
      <c r="FI120" s="61">
        <f>[1]本体装備品一覧!$AN$14</f>
        <v>0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>
        <f>[1]本体装備品一覧!$C$15</f>
        <v>0</v>
      </c>
      <c r="FE121" s="61">
        <f>[1]本体装備品一覧!$U$15</f>
        <v>0</v>
      </c>
      <c r="FF121" s="61">
        <f>[1]本体装備品一覧!$Y$15</f>
        <v>0</v>
      </c>
      <c r="FG121" s="61">
        <f>[1]本体装備品一覧!$AB$15</f>
        <v>0</v>
      </c>
      <c r="FH121" s="61">
        <f>[1]本体装備品一覧!$AG$15</f>
        <v>0</v>
      </c>
      <c r="FI121" s="61">
        <f>[1]本体装備品一覧!$AN$15</f>
        <v>0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>
        <f>[1]本体装備品一覧!$C$16</f>
        <v>0</v>
      </c>
      <c r="FE122" s="61">
        <f>[1]本体装備品一覧!$U$16</f>
        <v>0</v>
      </c>
      <c r="FF122" s="61">
        <f>[1]本体装備品一覧!$Y$16</f>
        <v>0</v>
      </c>
      <c r="FG122" s="61">
        <f>[1]本体装備品一覧!$AB$16</f>
        <v>0</v>
      </c>
      <c r="FH122" s="61">
        <f>[1]本体装備品一覧!$AG$16</f>
        <v>0</v>
      </c>
      <c r="FI122" s="61">
        <f>[1]本体装備品一覧!$AN$16</f>
        <v>0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>
        <f>[1]本体装備品一覧!$C$17</f>
        <v>0</v>
      </c>
      <c r="FE123" s="61">
        <f>[1]本体装備品一覧!$U$17</f>
        <v>0</v>
      </c>
      <c r="FF123" s="61">
        <f>[1]本体装備品一覧!$Y$17</f>
        <v>0</v>
      </c>
      <c r="FG123" s="61">
        <f>[1]本体装備品一覧!$AB$17</f>
        <v>0</v>
      </c>
      <c r="FH123" s="61">
        <f>[1]本体装備品一覧!$AG$17</f>
        <v>0</v>
      </c>
      <c r="FI123" s="61">
        <f>[1]本体装備品一覧!$AN$17</f>
        <v>0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>
        <f>[1]本体装備品一覧!$C$18</f>
        <v>0</v>
      </c>
      <c r="FE124" s="61">
        <f>[1]本体装備品一覧!$U$18</f>
        <v>0</v>
      </c>
      <c r="FF124" s="61">
        <f>[1]本体装備品一覧!$Y$18</f>
        <v>0</v>
      </c>
      <c r="FG124" s="61">
        <f>[1]本体装備品一覧!$AB$18</f>
        <v>0</v>
      </c>
      <c r="FH124" s="61">
        <f>[1]本体装備品一覧!$AG$18</f>
        <v>0</v>
      </c>
      <c r="FI124" s="61">
        <f>[1]本体装備品一覧!$AN$18</f>
        <v>0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>
        <f>[1]本体装備品一覧!$C$19</f>
        <v>0</v>
      </c>
      <c r="FE125" s="61">
        <f>[1]本体装備品一覧!$U$19</f>
        <v>0</v>
      </c>
      <c r="FF125" s="61">
        <f>[1]本体装備品一覧!$Y$19</f>
        <v>0</v>
      </c>
      <c r="FG125" s="61">
        <f>[1]本体装備品一覧!$AB$19</f>
        <v>0</v>
      </c>
      <c r="FH125" s="61">
        <f>[1]本体装備品一覧!$AG$19</f>
        <v>0</v>
      </c>
      <c r="FI125" s="61">
        <f>[1]本体装備品一覧!$AN$19</f>
        <v>0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>
        <f>[1]本体装備品一覧!$C$20</f>
        <v>0</v>
      </c>
      <c r="FE126" s="61">
        <f>[1]本体装備品一覧!$U$20</f>
        <v>0</v>
      </c>
      <c r="FF126" s="61">
        <f>[1]本体装備品一覧!$Y$20</f>
        <v>0</v>
      </c>
      <c r="FG126" s="61">
        <f>[1]本体装備品一覧!$AB$20</f>
        <v>0</v>
      </c>
      <c r="FH126" s="61">
        <f>[1]本体装備品一覧!$AG$20</f>
        <v>0</v>
      </c>
      <c r="FI126" s="61">
        <f>[1]本体装備品一覧!$AN$20</f>
        <v>0</v>
      </c>
    </row>
    <row r="127" spans="79:165" ht="15" customHeight="1" x14ac:dyDescent="0.15">
      <c r="FB127" s="60">
        <v>1</v>
      </c>
      <c r="FC127" s="61">
        <v>15</v>
      </c>
      <c r="FD127" s="61">
        <f>[1]本体装備品一覧!$C$21</f>
        <v>0</v>
      </c>
      <c r="FE127" s="61">
        <f>[1]本体装備品一覧!$U$21</f>
        <v>0</v>
      </c>
      <c r="FF127" s="61">
        <f>[1]本体装備品一覧!$Y$21</f>
        <v>0</v>
      </c>
      <c r="FG127" s="61">
        <f>[1]本体装備品一覧!$AB$21</f>
        <v>0</v>
      </c>
      <c r="FH127" s="61">
        <f>[1]本体装備品一覧!$AG$21</f>
        <v>0</v>
      </c>
      <c r="FI127" s="61">
        <f>[1]本体装備品一覧!$AN$21</f>
        <v>0</v>
      </c>
    </row>
    <row r="128" spans="79:165" ht="15" customHeight="1" x14ac:dyDescent="0.15">
      <c r="FB128" s="60">
        <v>1</v>
      </c>
      <c r="FC128" s="61">
        <v>16</v>
      </c>
      <c r="FD128" s="61">
        <f>[1]本体装備品一覧!$C$22</f>
        <v>0</v>
      </c>
      <c r="FE128" s="61">
        <f>[1]本体装備品一覧!$U$22</f>
        <v>0</v>
      </c>
      <c r="FF128" s="61">
        <f>[1]本体装備品一覧!$Y$22</f>
        <v>0</v>
      </c>
      <c r="FG128" s="61">
        <f>[1]本体装備品一覧!$AB$22</f>
        <v>0</v>
      </c>
      <c r="FH128" s="61">
        <f>[1]本体装備品一覧!$AG$22</f>
        <v>0</v>
      </c>
      <c r="FI128" s="61">
        <f>[1]本体装備品一覧!$AN$22</f>
        <v>0</v>
      </c>
    </row>
    <row r="129" spans="91:165" ht="15" customHeight="1" x14ac:dyDescent="0.15">
      <c r="FB129" s="60">
        <v>1</v>
      </c>
      <c r="FC129" s="61">
        <v>17</v>
      </c>
      <c r="FD129" s="61">
        <f>[1]本体装備品一覧!$C$23</f>
        <v>0</v>
      </c>
      <c r="FE129" s="61">
        <f>[1]本体装備品一覧!$U$23</f>
        <v>0</v>
      </c>
      <c r="FF129" s="61">
        <f>[1]本体装備品一覧!$Y$23</f>
        <v>0</v>
      </c>
      <c r="FG129" s="61">
        <f>[1]本体装備品一覧!$AB$23</f>
        <v>0</v>
      </c>
      <c r="FH129" s="61">
        <f>[1]本体装備品一覧!$AG$23</f>
        <v>0</v>
      </c>
      <c r="FI129" s="61">
        <f>[1]本体装備品一覧!$AN$23</f>
        <v>0</v>
      </c>
    </row>
    <row r="130" spans="91:165" ht="15" customHeight="1" x14ac:dyDescent="0.15">
      <c r="CM130" s="66"/>
      <c r="FB130" s="60">
        <v>1</v>
      </c>
      <c r="FC130" s="61">
        <v>18</v>
      </c>
      <c r="FD130" s="61">
        <f>[1]本体装備品一覧!$C$24</f>
        <v>0</v>
      </c>
      <c r="FE130" s="61">
        <f>[1]本体装備品一覧!$U$24</f>
        <v>0</v>
      </c>
      <c r="FF130" s="61">
        <f>[1]本体装備品一覧!$Y$24</f>
        <v>0</v>
      </c>
      <c r="FG130" s="61">
        <f>[1]本体装備品一覧!$AB$24</f>
        <v>0</v>
      </c>
      <c r="FH130" s="61">
        <f>[1]本体装備品一覧!$AG$24</f>
        <v>0</v>
      </c>
      <c r="FI130" s="61">
        <f>[1]本体装備品一覧!$AN$24</f>
        <v>0</v>
      </c>
    </row>
    <row r="131" spans="91:165" ht="15" customHeight="1" x14ac:dyDescent="0.15">
      <c r="FB131" s="60">
        <v>1</v>
      </c>
      <c r="FC131" s="61">
        <v>19</v>
      </c>
      <c r="FD131" s="61">
        <f>[1]本体装備品一覧!$C$25</f>
        <v>0</v>
      </c>
      <c r="FE131" s="61">
        <f>[1]本体装備品一覧!$U$25</f>
        <v>0</v>
      </c>
      <c r="FF131" s="61">
        <f>[1]本体装備品一覧!$Y$25</f>
        <v>0</v>
      </c>
      <c r="FG131" s="61">
        <f>[1]本体装備品一覧!$AB$25</f>
        <v>0</v>
      </c>
      <c r="FH131" s="61">
        <f>[1]本体装備品一覧!$AG$25</f>
        <v>0</v>
      </c>
      <c r="FI131" s="61">
        <f>[1]本体装備品一覧!$AN$25</f>
        <v>0</v>
      </c>
    </row>
    <row r="132" spans="91:165" ht="15" customHeight="1" x14ac:dyDescent="0.15">
      <c r="FB132" s="60">
        <v>1</v>
      </c>
      <c r="FC132" s="61">
        <v>20</v>
      </c>
      <c r="FD132" s="61">
        <f>[1]本体装備品一覧!$C$26</f>
        <v>0</v>
      </c>
      <c r="FE132" s="61">
        <f>[1]本体装備品一覧!$U$26</f>
        <v>0</v>
      </c>
      <c r="FF132" s="61">
        <f>[1]本体装備品一覧!$Y$26</f>
        <v>0</v>
      </c>
      <c r="FG132" s="61">
        <f>[1]本体装備品一覧!$AB$26</f>
        <v>0</v>
      </c>
      <c r="FH132" s="61">
        <f>[1]本体装備品一覧!$AG$26</f>
        <v>0</v>
      </c>
      <c r="FI132" s="61">
        <f>[1]本体装備品一覧!$AN$26</f>
        <v>0</v>
      </c>
    </row>
    <row r="133" spans="91:165" ht="15" customHeight="1" x14ac:dyDescent="0.15">
      <c r="FB133" s="60">
        <v>1</v>
      </c>
      <c r="FC133" s="61">
        <v>21</v>
      </c>
      <c r="FD133" s="61">
        <f>[1]本体装備品一覧!$C$27</f>
        <v>0</v>
      </c>
      <c r="FE133" s="61">
        <f>[1]本体装備品一覧!$U$27</f>
        <v>0</v>
      </c>
      <c r="FF133" s="61">
        <f>[1]本体装備品一覧!$Y$27</f>
        <v>0</v>
      </c>
      <c r="FG133" s="61">
        <f>[1]本体装備品一覧!$AB$27</f>
        <v>0</v>
      </c>
      <c r="FH133" s="61">
        <f>[1]本体装備品一覧!$AG$27</f>
        <v>0</v>
      </c>
      <c r="FI133" s="61">
        <f>[1]本体装備品一覧!$AN$27</f>
        <v>0</v>
      </c>
    </row>
    <row r="134" spans="91:165" ht="15" customHeight="1" x14ac:dyDescent="0.15">
      <c r="FB134" s="60">
        <v>1</v>
      </c>
      <c r="FC134" s="61">
        <v>22</v>
      </c>
      <c r="FD134" s="61">
        <f>[1]本体装備品一覧!$C$28</f>
        <v>0</v>
      </c>
      <c r="FE134" s="61">
        <f>[1]本体装備品一覧!$U$28</f>
        <v>0</v>
      </c>
      <c r="FF134" s="61">
        <f>[1]本体装備品一覧!$Y$28</f>
        <v>0</v>
      </c>
      <c r="FG134" s="61">
        <f>[1]本体装備品一覧!$AB$28</f>
        <v>0</v>
      </c>
      <c r="FH134" s="61">
        <f>[1]本体装備品一覧!$AG$28</f>
        <v>0</v>
      </c>
      <c r="FI134" s="61">
        <f>[1]本体装備品一覧!$AN$28</f>
        <v>0</v>
      </c>
    </row>
    <row r="135" spans="91:165" ht="15" customHeight="1" x14ac:dyDescent="0.15">
      <c r="FB135" s="60">
        <v>1</v>
      </c>
      <c r="FC135" s="61">
        <v>23</v>
      </c>
      <c r="FD135" s="61">
        <f>[1]本体装備品一覧!$C$29</f>
        <v>0</v>
      </c>
      <c r="FE135" s="61">
        <f>[1]本体装備品一覧!$U$29</f>
        <v>0</v>
      </c>
      <c r="FF135" s="61">
        <f>[1]本体装備品一覧!$Y$29</f>
        <v>0</v>
      </c>
      <c r="FG135" s="61">
        <f>[1]本体装備品一覧!$AB$29</f>
        <v>0</v>
      </c>
      <c r="FH135" s="61">
        <f>[1]本体装備品一覧!$AG$29</f>
        <v>0</v>
      </c>
      <c r="FI135" s="61">
        <f>[1]本体装備品一覧!$AN$29</f>
        <v>0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82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58</v>
      </c>
      <c r="FC400" s="59" t="s">
        <v>59</v>
      </c>
      <c r="FD400" s="59" t="s">
        <v>60</v>
      </c>
      <c r="FE400" s="59" t="s">
        <v>61</v>
      </c>
      <c r="FF400" s="59" t="s">
        <v>14</v>
      </c>
      <c r="FG400" s="59" t="s">
        <v>64</v>
      </c>
      <c r="FH400" s="59" t="s">
        <v>62</v>
      </c>
      <c r="FI400" s="59" t="s">
        <v>63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hiragana" allowBlank="1" showInputMessage="1" showErrorMessage="1" prompt="取引方法を入力_x000a_例：従来通り" sqref="I15:T15" xr:uid="{0D930F59-0DA3-47AA-B69B-E7D6F02F236C}"/>
    <dataValidation allowBlank="1" showInputMessage="1" showErrorMessage="1" promptTitle="明細書01の状態" prompt="明細書01が表示されているときは 0_x000a_明細書01が非表示のときは 1" sqref="CE107" xr:uid="{FB7E4B41-B1C1-44FA-A191-A006907F1E4B}"/>
    <dataValidation allowBlank="1" showInputMessage="1" showErrorMessage="1" promptTitle="シート数を入力" prompt="明細書が出ていない状態でシート枚数を表示" sqref="CE106" xr:uid="{1A174A35-8A31-458C-B4C1-52D1B17CAE51}"/>
    <dataValidation type="list" allowBlank="1" showInputMessage="1" showErrorMessage="1" sqref="DM104:DR104" xr:uid="{42D43D93-FF09-4A29-A218-F9D00A3D66C2}">
      <formula1>$EM$102:$EM$103</formula1>
    </dataValidation>
    <dataValidation type="list" allowBlank="1" showInputMessage="1" showErrorMessage="1" sqref="T7:V8" xr:uid="{5F054AD2-0844-455D-9CF4-CA6654EF63C9}">
      <formula1>$CE$109:$CE$111</formula1>
    </dataValidation>
    <dataValidation type="list" imeMode="hiragana" allowBlank="1" showInputMessage="1" showErrorMessage="1" prompt="ボタンを押し単位を入力" sqref="X26:Z37" xr:uid="{C1A7E92A-BFF0-4D3B-9702-CAEC3D27BF81}">
      <formula1>$CS$104:$CS$116</formula1>
    </dataValidation>
    <dataValidation type="list" allowBlank="1" showInputMessage="1" showErrorMessage="1" sqref="AA2:AJ3" xr:uid="{68B05CD2-7547-4DC3-AB7C-2454FD1B15AD}">
      <formula1>$DD$104:$DD$108</formula1>
    </dataValidation>
    <dataValidation imeMode="hiragana" allowBlank="1" showInputMessage="1" showErrorMessage="1" prompt="備考があれば入力" sqref="AN35:AS37 AM26:AM37" xr:uid="{952B50B4-263B-4967-8A3E-9C020FB688D1}"/>
    <dataValidation imeMode="off" allowBlank="1" showInputMessage="1" showErrorMessage="1" prompt="単価を入力" sqref="AA26:AE37" xr:uid="{FE96AABB-2BC2-41D4-A744-891F4E9281FA}"/>
    <dataValidation imeMode="off" allowBlank="1" showInputMessage="1" showErrorMessage="1" prompt="数量を入力" sqref="T26:W37" xr:uid="{A58B42CF-8A25-4A2B-9D24-45229490B742}"/>
    <dataValidation imeMode="hiragana" allowBlank="1" showInputMessage="1" showErrorMessage="1" prompt="品名を入力" sqref="B26:S37" xr:uid="{E4B325BD-2E6F-47CF-8BA7-1FD5B49AB6E5}"/>
    <dataValidation imeMode="hiragana" allowBlank="1" showInputMessage="1" showErrorMessage="1" prompt="担当者を入力" sqref="AF17:AL17" xr:uid="{514AE685-06B9-41E2-B4FC-42289EC7177E}"/>
    <dataValidation imeMode="hiragana" allowBlank="1" showInputMessage="1" showErrorMessage="1" prompt="受渡場所を入力_x000a_例：貴社指定場所" sqref="H13:T13" xr:uid="{9E9CB691-BFDA-4A15-BC92-A3C29CA1CD49}"/>
    <dataValidation imeMode="off" allowBlank="1" showInputMessage="1" showErrorMessage="1" prompt="年を入力" sqref="J17:L17" xr:uid="{529158D7-D523-4CAA-B85D-E988A1A51406}"/>
    <dataValidation imeMode="hiragana" allowBlank="1" showInputMessage="1" showErrorMessage="1" sqref="AB9:AS9 B41:AS42 E40:AS40" xr:uid="{3E5CACBB-DB88-4332-B250-A1DDEF0AB4F4}"/>
    <dataValidation allowBlank="1" showInputMessage="1" showErrorMessage="1" prompt="見積書NOを入力" sqref="AN3:AR3" xr:uid="{A8045D4D-F414-4315-8DA4-69FE3D526764}"/>
    <dataValidation imeMode="hiragana" allowBlank="1" showInputMessage="1" showErrorMessage="1" prompt="お客様名を入力" sqref="D7:S8" xr:uid="{12D33C22-5E16-4115-8FC2-E4FB4897F43E}"/>
    <dataValidation imeMode="hiragana" allowBlank="1" showInputMessage="1" showErrorMessage="1" prompt="お客様の住所でビル名番地など入力" sqref="D5:R5" xr:uid="{DA1AED8C-9F27-4098-968B-E11ADBD3090A}"/>
    <dataValidation imeMode="hiragana" allowBlank="1" showInputMessage="1" showErrorMessage="1" prompt="お客様の住所を入力" sqref="D4" xr:uid="{131B8268-F0F9-4207-B988-0B77676CA49D}"/>
    <dataValidation imeMode="off" allowBlank="1" showInputMessage="1" showErrorMessage="1" prompt="お客様の郵便番号を入力" sqref="E3:H3" xr:uid="{A7DCDDEA-E493-4ECF-8C20-BA13479E1B31}"/>
    <dataValidation imeMode="off" allowBlank="1" showInputMessage="1" showErrorMessage="1" prompt="日を入力" sqref="AP6:AQ6 Q17:R17" xr:uid="{DB4102C6-B1FF-4770-836A-082DD413EF2C}"/>
    <dataValidation imeMode="off" allowBlank="1" showInputMessage="1" showErrorMessage="1" prompt="月を入力" sqref="AM6:AN6 N17:O17" xr:uid="{0F043976-3C0F-4D0B-A799-60A7D9DE9702}"/>
    <dataValidation imeMode="off" allowBlank="1" showInputMessage="1" showErrorMessage="1" prompt="年を入力  西暦表示の場合、平成を消してください" sqref="AI6:AK6" xr:uid="{0949B82E-C18A-4D46-A473-7BD067C737D1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3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4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5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6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新潟マルテーフェア</vt:lpstr>
      <vt:lpstr>オートビジネス2025</vt:lpstr>
      <vt:lpstr>群馬フジペックスフェア</vt:lpstr>
      <vt:lpstr>城東営業所展示会</vt:lpstr>
      <vt:lpstr>フジペックス栃木営業所</vt:lpstr>
      <vt:lpstr>展示会準備項目</vt:lpstr>
      <vt:lpstr>デモ材料費</vt:lpstr>
      <vt:lpstr>オートビジネス2025!Print_Area</vt:lpstr>
      <vt:lpstr>デモ材料費!Print_Area</vt:lpstr>
      <vt:lpstr>フジペックス栃木営業所!Print_Area</vt:lpstr>
      <vt:lpstr>群馬フジペックスフェア!Print_Area</vt:lpstr>
      <vt:lpstr>城東営業所展示会!Print_Area</vt:lpstr>
      <vt:lpstr>新潟マルテーフェア!Print_Area</vt:lpstr>
      <vt:lpstr>展示会準備項目!Print_Area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2025-07-18T02:10:41Z</cp:lastPrinted>
  <dcterms:created xsi:type="dcterms:W3CDTF">2001-10-18T00:35:45Z</dcterms:created>
  <dcterms:modified xsi:type="dcterms:W3CDTF">2025-10-22T01:19:40Z</dcterms:modified>
</cp:coreProperties>
</file>