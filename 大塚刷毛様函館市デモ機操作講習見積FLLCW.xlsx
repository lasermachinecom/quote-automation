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drawings/drawing3.xml" ContentType="application/vnd.openxmlformats-officedocument.drawing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drawings/drawing4.xml" ContentType="application/vnd.openxmlformats-officedocument.drawing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drawings/drawing5.xml" ContentType="application/vnd.openxmlformats-officedocument.drawing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1代理店\大塚刷毛\"/>
    </mc:Choice>
  </mc:AlternateContent>
  <xr:revisionPtr revIDLastSave="0" documentId="13_ncr:1_{E03734FB-F5DD-4E32-9D9A-AD24D4DD0759}" xr6:coauthVersionLast="47" xr6:coauthVersionMax="47" xr10:uidLastSave="{00000000-0000-0000-0000-000000000000}"/>
  <bookViews>
    <workbookView xWindow="11295" yWindow="75" windowWidth="20115" windowHeight="20190" tabRatio="657" xr2:uid="{00000000-000D-0000-FFFF-FFFF00000000}"/>
  </bookViews>
  <sheets>
    <sheet name="見積書A4" sheetId="1" r:id="rId1"/>
    <sheet name="別紙購入おすすめ品" sheetId="5" r:id="rId2"/>
    <sheet name="USBフラッシュメモリ内一覧" sheetId="3" r:id="rId3"/>
    <sheet name="工具箱内付属一覧" sheetId="4" r:id="rId4"/>
    <sheet name="本体装備品一覧" sheetId="2" r:id="rId5"/>
  </sheets>
  <definedNames>
    <definedName name="_xlnm.Print_Area" localSheetId="2">USBフラッシュメモリ内一覧!$B$3:$AU$30</definedName>
    <definedName name="_xlnm.Print_Area" localSheetId="0">見積書A4!$B$2:$AT$42</definedName>
    <definedName name="_xlnm.Print_Area" localSheetId="3">工具箱内付属一覧!$B$3:$AU$30</definedName>
    <definedName name="_xlnm.Print_Area" localSheetId="1">別紙購入おすすめ品!$B$3:$AU$30</definedName>
    <definedName name="_xlnm.Print_Area" localSheetId="4">本体装備品一覧!$B$3:$AU$30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9" i="5" l="1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B30" i="5" s="1"/>
  <c r="AG8" i="5"/>
  <c r="AG7" i="5"/>
  <c r="AB7" i="2" l="1"/>
  <c r="AF29" i="1"/>
  <c r="AF30" i="1"/>
  <c r="AF28" i="1" l="1"/>
  <c r="AF32" i="1" l="1"/>
  <c r="AF31" i="1"/>
  <c r="AF27" i="1"/>
  <c r="AF33" i="1" l="1"/>
  <c r="P178" i="5" l="1"/>
  <c r="CM120" i="5"/>
  <c r="DO119" i="5"/>
  <c r="CM119" i="5"/>
  <c r="CS116" i="5"/>
  <c r="CS115" i="5"/>
  <c r="CS114" i="5"/>
  <c r="CS113" i="5"/>
  <c r="CS112" i="5"/>
  <c r="CS111" i="5"/>
  <c r="CS110" i="5"/>
  <c r="CS109" i="5"/>
  <c r="CS108" i="5"/>
  <c r="CS107" i="5"/>
  <c r="CS106" i="5"/>
  <c r="CS105" i="5"/>
  <c r="CS104" i="5"/>
  <c r="P178" i="4"/>
  <c r="CM120" i="4"/>
  <c r="DO119" i="4"/>
  <c r="CM119" i="4"/>
  <c r="CS116" i="4"/>
  <c r="CS115" i="4"/>
  <c r="CS114" i="4"/>
  <c r="CS113" i="4"/>
  <c r="CS112" i="4"/>
  <c r="CS111" i="4"/>
  <c r="CS110" i="4"/>
  <c r="CS109" i="4"/>
  <c r="CS108" i="4"/>
  <c r="CS107" i="4"/>
  <c r="CS106" i="4"/>
  <c r="CS105" i="4"/>
  <c r="CS104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P178" i="3"/>
  <c r="CM120" i="3"/>
  <c r="DO119" i="3"/>
  <c r="CM119" i="3"/>
  <c r="CS116" i="3"/>
  <c r="CS115" i="3"/>
  <c r="CS114" i="3"/>
  <c r="CS113" i="3"/>
  <c r="CS112" i="3"/>
  <c r="CS111" i="3"/>
  <c r="CS110" i="3"/>
  <c r="CS109" i="3"/>
  <c r="CS108" i="3"/>
  <c r="CS107" i="3"/>
  <c r="CS106" i="3"/>
  <c r="CS105" i="3"/>
  <c r="CS104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8" i="3"/>
  <c r="AG7" i="3"/>
  <c r="AF35" i="1"/>
  <c r="FH110" i="1" s="1"/>
  <c r="AF34" i="1"/>
  <c r="FH109" i="1" s="1"/>
  <c r="AF37" i="1"/>
  <c r="FH112" i="1" s="1"/>
  <c r="FH106" i="1"/>
  <c r="FH105" i="1"/>
  <c r="FH104" i="1"/>
  <c r="FH103" i="1"/>
  <c r="FH102" i="1"/>
  <c r="AF26" i="1"/>
  <c r="FH101" i="1" s="1"/>
  <c r="FH107" i="1"/>
  <c r="FH108" i="1"/>
  <c r="AG29" i="2"/>
  <c r="FH135" i="1" s="1"/>
  <c r="AG28" i="2"/>
  <c r="FH134" i="1" s="1"/>
  <c r="AG27" i="2"/>
  <c r="AG26" i="2"/>
  <c r="FH132" i="1" s="1"/>
  <c r="AG25" i="2"/>
  <c r="AG24" i="2"/>
  <c r="FH130" i="1" s="1"/>
  <c r="AG23" i="2"/>
  <c r="AG22" i="2"/>
  <c r="AG21" i="2"/>
  <c r="FH127" i="1" s="1"/>
  <c r="AG20" i="2"/>
  <c r="FH126" i="1" s="1"/>
  <c r="AG19" i="2"/>
  <c r="FH125" i="1" s="1"/>
  <c r="AG18" i="2"/>
  <c r="FH124" i="1" s="1"/>
  <c r="AG17" i="2"/>
  <c r="FH123" i="1" s="1"/>
  <c r="AG16" i="2"/>
  <c r="FH122" i="1" s="1"/>
  <c r="AG15" i="2"/>
  <c r="AG14" i="2"/>
  <c r="FH120" i="1" s="1"/>
  <c r="AG13" i="2"/>
  <c r="FH119" i="1" s="1"/>
  <c r="AG12" i="2"/>
  <c r="FH118" i="1" s="1"/>
  <c r="AG11" i="2"/>
  <c r="FH117" i="1" s="1"/>
  <c r="AG10" i="2"/>
  <c r="FH116" i="1"/>
  <c r="AG9" i="2"/>
  <c r="FH115" i="1" s="1"/>
  <c r="AG8" i="2"/>
  <c r="FH114" i="1" s="1"/>
  <c r="AG7" i="2"/>
  <c r="FH113" i="1" s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H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AF36" i="1"/>
  <c r="FH111" i="1" s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CM120" i="2"/>
  <c r="DO119" i="2"/>
  <c r="P178" i="2"/>
  <c r="CM119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04" i="2"/>
  <c r="AA38" i="1" l="1"/>
  <c r="H38" i="1" s="1"/>
  <c r="CK104" i="1" l="1"/>
  <c r="CK115" i="1" s="1"/>
  <c r="H39" i="1" s="1"/>
  <c r="J19" i="1" s="1"/>
  <c r="P56" i="1" l="1"/>
  <c r="J20" i="1"/>
</calcChain>
</file>

<file path=xl/sharedStrings.xml><?xml version="1.0" encoding="utf-8"?>
<sst xmlns="http://schemas.openxmlformats.org/spreadsheetml/2006/main" count="237" uniqueCount="151">
  <si>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</si>
  <si>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</si>
  <si>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</si>
  <si>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</si>
  <si>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受渡期日</t>
    <rPh sb="0" eb="2">
      <t>ウケワタシ</t>
    </rPh>
    <rPh sb="2" eb="4">
      <t>キジツ</t>
    </rPh>
    <phoneticPr fontId="4"/>
  </si>
  <si>
    <t>受渡場所</t>
    <rPh sb="0" eb="2">
      <t>ウケワタシ</t>
    </rPh>
    <rPh sb="2" eb="4">
      <t>バショ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</si>
  <si>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</si>
  <si>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</si>
  <si>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</si>
  <si>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</si>
  <si>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単　価</t>
    <rPh sb="0" eb="1">
      <t>タン</t>
    </rPh>
    <rPh sb="2" eb="3">
      <t>アタイ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</si>
  <si>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</si>
  <si>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</si>
  <si>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</si>
  <si>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</si>
  <si>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摘要：</t>
    <rPh sb="0" eb="2">
      <t>テキヨウ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</si>
  <si>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</si>
  <si>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</si>
  <si>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</si>
  <si>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</si>
  <si>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</si>
  <si>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</si>
  <si>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</si>
  <si>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</si>
  <si>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</si>
  <si>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</si>
  <si>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</si>
  <si>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</si>
  <si>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</si>
  <si>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</si>
  <si>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</si>
  <si>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</si>
  <si>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</si>
  <si>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</si>
  <si>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</si>
  <si>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</si>
  <si>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</si>
  <si>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</si>
  <si>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</si>
  <si>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</si>
  <si>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</si>
  <si>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</si>
  <si>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</si>
  <si>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小 計</t>
    <rPh sb="0" eb="1">
      <t>ショウケイ</t>
    </rPh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</si>
  <si>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</si>
  <si>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</si>
  <si>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</si>
  <si>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</si>
  <si>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</si>
  <si>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</si>
  <si>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</si>
  <si>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</si>
  <si>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</si>
  <si>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</si>
  <si>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</si>
  <si>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</si>
  <si>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</si>
  <si>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</si>
  <si>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</si>
  <si>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</si>
  <si>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</si>
  <si>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</si>
  <si>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</si>
  <si>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</si>
  <si>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</si>
  <si>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</si>
  <si>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</si>
  <si>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</si>
  <si>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</si>
  <si>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</si>
  <si>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</si>
  <si>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</si>
  <si>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</si>
  <si>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データパス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</si>
  <si>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</si>
  <si>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</si>
  <si>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</si>
  <si>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</si>
  <si>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</si>
  <si>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</si>
  <si>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個</t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</si>
  <si>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</si>
  <si>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</si>
  <si>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</si>
  <si>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</si>
  <si>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</si>
  <si>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</si>
  <si>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</si>
  <si>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付　属　品　名</t>
    <rPh sb="0" eb="1">
      <t>ツキ</t>
    </rPh>
    <rPh sb="2" eb="3">
      <t>ゾク</t>
    </rPh>
    <rPh sb="4" eb="5">
      <t>シナ</t>
    </rPh>
    <rPh sb="6" eb="7">
      <t>メイ</t>
    </rPh>
    <phoneticPr fontId="4"/>
  </si>
  <si>
    <t>No.</t>
    <phoneticPr fontId="4"/>
  </si>
  <si>
    <t>　FAX感熱紙(A4)</t>
    <phoneticPr fontId="4"/>
  </si>
  <si>
    <t>00-F-20-75-29-7C</t>
    <phoneticPr fontId="4"/>
  </si>
  <si>
    <t>本体装備品一覧</t>
    <rPh sb="0" eb="2">
      <t>ホンタイ</t>
    </rPh>
    <rPh sb="2" eb="5">
      <t>ソウビヒン</t>
    </rPh>
    <rPh sb="5" eb="7">
      <t>イチラン</t>
    </rPh>
    <phoneticPr fontId="4"/>
  </si>
  <si>
    <t>SET</t>
  </si>
  <si>
    <t>USBフラッシュメモリ内一覧</t>
    <rPh sb="11" eb="12">
      <t>ナイ</t>
    </rPh>
    <rPh sb="12" eb="14">
      <t>イチラン</t>
    </rPh>
    <phoneticPr fontId="4"/>
  </si>
  <si>
    <t>日</t>
    <rPh sb="0" eb="1">
      <t>ニチ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</si>
  <si>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</si>
  <si>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</si>
  <si>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</si>
  <si>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令和</t>
    <rPh sb="0" eb="2">
      <t>レイワ</t>
    </rPh>
    <phoneticPr fontId="4"/>
  </si>
  <si>
    <t>消費税10%</t>
    <phoneticPr fontId="4"/>
  </si>
  <si>
    <t>User Manual_FL_LCW-3000W Ver.2.0　（取扱
説明書)</t>
    <phoneticPr fontId="4"/>
  </si>
  <si>
    <t>焦点レンズの清掃・交換</t>
    <rPh sb="9" eb="11">
      <t>コウカン</t>
    </rPh>
    <phoneticPr fontId="4"/>
  </si>
  <si>
    <t>保護レンズの清掃・交換</t>
    <rPh sb="9" eb="11">
      <t>コウカン</t>
    </rPh>
    <phoneticPr fontId="4"/>
  </si>
  <si>
    <t>溶接の設定出し</t>
    <phoneticPr fontId="4"/>
  </si>
  <si>
    <t>LCW全機種設定表</t>
    <rPh sb="8" eb="9">
      <t>ヒョウ</t>
    </rPh>
    <phoneticPr fontId="4"/>
  </si>
  <si>
    <t>3000W設定表</t>
    <rPh sb="7" eb="8">
      <t>ヒョウ</t>
    </rPh>
    <phoneticPr fontId="4"/>
  </si>
  <si>
    <t>USBメモリー(取説・設定表・レンズ清掃方法
など)</t>
    <phoneticPr fontId="4"/>
  </si>
  <si>
    <t>溶接ノズル AS-12</t>
    <phoneticPr fontId="4"/>
  </si>
  <si>
    <t>溶接ノズル BS-16</t>
    <phoneticPr fontId="4"/>
  </si>
  <si>
    <t>溶接ノズル CS-12</t>
    <phoneticPr fontId="4"/>
  </si>
  <si>
    <t>溶接ノズル FS-16</t>
    <phoneticPr fontId="4"/>
  </si>
  <si>
    <t>溶接ノズル Ｃタイプ</t>
    <phoneticPr fontId="4"/>
  </si>
  <si>
    <t>切断用ノズル</t>
    <phoneticPr fontId="4"/>
  </si>
  <si>
    <t>ワイヤーノズル　Φ1.0</t>
    <phoneticPr fontId="4"/>
  </si>
  <si>
    <t>ワイヤーノズル　Φ1.2</t>
    <phoneticPr fontId="4"/>
  </si>
  <si>
    <t>ワイヤーノズル　Φ1.6</t>
    <phoneticPr fontId="4"/>
  </si>
  <si>
    <t>保護レンズ</t>
    <phoneticPr fontId="4"/>
  </si>
  <si>
    <t>レンズクリーナー</t>
    <phoneticPr fontId="4"/>
  </si>
  <si>
    <t>レンズクリーナー用拭き取り棒</t>
    <rPh sb="13" eb="14">
      <t>ボウ</t>
    </rPh>
    <phoneticPr fontId="4"/>
  </si>
  <si>
    <t>光路調整用テープ</t>
    <phoneticPr fontId="4"/>
  </si>
  <si>
    <t>PTFEテープ</t>
    <phoneticPr fontId="4"/>
  </si>
  <si>
    <t>PVCテープ</t>
    <phoneticPr fontId="4"/>
  </si>
  <si>
    <t>保護メガネ</t>
    <phoneticPr fontId="4"/>
  </si>
  <si>
    <t>マイナスドライバー</t>
    <phoneticPr fontId="4"/>
  </si>
  <si>
    <t>六角レンチセット</t>
    <phoneticPr fontId="4"/>
  </si>
  <si>
    <t>レーザーケーブル保護キャップ</t>
    <phoneticPr fontId="4"/>
  </si>
  <si>
    <t>一式</t>
  </si>
  <si>
    <t>工具箱内付属一覧</t>
    <rPh sb="0" eb="2">
      <t>コウグ</t>
    </rPh>
    <rPh sb="2" eb="3">
      <t>バコ</t>
    </rPh>
    <rPh sb="3" eb="4">
      <t>ウチ</t>
    </rPh>
    <rPh sb="4" eb="6">
      <t>フゾク</t>
    </rPh>
    <rPh sb="6" eb="8">
      <t>イチラン</t>
    </rPh>
    <phoneticPr fontId="4"/>
  </si>
  <si>
    <t>別紙購入おすすめ品一覧</t>
    <rPh sb="0" eb="2">
      <t>ベッシ</t>
    </rPh>
    <rPh sb="2" eb="4">
      <t>コウニュウ</t>
    </rPh>
    <rPh sb="8" eb="9">
      <t>ヒン</t>
    </rPh>
    <rPh sb="9" eb="11">
      <t>イチラン</t>
    </rPh>
    <phoneticPr fontId="4"/>
  </si>
  <si>
    <t>ドア施錠キー</t>
    <rPh sb="2" eb="4">
      <t>セジョウ</t>
    </rPh>
    <phoneticPr fontId="4"/>
  </si>
  <si>
    <t>レーザーユニット電源キー</t>
    <phoneticPr fontId="4"/>
  </si>
  <si>
    <t>枚</t>
  </si>
  <si>
    <t>コリメーターレンズ</t>
    <phoneticPr fontId="4"/>
  </si>
  <si>
    <t>溶接・切断用焦点レンズ【ケース付き】</t>
    <phoneticPr fontId="4"/>
  </si>
  <si>
    <t>洗浄用焦点レンズ【ケース付き】</t>
    <phoneticPr fontId="4"/>
  </si>
  <si>
    <t>シールリング ※シールリングのみ</t>
    <phoneticPr fontId="4"/>
  </si>
  <si>
    <t>溶接・切断用 保護レンズ</t>
    <phoneticPr fontId="4"/>
  </si>
  <si>
    <t>反射レンズレンズ＋ステー　</t>
    <rPh sb="0" eb="2">
      <t>ハンシャ</t>
    </rPh>
    <phoneticPr fontId="4"/>
  </si>
  <si>
    <t>現金支払</t>
    <rPh sb="0" eb="4">
      <t>ゲンキンシハラ</t>
    </rPh>
    <phoneticPr fontId="4"/>
  </si>
  <si>
    <t>末締め末現金払い</t>
    <rPh sb="0" eb="2">
      <t>マツジ</t>
    </rPh>
    <rPh sb="3" eb="4">
      <t>マツ</t>
    </rPh>
    <rPh sb="4" eb="6">
      <t>ゲンキン</t>
    </rPh>
    <rPh sb="6" eb="7">
      <t>バラ</t>
    </rPh>
    <phoneticPr fontId="4"/>
  </si>
  <si>
    <t>見積書有効期限発効後60日</t>
    <rPh sb="0" eb="3">
      <t>ミツモリショ</t>
    </rPh>
    <rPh sb="3" eb="7">
      <t>ユウコウキゲン</t>
    </rPh>
    <rPh sb="7" eb="10">
      <t>ハッコウゴ</t>
    </rPh>
    <rPh sb="12" eb="13">
      <t>ニチ</t>
    </rPh>
    <phoneticPr fontId="4"/>
  </si>
  <si>
    <t>〒160-8511　東京都新宿区四谷４－１</t>
    <phoneticPr fontId="4"/>
  </si>
  <si>
    <t>大塚刷毛製造株式会社</t>
    <phoneticPr fontId="4"/>
  </si>
  <si>
    <t>　営業本部</t>
    <phoneticPr fontId="4"/>
  </si>
  <si>
    <t>RSD-SUNMAX-FL-LCW</t>
    <phoneticPr fontId="4"/>
  </si>
  <si>
    <t>ご相談</t>
    <rPh sb="1" eb="3">
      <t>ソウダン</t>
    </rPh>
    <phoneticPr fontId="4"/>
  </si>
  <si>
    <t>四日市市1階</t>
    <rPh sb="0" eb="4">
      <t>ヨッカイチシ</t>
    </rPh>
    <rPh sb="5" eb="6">
      <t>カイ</t>
    </rPh>
    <phoneticPr fontId="4"/>
  </si>
  <si>
    <t>FL2410292</t>
    <phoneticPr fontId="4"/>
  </si>
  <si>
    <t>セットアップ操作講習費　函館市　デモ実演　</t>
    <rPh sb="18" eb="20">
      <t>ジツエン</t>
    </rPh>
    <phoneticPr fontId="4"/>
  </si>
  <si>
    <t>運賃　往復　　車上渡しとなります。</t>
    <rPh sb="0" eb="2">
      <t>ウンチン</t>
    </rPh>
    <rPh sb="3" eb="5">
      <t>オウフク</t>
    </rPh>
    <rPh sb="7" eb="10">
      <t>シャジョウワタ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</si>
</sst>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[Black]0;[Black]\-0;[White]0;[Black]@"/>
    <numFmt numFmtId="181" formatCode="#,##0;&quot;△ &quot;#,##0;"/>
  </numFmts>
  <fonts count="3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rgb="FF009CD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176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181" fontId="2" fillId="3" borderId="4" xfId="0" applyNumberFormat="1" applyFont="1" applyFill="1" applyBorder="1" applyAlignment="1" applyProtection="1">
      <alignment horizontal="left"/>
      <protection locked="0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1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5" fillId="2" borderId="0" xfId="0" applyFont="1" applyFill="1"/>
    <xf numFmtId="176" fontId="29" fillId="0" borderId="0" xfId="0" applyNumberFormat="1" applyFont="1" applyAlignment="1">
      <alignment horizontal="right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6" fontId="29" fillId="0" borderId="0" xfId="0" applyNumberFormat="1" applyFont="1" applyAlignment="1">
      <alignment horizontal="right" vertical="center"/>
    </xf>
    <xf numFmtId="176" fontId="29" fillId="0" borderId="18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49" fontId="10" fillId="0" borderId="0" xfId="0" applyNumberFormat="1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1" fillId="0" borderId="0" xfId="1" applyFont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181" fontId="11" fillId="0" borderId="4" xfId="0" applyNumberFormat="1" applyFont="1" applyBorder="1" applyAlignment="1">
      <alignment horizontal="left" vertical="center" wrapText="1"/>
    </xf>
    <xf numFmtId="181" fontId="11" fillId="0" borderId="6" xfId="0" applyNumberFormat="1" applyFont="1" applyBorder="1" applyAlignment="1">
      <alignment horizontal="left" vertical="center" wrapText="1"/>
    </xf>
    <xf numFmtId="181" fontId="11" fillId="0" borderId="19" xfId="0" applyNumberFormat="1" applyFont="1" applyBorder="1" applyAlignment="1">
      <alignment horizontal="left" vertical="center" wrapText="1"/>
    </xf>
    <xf numFmtId="181" fontId="9" fillId="0" borderId="7" xfId="0" applyNumberFormat="1" applyFont="1" applyBorder="1" applyAlignment="1">
      <alignment horizontal="right" vertical="center"/>
    </xf>
    <xf numFmtId="181" fontId="9" fillId="0" borderId="8" xfId="0" applyNumberFormat="1" applyFont="1" applyBorder="1" applyAlignment="1">
      <alignment horizontal="right" vertical="center"/>
    </xf>
    <xf numFmtId="181" fontId="9" fillId="0" borderId="9" xfId="0" applyNumberFormat="1" applyFont="1" applyBorder="1" applyAlignment="1">
      <alignment horizontal="right" vertical="center"/>
    </xf>
    <xf numFmtId="181" fontId="9" fillId="0" borderId="4" xfId="0" applyNumberFormat="1" applyFont="1" applyBorder="1" applyAlignment="1">
      <alignment horizontal="left" vertical="center" wrapText="1"/>
    </xf>
    <xf numFmtId="181" fontId="9" fillId="0" borderId="6" xfId="0" applyNumberFormat="1" applyFont="1" applyBorder="1" applyAlignment="1">
      <alignment horizontal="left" vertical="center" wrapText="1"/>
    </xf>
    <xf numFmtId="181" fontId="9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15" fillId="4" borderId="3" xfId="0" applyFont="1" applyFill="1" applyBorder="1" applyAlignment="1">
      <alignment horizontal="center" vertical="center"/>
    </xf>
    <xf numFmtId="181" fontId="15" fillId="0" borderId="24" xfId="0" applyNumberFormat="1" applyFont="1" applyBorder="1" applyAlignment="1">
      <alignment horizontal="left" vertical="center" wrapText="1"/>
    </xf>
    <xf numFmtId="181" fontId="15" fillId="0" borderId="6" xfId="0" applyNumberFormat="1" applyFont="1" applyBorder="1" applyAlignment="1">
      <alignment horizontal="left" vertical="center" wrapText="1"/>
    </xf>
    <xf numFmtId="181" fontId="15" fillId="0" borderId="5" xfId="0" applyNumberFormat="1" applyFont="1" applyBorder="1" applyAlignment="1">
      <alignment horizontal="left" vertical="center" wrapText="1"/>
    </xf>
    <xf numFmtId="181" fontId="0" fillId="0" borderId="8" xfId="0" applyNumberFormat="1" applyBorder="1" applyAlignment="1">
      <alignment horizontal="left" vertical="center"/>
    </xf>
    <xf numFmtId="181" fontId="0" fillId="0" borderId="9" xfId="0" applyNumberFormat="1" applyBorder="1" applyAlignment="1">
      <alignment horizontal="left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8" fontId="5" fillId="0" borderId="20" xfId="0" applyNumberFormat="1" applyFont="1" applyBorder="1" applyAlignment="1">
      <alignment horizontal="right" vertical="center"/>
    </xf>
    <xf numFmtId="178" fontId="5" fillId="0" borderId="21" xfId="0" applyNumberFormat="1" applyFont="1" applyBorder="1" applyAlignment="1">
      <alignment horizontal="right" vertical="center"/>
    </xf>
    <xf numFmtId="178" fontId="5" fillId="0" borderId="29" xfId="0" applyNumberFormat="1" applyFont="1" applyBorder="1" applyAlignment="1">
      <alignment horizontal="right" vertic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4" borderId="2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12" fillId="0" borderId="7" xfId="0" applyNumberFormat="1" applyFont="1" applyBorder="1" applyAlignment="1">
      <alignment horizontal="right" vertical="center"/>
    </xf>
    <xf numFmtId="176" fontId="12" fillId="0" borderId="8" xfId="0" applyNumberFormat="1" applyFont="1" applyBorder="1" applyAlignment="1">
      <alignment horizontal="right" vertical="center"/>
    </xf>
    <xf numFmtId="176" fontId="12" fillId="0" borderId="9" xfId="0" applyNumberFormat="1" applyFont="1" applyBorder="1" applyAlignment="1">
      <alignment horizontal="right" vertical="center"/>
    </xf>
    <xf numFmtId="0" fontId="0" fillId="4" borderId="7" xfId="0" applyFill="1" applyBorder="1" applyAlignment="1">
      <alignment horizontal="center" vertical="center"/>
    </xf>
    <xf numFmtId="181" fontId="12" fillId="0" borderId="7" xfId="0" applyNumberFormat="1" applyFont="1" applyBorder="1" applyAlignment="1">
      <alignment horizontal="right" vertical="center"/>
    </xf>
    <xf numFmtId="181" fontId="12" fillId="0" borderId="8" xfId="0" applyNumberFormat="1" applyFont="1" applyBorder="1" applyAlignment="1">
      <alignment horizontal="right" vertical="center"/>
    </xf>
    <xf numFmtId="181" fontId="12" fillId="0" borderId="9" xfId="0" applyNumberFormat="1" applyFont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179" fontId="0" fillId="2" borderId="0" xfId="0" applyNumberForma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4" borderId="3" xfId="0" applyFill="1" applyBorder="1" applyAlignment="1">
      <alignment horizontal="right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79" fontId="0" fillId="3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left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181" fontId="0" fillId="0" borderId="24" xfId="0" applyNumberFormat="1" applyBorder="1" applyAlignment="1">
      <alignment horizontal="left" vertical="center" wrapText="1"/>
    </xf>
    <xf numFmtId="181" fontId="0" fillId="0" borderId="6" xfId="0" applyNumberFormat="1" applyBorder="1" applyAlignment="1">
      <alignment horizontal="left" vertical="center" wrapText="1"/>
    </xf>
    <xf numFmtId="181" fontId="0" fillId="0" borderId="5" xfId="0" applyNumberFormat="1" applyBorder="1" applyAlignment="1">
      <alignment horizontal="left" vertical="center" wrapText="1"/>
    </xf>
    <xf numFmtId="181" fontId="10" fillId="0" borderId="4" xfId="0" applyNumberFormat="1" applyFont="1" applyBorder="1" applyAlignment="1">
      <alignment horizontal="left" vertical="center" wrapText="1"/>
    </xf>
    <xf numFmtId="181" fontId="10" fillId="0" borderId="6" xfId="0" applyNumberFormat="1" applyFont="1" applyBorder="1" applyAlignment="1">
      <alignment horizontal="left" vertical="center" wrapText="1"/>
    </xf>
    <xf numFmtId="181" fontId="10" fillId="0" borderId="19" xfId="0" applyNumberFormat="1" applyFont="1" applyBorder="1" applyAlignment="1">
      <alignment horizontal="left" vertical="center" wrapText="1"/>
    </xf>
    <xf numFmtId="0" fontId="0" fillId="7" borderId="28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76" fontId="5" fillId="0" borderId="36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1" fillId="0" borderId="3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181" fontId="17" fillId="0" borderId="3" xfId="1" applyNumberFormat="1" applyFill="1" applyBorder="1" applyAlignment="1" applyProtection="1">
      <alignment horizontal="left" vertical="center"/>
    </xf>
    <xf numFmtId="181" fontId="11" fillId="0" borderId="3" xfId="0" applyNumberFormat="1" applyFont="1" applyBorder="1" applyAlignment="1">
      <alignment horizontal="left" vertical="center"/>
    </xf>
    <xf numFmtId="181" fontId="9" fillId="0" borderId="4" xfId="0" applyNumberFormat="1" applyFont="1" applyBorder="1" applyAlignment="1">
      <alignment horizontal="right" vertical="center"/>
    </xf>
    <xf numFmtId="181" fontId="9" fillId="0" borderId="6" xfId="0" applyNumberFormat="1" applyFont="1" applyBorder="1" applyAlignment="1">
      <alignment horizontal="right" vertical="center"/>
    </xf>
    <xf numFmtId="181" fontId="9" fillId="0" borderId="5" xfId="0" applyNumberFormat="1" applyFont="1" applyBorder="1" applyAlignment="1">
      <alignment horizontal="right" vertical="center"/>
    </xf>
    <xf numFmtId="181" fontId="1" fillId="0" borderId="4" xfId="0" applyNumberFormat="1" applyFont="1" applyBorder="1" applyAlignment="1">
      <alignment horizontal="left" vertical="center" wrapText="1"/>
    </xf>
    <xf numFmtId="181" fontId="1" fillId="0" borderId="6" xfId="0" applyNumberFormat="1" applyFont="1" applyBorder="1" applyAlignment="1">
      <alignment horizontal="left" vertical="center" wrapText="1"/>
    </xf>
    <xf numFmtId="181" fontId="1" fillId="0" borderId="19" xfId="0" applyNumberFormat="1" applyFont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/>
            <a:t>502-0013</a:t>
          </a:r>
          <a:r>
            <a:rPr lang="ja-JP" altLang="en-US" sz="900"/>
            <a:t>岐阜市中川原４－４７サンマックスビル</a:t>
          </a:r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5121" name="明細入力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5122" name="表示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5123" name="明細入力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1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5124" name="明細入力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1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5125" name="明細入力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1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5126" name="品名呼出201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1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5127" name="品名呼出202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1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5128" name="品名呼出203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1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5129" name="品名呼出204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1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5130" name="品名呼出205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1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5131" name="品名呼出206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1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5132" name="品名呼出207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1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5133" name="品名呼出208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1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5134" name="品名呼出209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1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5135" name="品名呼出210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1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5136" name="品名呼出211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1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5137" name="品名呼出212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1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5138" name="品名呼出213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1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5139" name="品名呼出21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1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5140" name="品名呼出21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1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5141" name="品名呼出21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1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5142" name="品名呼出21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1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5143" name="品名呼出218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1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5144" name="品名呼出219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1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5145" name="品名呼出220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1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5146" name="品名呼出221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1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5147" name="品名呼出222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1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5148" name="品名呼出223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1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5149" name="入力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1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5150" name="表示1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1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5151" name="表示2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1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5152" name="プレビュー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1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5153" name="電卓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1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3073" name="明細入力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3074" name="表示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3075" name="明細入力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3076" name="明細入力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3077" name="明細入力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3078" name="品名呼出201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3079" name="品名呼出202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3080" name="品名呼出203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3081" name="品名呼出204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3082" name="品名呼出205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3083" name="品名呼出206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3084" name="品名呼出207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3085" name="品名呼出208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3086" name="品名呼出209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3087" name="品名呼出210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3088" name="品名呼出211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3089" name="品名呼出212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3090" name="品名呼出213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3091" name="品名呼出214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3092" name="品名呼出215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3093" name="品名呼出216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3094" name="品名呼出217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3095" name="品名呼出218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3096" name="品名呼出219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3097" name="品名呼出220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3098" name="品名呼出221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3099" name="品名呼出222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3100" name="品名呼出223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3101" name="入力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3102" name="表示1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3103" name="表示2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3104" name="プレビュー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3105" name="電卓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4097" name="明細入力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4098" name="表示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4099" name="明細入力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4100" name="明細入力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4101" name="明細入力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4102" name="品名呼出201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4103" name="品名呼出202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4104" name="品名呼出203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4105" name="品名呼出204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4106" name="品名呼出205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4107" name="品名呼出206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4108" name="品名呼出207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4109" name="品名呼出208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4110" name="品名呼出209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4111" name="品名呼出210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4112" name="品名呼出21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4113" name="品名呼出212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4114" name="品名呼出213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4115" name="品名呼出214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4116" name="品名呼出215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4117" name="品名呼出216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4118" name="品名呼出217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4119" name="品名呼出218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4120" name="品名呼出219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4121" name="品名呼出220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4122" name="品名呼出221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4123" name="品名呼出222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4124" name="品名呼出223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4125" name="入力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4126" name="表示1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4127" name="表示2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4128" name="プレビュー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4129" name="電卓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5</xdr:col>
          <xdr:colOff>152400</xdr:colOff>
          <xdr:row>1</xdr:row>
          <xdr:rowOff>133350</xdr:rowOff>
        </xdr:to>
        <xdr:sp macro="" textlink="">
          <xdr:nvSpPr>
            <xdr:cNvPr id="2050" name="明細入力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4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19</xdr:col>
          <xdr:colOff>152400</xdr:colOff>
          <xdr:row>1</xdr:row>
          <xdr:rowOff>133350</xdr:rowOff>
        </xdr:to>
        <xdr:sp macro="" textlink="">
          <xdr:nvSpPr>
            <xdr:cNvPr id="2051" name="表示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4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2052" name="明細入力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4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2053" name="明細入力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4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42</xdr:col>
          <xdr:colOff>152400</xdr:colOff>
          <xdr:row>1</xdr:row>
          <xdr:rowOff>142875</xdr:rowOff>
        </xdr:to>
        <xdr:sp macro="" textlink="">
          <xdr:nvSpPr>
            <xdr:cNvPr id="2054" name="明細入力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4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0</xdr:col>
          <xdr:colOff>476250</xdr:colOff>
          <xdr:row>6</xdr:row>
          <xdr:rowOff>323850</xdr:rowOff>
        </xdr:to>
        <xdr:sp macro="" textlink="">
          <xdr:nvSpPr>
            <xdr:cNvPr id="2058" name="品名呼出20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4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0</xdr:col>
          <xdr:colOff>476250</xdr:colOff>
          <xdr:row>7</xdr:row>
          <xdr:rowOff>285750</xdr:rowOff>
        </xdr:to>
        <xdr:sp macro="" textlink="">
          <xdr:nvSpPr>
            <xdr:cNvPr id="2059" name="品名呼出20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4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0</xdr:col>
          <xdr:colOff>476250</xdr:colOff>
          <xdr:row>8</xdr:row>
          <xdr:rowOff>295275</xdr:rowOff>
        </xdr:to>
        <xdr:sp macro="" textlink="">
          <xdr:nvSpPr>
            <xdr:cNvPr id="2060" name="品名呼出20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4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0</xdr:col>
          <xdr:colOff>476250</xdr:colOff>
          <xdr:row>9</xdr:row>
          <xdr:rowOff>314325</xdr:rowOff>
        </xdr:to>
        <xdr:sp macro="" textlink="">
          <xdr:nvSpPr>
            <xdr:cNvPr id="2061" name="品名呼出204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4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0</xdr:col>
          <xdr:colOff>476250</xdr:colOff>
          <xdr:row>10</xdr:row>
          <xdr:rowOff>304800</xdr:rowOff>
        </xdr:to>
        <xdr:sp macro="" textlink="">
          <xdr:nvSpPr>
            <xdr:cNvPr id="2062" name="品名呼出205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4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0</xdr:col>
          <xdr:colOff>476250</xdr:colOff>
          <xdr:row>11</xdr:row>
          <xdr:rowOff>314325</xdr:rowOff>
        </xdr:to>
        <xdr:sp macro="" textlink="">
          <xdr:nvSpPr>
            <xdr:cNvPr id="2063" name="品名呼出206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4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0</xdr:col>
          <xdr:colOff>476250</xdr:colOff>
          <xdr:row>12</xdr:row>
          <xdr:rowOff>314325</xdr:rowOff>
        </xdr:to>
        <xdr:sp macro="" textlink="">
          <xdr:nvSpPr>
            <xdr:cNvPr id="2064" name="品名呼出207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4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0</xdr:col>
          <xdr:colOff>476250</xdr:colOff>
          <xdr:row>13</xdr:row>
          <xdr:rowOff>304800</xdr:rowOff>
        </xdr:to>
        <xdr:sp macro="" textlink="">
          <xdr:nvSpPr>
            <xdr:cNvPr id="2065" name="品名呼出208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4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0</xdr:col>
          <xdr:colOff>476250</xdr:colOff>
          <xdr:row>14</xdr:row>
          <xdr:rowOff>295275</xdr:rowOff>
        </xdr:to>
        <xdr:sp macro="" textlink="">
          <xdr:nvSpPr>
            <xdr:cNvPr id="2066" name="品名呼出209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4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0</xdr:col>
          <xdr:colOff>476250</xdr:colOff>
          <xdr:row>15</xdr:row>
          <xdr:rowOff>333375</xdr:rowOff>
        </xdr:to>
        <xdr:sp macro="" textlink="">
          <xdr:nvSpPr>
            <xdr:cNvPr id="2067" name="品名呼出210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4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0</xdr:col>
          <xdr:colOff>476250</xdr:colOff>
          <xdr:row>16</xdr:row>
          <xdr:rowOff>314325</xdr:rowOff>
        </xdr:to>
        <xdr:sp macro="" textlink="">
          <xdr:nvSpPr>
            <xdr:cNvPr id="2068" name="品名呼出211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4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0</xdr:col>
          <xdr:colOff>476250</xdr:colOff>
          <xdr:row>17</xdr:row>
          <xdr:rowOff>304800</xdr:rowOff>
        </xdr:to>
        <xdr:sp macro="" textlink="">
          <xdr:nvSpPr>
            <xdr:cNvPr id="2069" name="品名呼出212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4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0</xdr:col>
          <xdr:colOff>476250</xdr:colOff>
          <xdr:row>18</xdr:row>
          <xdr:rowOff>314325</xdr:rowOff>
        </xdr:to>
        <xdr:sp macro="" textlink="">
          <xdr:nvSpPr>
            <xdr:cNvPr id="2070" name="品名呼出213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4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0</xdr:col>
          <xdr:colOff>476250</xdr:colOff>
          <xdr:row>19</xdr:row>
          <xdr:rowOff>304800</xdr:rowOff>
        </xdr:to>
        <xdr:sp macro="" textlink="">
          <xdr:nvSpPr>
            <xdr:cNvPr id="2071" name="品名呼出214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4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0</xdr:col>
          <xdr:colOff>476250</xdr:colOff>
          <xdr:row>20</xdr:row>
          <xdr:rowOff>304800</xdr:rowOff>
        </xdr:to>
        <xdr:sp macro="" textlink="">
          <xdr:nvSpPr>
            <xdr:cNvPr id="2072" name="品名呼出215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4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0</xdr:col>
          <xdr:colOff>476250</xdr:colOff>
          <xdr:row>21</xdr:row>
          <xdr:rowOff>304800</xdr:rowOff>
        </xdr:to>
        <xdr:sp macro="" textlink="">
          <xdr:nvSpPr>
            <xdr:cNvPr id="2073" name="品名呼出216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4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0</xdr:col>
          <xdr:colOff>476250</xdr:colOff>
          <xdr:row>22</xdr:row>
          <xdr:rowOff>314325</xdr:rowOff>
        </xdr:to>
        <xdr:sp macro="" textlink="">
          <xdr:nvSpPr>
            <xdr:cNvPr id="2074" name="品名呼出217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4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0</xdr:col>
          <xdr:colOff>476250</xdr:colOff>
          <xdr:row>23</xdr:row>
          <xdr:rowOff>304800</xdr:rowOff>
        </xdr:to>
        <xdr:sp macro="" textlink="">
          <xdr:nvSpPr>
            <xdr:cNvPr id="2075" name="品名呼出218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4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0</xdr:col>
          <xdr:colOff>476250</xdr:colOff>
          <xdr:row>24</xdr:row>
          <xdr:rowOff>304800</xdr:rowOff>
        </xdr:to>
        <xdr:sp macro="" textlink="">
          <xdr:nvSpPr>
            <xdr:cNvPr id="2076" name="品名呼出219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4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0</xdr:col>
          <xdr:colOff>476250</xdr:colOff>
          <xdr:row>25</xdr:row>
          <xdr:rowOff>304800</xdr:rowOff>
        </xdr:to>
        <xdr:sp macro="" textlink="">
          <xdr:nvSpPr>
            <xdr:cNvPr id="2077" name="品名呼出22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4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0</xdr:col>
          <xdr:colOff>476250</xdr:colOff>
          <xdr:row>26</xdr:row>
          <xdr:rowOff>295275</xdr:rowOff>
        </xdr:to>
        <xdr:sp macro="" textlink="">
          <xdr:nvSpPr>
            <xdr:cNvPr id="2078" name="品名呼出22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4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0</xdr:col>
          <xdr:colOff>476250</xdr:colOff>
          <xdr:row>27</xdr:row>
          <xdr:rowOff>304800</xdr:rowOff>
        </xdr:to>
        <xdr:sp macro="" textlink="">
          <xdr:nvSpPr>
            <xdr:cNvPr id="2079" name="品名呼出22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4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2080" name="品名呼出22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4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0</xdr:col>
          <xdr:colOff>476250</xdr:colOff>
          <xdr:row>5</xdr:row>
          <xdr:rowOff>142875</xdr:rowOff>
        </xdr:to>
        <xdr:sp macro="" textlink="">
          <xdr:nvSpPr>
            <xdr:cNvPr id="2081" name="入力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4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2082" name="表示1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4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152400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2083" name="表示2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4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2092" name="プレビュー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4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2095" name="電卓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4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29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8" Type="http://schemas.openxmlformats.org/officeDocument/2006/relationships/ctrlProp" Target="../ctrlProps/ctrlProp5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9.xml"/><Relationship Id="rId18" Type="http://schemas.openxmlformats.org/officeDocument/2006/relationships/ctrlProp" Target="../ctrlProps/ctrlProp94.xml"/><Relationship Id="rId26" Type="http://schemas.openxmlformats.org/officeDocument/2006/relationships/ctrlProp" Target="../ctrlProps/ctrlProp102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97.xml"/><Relationship Id="rId34" Type="http://schemas.openxmlformats.org/officeDocument/2006/relationships/ctrlProp" Target="../ctrlProps/ctrlProp110.xml"/><Relationship Id="rId7" Type="http://schemas.openxmlformats.org/officeDocument/2006/relationships/ctrlProp" Target="../ctrlProps/ctrlProp83.xml"/><Relationship Id="rId12" Type="http://schemas.openxmlformats.org/officeDocument/2006/relationships/ctrlProp" Target="../ctrlProps/ctrlProp88.xml"/><Relationship Id="rId17" Type="http://schemas.openxmlformats.org/officeDocument/2006/relationships/ctrlProp" Target="../ctrlProps/ctrlProp93.xml"/><Relationship Id="rId25" Type="http://schemas.openxmlformats.org/officeDocument/2006/relationships/ctrlProp" Target="../ctrlProps/ctrlProp101.xml"/><Relationship Id="rId33" Type="http://schemas.openxmlformats.org/officeDocument/2006/relationships/ctrlProp" Target="../ctrlProps/ctrlProp109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92.xml"/><Relationship Id="rId20" Type="http://schemas.openxmlformats.org/officeDocument/2006/relationships/ctrlProp" Target="../ctrlProps/ctrlProp96.xml"/><Relationship Id="rId29" Type="http://schemas.openxmlformats.org/officeDocument/2006/relationships/ctrlProp" Target="../ctrlProps/ctrlProp105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82.xml"/><Relationship Id="rId11" Type="http://schemas.openxmlformats.org/officeDocument/2006/relationships/ctrlProp" Target="../ctrlProps/ctrlProp87.xml"/><Relationship Id="rId24" Type="http://schemas.openxmlformats.org/officeDocument/2006/relationships/ctrlProp" Target="../ctrlProps/ctrlProp100.xml"/><Relationship Id="rId32" Type="http://schemas.openxmlformats.org/officeDocument/2006/relationships/ctrlProp" Target="../ctrlProps/ctrlProp108.xml"/><Relationship Id="rId5" Type="http://schemas.openxmlformats.org/officeDocument/2006/relationships/ctrlProp" Target="../ctrlProps/ctrlProp81.xml"/><Relationship Id="rId15" Type="http://schemas.openxmlformats.org/officeDocument/2006/relationships/ctrlProp" Target="../ctrlProps/ctrlProp91.xml"/><Relationship Id="rId23" Type="http://schemas.openxmlformats.org/officeDocument/2006/relationships/ctrlProp" Target="../ctrlProps/ctrlProp99.xml"/><Relationship Id="rId28" Type="http://schemas.openxmlformats.org/officeDocument/2006/relationships/ctrlProp" Target="../ctrlProps/ctrlProp104.xml"/><Relationship Id="rId36" Type="http://schemas.openxmlformats.org/officeDocument/2006/relationships/ctrlProp" Target="../ctrlProps/ctrlProp112.xml"/><Relationship Id="rId10" Type="http://schemas.openxmlformats.org/officeDocument/2006/relationships/ctrlProp" Target="../ctrlProps/ctrlProp86.xml"/><Relationship Id="rId19" Type="http://schemas.openxmlformats.org/officeDocument/2006/relationships/ctrlProp" Target="../ctrlProps/ctrlProp95.xml"/><Relationship Id="rId31" Type="http://schemas.openxmlformats.org/officeDocument/2006/relationships/ctrlProp" Target="../ctrlProps/ctrlProp107.xml"/><Relationship Id="rId4" Type="http://schemas.openxmlformats.org/officeDocument/2006/relationships/ctrlProp" Target="../ctrlProps/ctrlProp80.xml"/><Relationship Id="rId9" Type="http://schemas.openxmlformats.org/officeDocument/2006/relationships/ctrlProp" Target="../ctrlProps/ctrlProp85.xml"/><Relationship Id="rId14" Type="http://schemas.openxmlformats.org/officeDocument/2006/relationships/ctrlProp" Target="../ctrlProps/ctrlProp90.xml"/><Relationship Id="rId22" Type="http://schemas.openxmlformats.org/officeDocument/2006/relationships/ctrlProp" Target="../ctrlProps/ctrlProp98.xml"/><Relationship Id="rId27" Type="http://schemas.openxmlformats.org/officeDocument/2006/relationships/ctrlProp" Target="../ctrlProps/ctrlProp103.xml"/><Relationship Id="rId30" Type="http://schemas.openxmlformats.org/officeDocument/2006/relationships/ctrlProp" Target="../ctrlProps/ctrlProp106.xml"/><Relationship Id="rId35" Type="http://schemas.openxmlformats.org/officeDocument/2006/relationships/ctrlProp" Target="../ctrlProps/ctrlProp111.xml"/><Relationship Id="rId8" Type="http://schemas.openxmlformats.org/officeDocument/2006/relationships/ctrlProp" Target="../ctrlProps/ctrlProp84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22.xml"/><Relationship Id="rId18" Type="http://schemas.openxmlformats.org/officeDocument/2006/relationships/ctrlProp" Target="../ctrlProps/ctrlProp127.xml"/><Relationship Id="rId26" Type="http://schemas.openxmlformats.org/officeDocument/2006/relationships/ctrlProp" Target="../ctrlProps/ctrlProp135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130.xml"/><Relationship Id="rId34" Type="http://schemas.openxmlformats.org/officeDocument/2006/relationships/ctrlProp" Target="../ctrlProps/ctrlProp143.xml"/><Relationship Id="rId7" Type="http://schemas.openxmlformats.org/officeDocument/2006/relationships/ctrlProp" Target="../ctrlProps/ctrlProp116.xml"/><Relationship Id="rId12" Type="http://schemas.openxmlformats.org/officeDocument/2006/relationships/ctrlProp" Target="../ctrlProps/ctrlProp121.xml"/><Relationship Id="rId17" Type="http://schemas.openxmlformats.org/officeDocument/2006/relationships/ctrlProp" Target="../ctrlProps/ctrlProp126.xml"/><Relationship Id="rId25" Type="http://schemas.openxmlformats.org/officeDocument/2006/relationships/ctrlProp" Target="../ctrlProps/ctrlProp134.xml"/><Relationship Id="rId33" Type="http://schemas.openxmlformats.org/officeDocument/2006/relationships/ctrlProp" Target="../ctrlProps/ctrlProp14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25.xml"/><Relationship Id="rId20" Type="http://schemas.openxmlformats.org/officeDocument/2006/relationships/ctrlProp" Target="../ctrlProps/ctrlProp129.xml"/><Relationship Id="rId29" Type="http://schemas.openxmlformats.org/officeDocument/2006/relationships/ctrlProp" Target="../ctrlProps/ctrlProp138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15.xml"/><Relationship Id="rId11" Type="http://schemas.openxmlformats.org/officeDocument/2006/relationships/ctrlProp" Target="../ctrlProps/ctrlProp120.xml"/><Relationship Id="rId24" Type="http://schemas.openxmlformats.org/officeDocument/2006/relationships/ctrlProp" Target="../ctrlProps/ctrlProp133.xml"/><Relationship Id="rId32" Type="http://schemas.openxmlformats.org/officeDocument/2006/relationships/ctrlProp" Target="../ctrlProps/ctrlProp141.xml"/><Relationship Id="rId5" Type="http://schemas.openxmlformats.org/officeDocument/2006/relationships/ctrlProp" Target="../ctrlProps/ctrlProp114.xml"/><Relationship Id="rId15" Type="http://schemas.openxmlformats.org/officeDocument/2006/relationships/ctrlProp" Target="../ctrlProps/ctrlProp124.xml"/><Relationship Id="rId23" Type="http://schemas.openxmlformats.org/officeDocument/2006/relationships/ctrlProp" Target="../ctrlProps/ctrlProp132.xml"/><Relationship Id="rId28" Type="http://schemas.openxmlformats.org/officeDocument/2006/relationships/ctrlProp" Target="../ctrlProps/ctrlProp137.xml"/><Relationship Id="rId36" Type="http://schemas.openxmlformats.org/officeDocument/2006/relationships/ctrlProp" Target="../ctrlProps/ctrlProp145.xml"/><Relationship Id="rId10" Type="http://schemas.openxmlformats.org/officeDocument/2006/relationships/ctrlProp" Target="../ctrlProps/ctrlProp119.xml"/><Relationship Id="rId19" Type="http://schemas.openxmlformats.org/officeDocument/2006/relationships/ctrlProp" Target="../ctrlProps/ctrlProp128.xml"/><Relationship Id="rId31" Type="http://schemas.openxmlformats.org/officeDocument/2006/relationships/ctrlProp" Target="../ctrlProps/ctrlProp140.xml"/><Relationship Id="rId4" Type="http://schemas.openxmlformats.org/officeDocument/2006/relationships/ctrlProp" Target="../ctrlProps/ctrlProp113.xml"/><Relationship Id="rId9" Type="http://schemas.openxmlformats.org/officeDocument/2006/relationships/ctrlProp" Target="../ctrlProps/ctrlProp118.xml"/><Relationship Id="rId14" Type="http://schemas.openxmlformats.org/officeDocument/2006/relationships/ctrlProp" Target="../ctrlProps/ctrlProp123.xml"/><Relationship Id="rId22" Type="http://schemas.openxmlformats.org/officeDocument/2006/relationships/ctrlProp" Target="../ctrlProps/ctrlProp131.xml"/><Relationship Id="rId27" Type="http://schemas.openxmlformats.org/officeDocument/2006/relationships/ctrlProp" Target="../ctrlProps/ctrlProp136.xml"/><Relationship Id="rId30" Type="http://schemas.openxmlformats.org/officeDocument/2006/relationships/ctrlProp" Target="../ctrlProps/ctrlProp139.xml"/><Relationship Id="rId35" Type="http://schemas.openxmlformats.org/officeDocument/2006/relationships/ctrlProp" Target="../ctrlProps/ctrlProp144.xml"/><Relationship Id="rId8" Type="http://schemas.openxmlformats.org/officeDocument/2006/relationships/ctrlProp" Target="../ctrlProps/ctrlProp117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55.xml"/><Relationship Id="rId18" Type="http://schemas.openxmlformats.org/officeDocument/2006/relationships/ctrlProp" Target="../ctrlProps/ctrlProp160.xml"/><Relationship Id="rId26" Type="http://schemas.openxmlformats.org/officeDocument/2006/relationships/ctrlProp" Target="../ctrlProps/ctrlProp168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63.xml"/><Relationship Id="rId34" Type="http://schemas.openxmlformats.org/officeDocument/2006/relationships/ctrlProp" Target="../ctrlProps/ctrlProp176.xml"/><Relationship Id="rId7" Type="http://schemas.openxmlformats.org/officeDocument/2006/relationships/ctrlProp" Target="../ctrlProps/ctrlProp149.xml"/><Relationship Id="rId12" Type="http://schemas.openxmlformats.org/officeDocument/2006/relationships/ctrlProp" Target="../ctrlProps/ctrlProp154.xml"/><Relationship Id="rId17" Type="http://schemas.openxmlformats.org/officeDocument/2006/relationships/ctrlProp" Target="../ctrlProps/ctrlProp159.xml"/><Relationship Id="rId25" Type="http://schemas.openxmlformats.org/officeDocument/2006/relationships/ctrlProp" Target="../ctrlProps/ctrlProp167.xml"/><Relationship Id="rId33" Type="http://schemas.openxmlformats.org/officeDocument/2006/relationships/ctrlProp" Target="../ctrlProps/ctrlProp175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58.xml"/><Relationship Id="rId20" Type="http://schemas.openxmlformats.org/officeDocument/2006/relationships/ctrlProp" Target="../ctrlProps/ctrlProp162.xml"/><Relationship Id="rId29" Type="http://schemas.openxmlformats.org/officeDocument/2006/relationships/ctrlProp" Target="../ctrlProps/ctrlProp17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48.xml"/><Relationship Id="rId11" Type="http://schemas.openxmlformats.org/officeDocument/2006/relationships/ctrlProp" Target="../ctrlProps/ctrlProp153.xml"/><Relationship Id="rId24" Type="http://schemas.openxmlformats.org/officeDocument/2006/relationships/ctrlProp" Target="../ctrlProps/ctrlProp166.xml"/><Relationship Id="rId32" Type="http://schemas.openxmlformats.org/officeDocument/2006/relationships/ctrlProp" Target="../ctrlProps/ctrlProp174.xml"/><Relationship Id="rId5" Type="http://schemas.openxmlformats.org/officeDocument/2006/relationships/ctrlProp" Target="../ctrlProps/ctrlProp147.xml"/><Relationship Id="rId15" Type="http://schemas.openxmlformats.org/officeDocument/2006/relationships/ctrlProp" Target="../ctrlProps/ctrlProp157.xml"/><Relationship Id="rId23" Type="http://schemas.openxmlformats.org/officeDocument/2006/relationships/ctrlProp" Target="../ctrlProps/ctrlProp165.xml"/><Relationship Id="rId28" Type="http://schemas.openxmlformats.org/officeDocument/2006/relationships/ctrlProp" Target="../ctrlProps/ctrlProp170.xml"/><Relationship Id="rId36" Type="http://schemas.openxmlformats.org/officeDocument/2006/relationships/ctrlProp" Target="../ctrlProps/ctrlProp178.xml"/><Relationship Id="rId10" Type="http://schemas.openxmlformats.org/officeDocument/2006/relationships/ctrlProp" Target="../ctrlProps/ctrlProp152.xml"/><Relationship Id="rId19" Type="http://schemas.openxmlformats.org/officeDocument/2006/relationships/ctrlProp" Target="../ctrlProps/ctrlProp161.xml"/><Relationship Id="rId31" Type="http://schemas.openxmlformats.org/officeDocument/2006/relationships/ctrlProp" Target="../ctrlProps/ctrlProp173.xml"/><Relationship Id="rId4" Type="http://schemas.openxmlformats.org/officeDocument/2006/relationships/ctrlProp" Target="../ctrlProps/ctrlProp146.xml"/><Relationship Id="rId9" Type="http://schemas.openxmlformats.org/officeDocument/2006/relationships/ctrlProp" Target="../ctrlProps/ctrlProp151.xml"/><Relationship Id="rId14" Type="http://schemas.openxmlformats.org/officeDocument/2006/relationships/ctrlProp" Target="../ctrlProps/ctrlProp156.xml"/><Relationship Id="rId22" Type="http://schemas.openxmlformats.org/officeDocument/2006/relationships/ctrlProp" Target="../ctrlProps/ctrlProp164.xml"/><Relationship Id="rId27" Type="http://schemas.openxmlformats.org/officeDocument/2006/relationships/ctrlProp" Target="../ctrlProps/ctrlProp169.xml"/><Relationship Id="rId30" Type="http://schemas.openxmlformats.org/officeDocument/2006/relationships/ctrlProp" Target="../ctrlProps/ctrlProp172.xml"/><Relationship Id="rId35" Type="http://schemas.openxmlformats.org/officeDocument/2006/relationships/ctrlProp" Target="../ctrlProps/ctrlProp177.xml"/><Relationship Id="rId8" Type="http://schemas.openxmlformats.org/officeDocument/2006/relationships/ctrlProp" Target="../ctrlProps/ctrlProp15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tabSelected="1" workbookViewId="0">
      <selection activeCell="B32" sqref="B32:S32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95" t="s">
        <v>77</v>
      </c>
      <c r="N2" s="95"/>
      <c r="O2" s="95"/>
      <c r="P2" s="95"/>
      <c r="Q2" s="95"/>
      <c r="R2" s="95"/>
      <c r="W2" s="4"/>
      <c r="X2" s="4"/>
      <c r="Y2" s="4"/>
      <c r="Z2" s="4"/>
      <c r="AA2" s="111" t="s">
        <v>46</v>
      </c>
      <c r="AB2" s="111"/>
      <c r="AC2" s="111"/>
      <c r="AD2" s="111"/>
      <c r="AE2" s="111"/>
      <c r="AF2" s="111"/>
      <c r="AG2" s="111"/>
      <c r="AH2" s="111"/>
      <c r="AI2" s="111"/>
      <c r="AJ2" s="11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98"/>
      <c r="F3" s="98"/>
      <c r="G3" s="98"/>
      <c r="H3" s="98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L3" s="5" t="s">
        <v>0</v>
      </c>
      <c r="AM3" s="5"/>
      <c r="AN3" s="92" t="s">
        <v>148</v>
      </c>
      <c r="AO3" s="92"/>
      <c r="AP3" s="92"/>
      <c r="AQ3" s="92"/>
      <c r="AR3" s="92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96" t="s">
        <v>142</v>
      </c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96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113" t="s">
        <v>144</v>
      </c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99</v>
      </c>
      <c r="AH6" s="12"/>
      <c r="AI6" s="117">
        <v>6</v>
      </c>
      <c r="AJ6" s="117"/>
      <c r="AK6" s="117"/>
      <c r="AL6" s="9" t="s">
        <v>1</v>
      </c>
      <c r="AM6" s="117">
        <v>10</v>
      </c>
      <c r="AN6" s="117"/>
      <c r="AO6" s="9" t="s">
        <v>2</v>
      </c>
      <c r="AP6" s="117">
        <v>29</v>
      </c>
      <c r="AQ6" s="117"/>
      <c r="AR6" s="31" t="s">
        <v>95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115" t="s">
        <v>143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4" t="s">
        <v>54</v>
      </c>
      <c r="U7" s="114"/>
      <c r="V7" s="114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4"/>
      <c r="U8" s="114"/>
      <c r="V8" s="114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101" t="s">
        <v>146</v>
      </c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99" t="s">
        <v>147</v>
      </c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74"/>
      <c r="Z13" s="78"/>
      <c r="AA13" s="78"/>
      <c r="AB13" s="121" t="s">
        <v>56</v>
      </c>
      <c r="AC13" s="121"/>
      <c r="AD13" s="121"/>
      <c r="AE13" s="122" t="s">
        <v>81</v>
      </c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139</v>
      </c>
      <c r="E15" s="74"/>
      <c r="F15" s="74"/>
      <c r="G15" s="74"/>
      <c r="I15" s="81" t="s">
        <v>140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23" t="s">
        <v>57</v>
      </c>
      <c r="AC15" s="123"/>
      <c r="AD15" s="123"/>
      <c r="AE15" s="122" t="s">
        <v>82</v>
      </c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/>
      <c r="F17" s="5"/>
      <c r="G17" s="5"/>
      <c r="H17" s="5"/>
      <c r="I17" s="5"/>
      <c r="J17" s="92"/>
      <c r="K17" s="92"/>
      <c r="L17" s="92"/>
      <c r="M17" s="5"/>
      <c r="N17" s="92"/>
      <c r="O17" s="92"/>
      <c r="P17" s="5"/>
      <c r="Q17" s="92"/>
      <c r="R17" s="92"/>
      <c r="S17" s="5"/>
      <c r="T17" s="5"/>
      <c r="U17" s="5"/>
      <c r="AB17" s="79" t="s">
        <v>6</v>
      </c>
      <c r="AC17" s="79"/>
      <c r="AD17" s="79"/>
      <c r="AE17" s="79"/>
      <c r="AF17" s="99" t="s">
        <v>96</v>
      </c>
      <c r="AG17" s="99"/>
      <c r="AH17" s="99"/>
      <c r="AI17" s="99"/>
      <c r="AJ17" s="99"/>
      <c r="AK17" s="99"/>
      <c r="AL17" s="99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J19" s="85">
        <f>H39</f>
        <v>253000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AB19" s="102"/>
      <c r="AC19" s="103"/>
      <c r="AD19" s="103"/>
      <c r="AE19" s="103"/>
      <c r="AF19" s="104"/>
      <c r="AG19" s="102"/>
      <c r="AH19" s="103"/>
      <c r="AI19" s="103"/>
      <c r="AJ19" s="103"/>
      <c r="AK19" s="104"/>
      <c r="AL19" s="102"/>
      <c r="AM19" s="103"/>
      <c r="AN19" s="103"/>
      <c r="AO19" s="103"/>
      <c r="AP19" s="104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D20" s="111" t="s">
        <v>97</v>
      </c>
      <c r="E20" s="111"/>
      <c r="F20" s="111"/>
      <c r="G20" s="111"/>
      <c r="H20" s="111"/>
      <c r="I20" s="111"/>
      <c r="J20" s="93">
        <f>H39</f>
        <v>253000</v>
      </c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AB20" s="105"/>
      <c r="AC20" s="106"/>
      <c r="AD20" s="106"/>
      <c r="AE20" s="106"/>
      <c r="AF20" s="107"/>
      <c r="AG20" s="105"/>
      <c r="AH20" s="106"/>
      <c r="AI20" s="106"/>
      <c r="AJ20" s="106"/>
      <c r="AK20" s="107"/>
      <c r="AL20" s="105"/>
      <c r="AM20" s="106"/>
      <c r="AN20" s="106"/>
      <c r="AO20" s="106"/>
      <c r="AP20" s="107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D21" s="112"/>
      <c r="E21" s="112"/>
      <c r="F21" s="112"/>
      <c r="G21" s="112"/>
      <c r="H21" s="112"/>
      <c r="I21" s="112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AB21" s="105"/>
      <c r="AC21" s="106"/>
      <c r="AD21" s="106"/>
      <c r="AE21" s="106"/>
      <c r="AF21" s="107"/>
      <c r="AG21" s="105"/>
      <c r="AH21" s="106"/>
      <c r="AI21" s="106"/>
      <c r="AJ21" s="106"/>
      <c r="AK21" s="107"/>
      <c r="AL21" s="105"/>
      <c r="AM21" s="106"/>
      <c r="AN21" s="106"/>
      <c r="AO21" s="106"/>
      <c r="AP21" s="107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118" t="s">
        <v>141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78"/>
      <c r="AB22" s="108"/>
      <c r="AC22" s="109"/>
      <c r="AD22" s="109"/>
      <c r="AE22" s="109"/>
      <c r="AF22" s="110"/>
      <c r="AG22" s="108"/>
      <c r="AH22" s="109"/>
      <c r="AI22" s="109"/>
      <c r="AJ22" s="109"/>
      <c r="AK22" s="110"/>
      <c r="AL22" s="108"/>
      <c r="AM22" s="109"/>
      <c r="AN22" s="109"/>
      <c r="AO22" s="109"/>
      <c r="AP22" s="110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50" t="s">
        <v>8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2"/>
      <c r="T24" s="86" t="s">
        <v>9</v>
      </c>
      <c r="U24" s="87"/>
      <c r="V24" s="87"/>
      <c r="W24" s="87"/>
      <c r="X24" s="87"/>
      <c r="Y24" s="87"/>
      <c r="Z24" s="88"/>
      <c r="AA24" s="86" t="s">
        <v>98</v>
      </c>
      <c r="AB24" s="87"/>
      <c r="AC24" s="87"/>
      <c r="AD24" s="87"/>
      <c r="AE24" s="87"/>
      <c r="AF24" s="86" t="s">
        <v>11</v>
      </c>
      <c r="AG24" s="87"/>
      <c r="AH24" s="87"/>
      <c r="AI24" s="87"/>
      <c r="AJ24" s="87"/>
      <c r="AK24" s="87"/>
      <c r="AL24" s="88"/>
      <c r="AM24" s="86" t="s">
        <v>12</v>
      </c>
      <c r="AN24" s="87"/>
      <c r="AO24" s="87"/>
      <c r="AP24" s="87"/>
      <c r="AQ24" s="87"/>
      <c r="AR24" s="87"/>
      <c r="AS24" s="148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53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5"/>
      <c r="T25" s="89"/>
      <c r="U25" s="90"/>
      <c r="V25" s="90"/>
      <c r="W25" s="90"/>
      <c r="X25" s="90"/>
      <c r="Y25" s="90"/>
      <c r="Z25" s="91"/>
      <c r="AA25" s="89"/>
      <c r="AB25" s="90"/>
      <c r="AC25" s="90"/>
      <c r="AD25" s="90"/>
      <c r="AE25" s="90"/>
      <c r="AF25" s="89"/>
      <c r="AG25" s="90"/>
      <c r="AH25" s="90"/>
      <c r="AI25" s="90"/>
      <c r="AJ25" s="90"/>
      <c r="AK25" s="90"/>
      <c r="AL25" s="91"/>
      <c r="AM25" s="89"/>
      <c r="AN25" s="90"/>
      <c r="AO25" s="90"/>
      <c r="AP25" s="90"/>
      <c r="AQ25" s="90"/>
      <c r="AR25" s="90"/>
      <c r="AS25" s="149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43" t="s">
        <v>145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5"/>
      <c r="T26" s="127"/>
      <c r="U26" s="128"/>
      <c r="V26" s="128"/>
      <c r="W26" s="128"/>
      <c r="X26" s="146" t="s">
        <v>21</v>
      </c>
      <c r="Y26" s="146"/>
      <c r="Z26" s="147"/>
      <c r="AA26" s="127"/>
      <c r="AB26" s="128"/>
      <c r="AC26" s="128"/>
      <c r="AD26" s="128"/>
      <c r="AE26" s="129"/>
      <c r="AF26" s="127">
        <f t="shared" ref="AF26:AF37" si="0">IF(T26="",1*AA26,T26*AA26)</f>
        <v>0</v>
      </c>
      <c r="AG26" s="128"/>
      <c r="AH26" s="128"/>
      <c r="AI26" s="128"/>
      <c r="AJ26" s="128"/>
      <c r="AK26" s="128"/>
      <c r="AL26" s="129"/>
      <c r="AM26" s="124"/>
      <c r="AN26" s="125"/>
      <c r="AO26" s="125"/>
      <c r="AP26" s="125"/>
      <c r="AQ26" s="125"/>
      <c r="AR26" s="125"/>
      <c r="AS26" s="126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43" t="s">
        <v>149</v>
      </c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5"/>
      <c r="T27" s="127"/>
      <c r="U27" s="128"/>
      <c r="V27" s="128"/>
      <c r="W27" s="128"/>
      <c r="X27" s="146" t="s">
        <v>21</v>
      </c>
      <c r="Y27" s="146"/>
      <c r="Z27" s="147"/>
      <c r="AA27" s="127">
        <v>150000</v>
      </c>
      <c r="AB27" s="128"/>
      <c r="AC27" s="128"/>
      <c r="AD27" s="128"/>
      <c r="AE27" s="129"/>
      <c r="AF27" s="127">
        <f t="shared" ref="AF27" si="1">IF(T27="",1*AA27,T27*AA27)</f>
        <v>150000</v>
      </c>
      <c r="AG27" s="128"/>
      <c r="AH27" s="128"/>
      <c r="AI27" s="128"/>
      <c r="AJ27" s="128"/>
      <c r="AK27" s="128"/>
      <c r="AL27" s="129"/>
      <c r="AM27" s="124"/>
      <c r="AN27" s="125"/>
      <c r="AO27" s="125"/>
      <c r="AP27" s="125"/>
      <c r="AQ27" s="125"/>
      <c r="AR27" s="125"/>
      <c r="AS27" s="126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43" t="s">
        <v>150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5"/>
      <c r="T28" s="127"/>
      <c r="U28" s="128"/>
      <c r="V28" s="128"/>
      <c r="W28" s="128"/>
      <c r="X28" s="146" t="s">
        <v>21</v>
      </c>
      <c r="Y28" s="146"/>
      <c r="Z28" s="147"/>
      <c r="AA28" s="127">
        <v>80000</v>
      </c>
      <c r="AB28" s="128"/>
      <c r="AC28" s="128"/>
      <c r="AD28" s="128"/>
      <c r="AE28" s="129"/>
      <c r="AF28" s="127">
        <f>IF(T28="",1*AA28,T28*AA28)</f>
        <v>80000</v>
      </c>
      <c r="AG28" s="128"/>
      <c r="AH28" s="128"/>
      <c r="AI28" s="128"/>
      <c r="AJ28" s="128"/>
      <c r="AK28" s="128"/>
      <c r="AL28" s="129"/>
      <c r="AM28" s="124"/>
      <c r="AN28" s="125"/>
      <c r="AO28" s="125"/>
      <c r="AP28" s="125"/>
      <c r="AQ28" s="125"/>
      <c r="AR28" s="125"/>
      <c r="AS28" s="126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4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5"/>
      <c r="T29" s="127"/>
      <c r="U29" s="128"/>
      <c r="V29" s="128"/>
      <c r="W29" s="128"/>
      <c r="X29" s="146"/>
      <c r="Y29" s="146"/>
      <c r="Z29" s="147"/>
      <c r="AA29" s="127"/>
      <c r="AB29" s="128"/>
      <c r="AC29" s="128"/>
      <c r="AD29" s="128"/>
      <c r="AE29" s="129"/>
      <c r="AF29" s="127">
        <f t="shared" ref="AF29" si="2">IF(T29="",1*AA29,T29*AA29)</f>
        <v>0</v>
      </c>
      <c r="AG29" s="128"/>
      <c r="AH29" s="128"/>
      <c r="AI29" s="128"/>
      <c r="AJ29" s="128"/>
      <c r="AK29" s="128"/>
      <c r="AL29" s="129"/>
      <c r="AM29" s="124"/>
      <c r="AN29" s="125"/>
      <c r="AO29" s="125"/>
      <c r="AP29" s="125"/>
      <c r="AQ29" s="125"/>
      <c r="AR29" s="125"/>
      <c r="AS29" s="126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43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5"/>
      <c r="T30" s="127"/>
      <c r="U30" s="128"/>
      <c r="V30" s="128"/>
      <c r="W30" s="128"/>
      <c r="X30" s="146"/>
      <c r="Y30" s="146"/>
      <c r="Z30" s="147"/>
      <c r="AA30" s="127"/>
      <c r="AB30" s="128"/>
      <c r="AC30" s="128"/>
      <c r="AD30" s="128"/>
      <c r="AE30" s="129"/>
      <c r="AF30" s="127">
        <f t="shared" ref="AF30" si="3">IF(T30="",1*AA30,T30*AA30)</f>
        <v>0</v>
      </c>
      <c r="AG30" s="128"/>
      <c r="AH30" s="128"/>
      <c r="AI30" s="128"/>
      <c r="AJ30" s="128"/>
      <c r="AK30" s="128"/>
      <c r="AL30" s="129"/>
      <c r="AM30" s="124"/>
      <c r="AN30" s="125"/>
      <c r="AO30" s="125"/>
      <c r="AP30" s="125"/>
      <c r="AQ30" s="125"/>
      <c r="AR30" s="125"/>
      <c r="AS30" s="126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84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43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5"/>
      <c r="T31" s="127"/>
      <c r="U31" s="128"/>
      <c r="V31" s="128"/>
      <c r="W31" s="128"/>
      <c r="X31" s="146"/>
      <c r="Y31" s="146"/>
      <c r="Z31" s="147"/>
      <c r="AA31" s="127"/>
      <c r="AB31" s="128"/>
      <c r="AC31" s="128"/>
      <c r="AD31" s="128"/>
      <c r="AE31" s="129"/>
      <c r="AF31" s="127">
        <f t="shared" ref="AF31:AF32" si="4">IF(T31="",1*AA31,T31*AA31)</f>
        <v>0</v>
      </c>
      <c r="AG31" s="128"/>
      <c r="AH31" s="128"/>
      <c r="AI31" s="128"/>
      <c r="AJ31" s="128"/>
      <c r="AK31" s="128"/>
      <c r="AL31" s="129"/>
      <c r="AM31" s="124"/>
      <c r="AN31" s="125"/>
      <c r="AO31" s="125"/>
      <c r="AP31" s="125"/>
      <c r="AQ31" s="125"/>
      <c r="AR31" s="125"/>
      <c r="AS31" s="126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43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5"/>
      <c r="T32" s="127"/>
      <c r="U32" s="128"/>
      <c r="V32" s="128"/>
      <c r="W32" s="128"/>
      <c r="X32" s="146"/>
      <c r="Y32" s="146"/>
      <c r="Z32" s="147"/>
      <c r="AA32" s="127"/>
      <c r="AB32" s="128"/>
      <c r="AC32" s="128"/>
      <c r="AD32" s="128"/>
      <c r="AE32" s="129"/>
      <c r="AF32" s="127">
        <f t="shared" si="4"/>
        <v>0</v>
      </c>
      <c r="AG32" s="128"/>
      <c r="AH32" s="128"/>
      <c r="AI32" s="128"/>
      <c r="AJ32" s="128"/>
      <c r="AK32" s="128"/>
      <c r="AL32" s="129"/>
      <c r="AM32" s="124"/>
      <c r="AN32" s="125"/>
      <c r="AO32" s="125"/>
      <c r="AP32" s="125"/>
      <c r="AQ32" s="125"/>
      <c r="AR32" s="125"/>
      <c r="AS32" s="126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43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5"/>
      <c r="T33" s="127"/>
      <c r="U33" s="128"/>
      <c r="V33" s="128"/>
      <c r="W33" s="128"/>
      <c r="X33" s="146"/>
      <c r="Y33" s="146"/>
      <c r="Z33" s="147"/>
      <c r="AA33" s="127"/>
      <c r="AB33" s="128"/>
      <c r="AC33" s="128"/>
      <c r="AD33" s="128"/>
      <c r="AE33" s="129"/>
      <c r="AF33" s="127">
        <f>IF(T33="",1*AA33,T33*AA33)</f>
        <v>0</v>
      </c>
      <c r="AG33" s="128"/>
      <c r="AH33" s="128"/>
      <c r="AI33" s="128"/>
      <c r="AJ33" s="128"/>
      <c r="AK33" s="128"/>
      <c r="AL33" s="129"/>
      <c r="AM33" s="124"/>
      <c r="AN33" s="125"/>
      <c r="AO33" s="125"/>
      <c r="AP33" s="125"/>
      <c r="AQ33" s="125"/>
      <c r="AR33" s="125"/>
      <c r="AS33" s="126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43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5"/>
      <c r="T34" s="127"/>
      <c r="U34" s="128"/>
      <c r="V34" s="128"/>
      <c r="W34" s="128"/>
      <c r="X34" s="146"/>
      <c r="Y34" s="146"/>
      <c r="Z34" s="147"/>
      <c r="AA34" s="127"/>
      <c r="AB34" s="128"/>
      <c r="AC34" s="128"/>
      <c r="AD34" s="128"/>
      <c r="AE34" s="129"/>
      <c r="AF34" s="127">
        <f>IF(T34="",1*AA34,T34*AA34)</f>
        <v>0</v>
      </c>
      <c r="AG34" s="128"/>
      <c r="AH34" s="128"/>
      <c r="AI34" s="128"/>
      <c r="AJ34" s="128"/>
      <c r="AK34" s="128"/>
      <c r="AL34" s="129"/>
      <c r="AM34" s="124"/>
      <c r="AN34" s="125"/>
      <c r="AO34" s="125"/>
      <c r="AP34" s="125"/>
      <c r="AQ34" s="125"/>
      <c r="AR34" s="125"/>
      <c r="AS34" s="126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43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5"/>
      <c r="T35" s="127"/>
      <c r="U35" s="128"/>
      <c r="V35" s="128"/>
      <c r="W35" s="128"/>
      <c r="X35" s="146"/>
      <c r="Y35" s="146"/>
      <c r="Z35" s="147"/>
      <c r="AA35" s="127"/>
      <c r="AB35" s="128"/>
      <c r="AC35" s="128"/>
      <c r="AD35" s="128"/>
      <c r="AE35" s="129"/>
      <c r="AF35" s="127">
        <f>IF(T35="",1*AA35,T35*AA35)</f>
        <v>0</v>
      </c>
      <c r="AG35" s="128"/>
      <c r="AH35" s="128"/>
      <c r="AI35" s="128"/>
      <c r="AJ35" s="128"/>
      <c r="AK35" s="128"/>
      <c r="AL35" s="129"/>
      <c r="AM35" s="130"/>
      <c r="AN35" s="131"/>
      <c r="AO35" s="131"/>
      <c r="AP35" s="131"/>
      <c r="AQ35" s="131"/>
      <c r="AR35" s="131"/>
      <c r="AS35" s="132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43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5"/>
      <c r="T36" s="127"/>
      <c r="U36" s="128"/>
      <c r="V36" s="128"/>
      <c r="W36" s="128"/>
      <c r="X36" s="146"/>
      <c r="Y36" s="146"/>
      <c r="Z36" s="147"/>
      <c r="AA36" s="127"/>
      <c r="AB36" s="128"/>
      <c r="AC36" s="128"/>
      <c r="AD36" s="128"/>
      <c r="AE36" s="129"/>
      <c r="AF36" s="127">
        <f t="shared" si="0"/>
        <v>0</v>
      </c>
      <c r="AG36" s="128"/>
      <c r="AH36" s="128"/>
      <c r="AI36" s="128"/>
      <c r="AJ36" s="128"/>
      <c r="AK36" s="128"/>
      <c r="AL36" s="129"/>
      <c r="AM36" s="130"/>
      <c r="AN36" s="131"/>
      <c r="AO36" s="131"/>
      <c r="AP36" s="131"/>
      <c r="AQ36" s="131"/>
      <c r="AR36" s="131"/>
      <c r="AS36" s="132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43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5"/>
      <c r="T37" s="127"/>
      <c r="U37" s="128"/>
      <c r="V37" s="128"/>
      <c r="W37" s="128"/>
      <c r="X37" s="146"/>
      <c r="Y37" s="146"/>
      <c r="Z37" s="147"/>
      <c r="AA37" s="127"/>
      <c r="AB37" s="128"/>
      <c r="AC37" s="128"/>
      <c r="AD37" s="128"/>
      <c r="AE37" s="129"/>
      <c r="AF37" s="127">
        <f t="shared" si="0"/>
        <v>0</v>
      </c>
      <c r="AG37" s="128"/>
      <c r="AH37" s="128"/>
      <c r="AI37" s="128"/>
      <c r="AJ37" s="128"/>
      <c r="AK37" s="128"/>
      <c r="AL37" s="129"/>
      <c r="AM37" s="130"/>
      <c r="AN37" s="131"/>
      <c r="AO37" s="131"/>
      <c r="AP37" s="131"/>
      <c r="AQ37" s="131"/>
      <c r="AR37" s="131"/>
      <c r="AS37" s="132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69" t="s">
        <v>100</v>
      </c>
      <c r="C38" s="170"/>
      <c r="D38" s="170"/>
      <c r="E38" s="170"/>
      <c r="F38" s="170"/>
      <c r="G38" s="171"/>
      <c r="H38" s="172">
        <f>AA38*0.1</f>
        <v>23000</v>
      </c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4"/>
      <c r="T38" s="175" t="s">
        <v>14</v>
      </c>
      <c r="U38" s="170"/>
      <c r="V38" s="170"/>
      <c r="W38" s="170"/>
      <c r="X38" s="170"/>
      <c r="Y38" s="170"/>
      <c r="Z38" s="171"/>
      <c r="AA38" s="176">
        <f>SUM(AF26:AL37)</f>
        <v>230000</v>
      </c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8"/>
      <c r="AM38" s="139"/>
      <c r="AN38" s="140"/>
      <c r="AO38" s="140"/>
      <c r="AP38" s="140"/>
      <c r="AQ38" s="140"/>
      <c r="AR38" s="140"/>
      <c r="AS38" s="14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56" t="s">
        <v>7</v>
      </c>
      <c r="C39" s="157"/>
      <c r="D39" s="157"/>
      <c r="E39" s="157"/>
      <c r="F39" s="157"/>
      <c r="G39" s="158"/>
      <c r="H39" s="159">
        <f>CK115+H38</f>
        <v>253000</v>
      </c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1"/>
      <c r="AM39" s="133"/>
      <c r="AN39" s="134"/>
      <c r="AO39" s="134"/>
      <c r="AP39" s="134"/>
      <c r="AQ39" s="134"/>
      <c r="AR39" s="134"/>
      <c r="AS39" s="135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62" t="s">
        <v>15</v>
      </c>
      <c r="C40" s="163"/>
      <c r="D40" s="163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5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thickBot="1" x14ac:dyDescent="0.2">
      <c r="A41" s="26"/>
      <c r="B41" s="166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  <c r="AP41" s="167"/>
      <c r="AQ41" s="167"/>
      <c r="AR41" s="167"/>
      <c r="AS41" s="168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Top="1" thickBot="1" x14ac:dyDescent="0.2">
      <c r="A42" s="26"/>
      <c r="B42" s="166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  <c r="AP42" s="167"/>
      <c r="AQ42" s="167"/>
      <c r="AR42" s="167"/>
      <c r="AS42" s="168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3"/>
      <c r="O44" s="183"/>
      <c r="P44" s="183"/>
      <c r="Q44" s="183"/>
      <c r="R44" s="183"/>
      <c r="S44" s="183"/>
      <c r="T44" s="183"/>
      <c r="U44" s="183"/>
      <c r="V44" s="183"/>
      <c r="W44" s="1"/>
      <c r="X44" s="51"/>
      <c r="Y44" s="16"/>
      <c r="Z44" s="15"/>
      <c r="AA44" s="15"/>
      <c r="AB44" s="182"/>
      <c r="AC44" s="182"/>
      <c r="AD44" s="182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79"/>
      <c r="O45" s="179"/>
      <c r="P45" s="180"/>
      <c r="Q45" s="180"/>
      <c r="R45" s="180"/>
      <c r="S45" s="180"/>
      <c r="T45" s="180"/>
      <c r="U45" s="180"/>
      <c r="V45" s="180"/>
      <c r="W45" s="1"/>
      <c r="X45" s="53"/>
      <c r="Y45" s="54"/>
      <c r="Z45" s="15"/>
      <c r="AA45" s="15"/>
      <c r="AB45" s="181"/>
      <c r="AC45" s="181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9"/>
      <c r="O46" s="179"/>
      <c r="P46" s="180"/>
      <c r="Q46" s="180"/>
      <c r="R46" s="180"/>
      <c r="S46" s="180"/>
      <c r="T46" s="180"/>
      <c r="U46" s="180"/>
      <c r="V46" s="180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9"/>
      <c r="O47" s="179"/>
      <c r="P47" s="180"/>
      <c r="Q47" s="180"/>
      <c r="R47" s="180"/>
      <c r="S47" s="180"/>
      <c r="T47" s="180"/>
      <c r="U47" s="180"/>
      <c r="V47" s="180"/>
      <c r="W47" s="1"/>
      <c r="X47" s="53"/>
      <c r="Y47" s="54"/>
      <c r="Z47" s="15"/>
      <c r="AA47" s="182"/>
      <c r="AB47" s="182"/>
      <c r="AC47" s="182"/>
      <c r="AD47" s="182"/>
      <c r="AE47" s="182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9"/>
      <c r="O48" s="179"/>
      <c r="P48" s="180"/>
      <c r="Q48" s="180"/>
      <c r="R48" s="180"/>
      <c r="S48" s="180"/>
      <c r="T48" s="180"/>
      <c r="U48" s="180"/>
      <c r="V48" s="180"/>
      <c r="W48" s="1"/>
      <c r="X48" s="53"/>
      <c r="Y48" s="54"/>
      <c r="Z48" s="15"/>
      <c r="AA48" s="56"/>
      <c r="AB48" s="181"/>
      <c r="AC48" s="181"/>
      <c r="AD48" s="181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9"/>
      <c r="O49" s="179"/>
      <c r="P49" s="180"/>
      <c r="Q49" s="180"/>
      <c r="R49" s="180"/>
      <c r="S49" s="180"/>
      <c r="T49" s="180"/>
      <c r="U49" s="180"/>
      <c r="V49" s="180"/>
      <c r="W49" s="1"/>
      <c r="X49" s="53"/>
      <c r="Y49" s="54"/>
      <c r="Z49" s="15"/>
      <c r="AA49" s="56"/>
      <c r="AB49" s="181"/>
      <c r="AC49" s="181"/>
      <c r="AD49" s="181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9"/>
      <c r="O50" s="179"/>
      <c r="P50" s="180"/>
      <c r="Q50" s="180"/>
      <c r="R50" s="180"/>
      <c r="S50" s="180"/>
      <c r="T50" s="180"/>
      <c r="U50" s="180"/>
      <c r="V50" s="180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9"/>
      <c r="O51" s="179"/>
      <c r="P51" s="180"/>
      <c r="Q51" s="180"/>
      <c r="R51" s="180"/>
      <c r="S51" s="180"/>
      <c r="T51" s="180"/>
      <c r="U51" s="180"/>
      <c r="V51" s="180"/>
      <c r="W51" s="1"/>
      <c r="X51" s="53"/>
      <c r="Y51" s="53"/>
      <c r="Z51" s="15"/>
      <c r="AA51" s="138"/>
      <c r="AB51" s="138"/>
      <c r="AC51" s="138"/>
      <c r="AD51" s="138"/>
      <c r="AE51" s="138"/>
      <c r="AF51" s="138"/>
      <c r="AG51" s="138"/>
      <c r="AH51" s="138"/>
      <c r="AI51" s="138"/>
      <c r="AJ51" s="182"/>
      <c r="AK51" s="182"/>
      <c r="AL51" s="182"/>
      <c r="AM51" s="182"/>
      <c r="AN51" s="182"/>
      <c r="AO51" s="182"/>
      <c r="AP51" s="182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9"/>
      <c r="O52" s="179"/>
      <c r="P52" s="180"/>
      <c r="Q52" s="180"/>
      <c r="R52" s="180"/>
      <c r="S52" s="180"/>
      <c r="T52" s="180"/>
      <c r="U52" s="180"/>
      <c r="V52" s="180"/>
      <c r="W52" s="1"/>
      <c r="X52" s="53"/>
      <c r="Y52" s="54"/>
      <c r="Z52" s="15"/>
      <c r="AA52" s="5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"/>
      <c r="AR52" s="1"/>
      <c r="AS52" s="1"/>
      <c r="AT52" s="1"/>
      <c r="AU52" s="1"/>
      <c r="AV52" s="1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9"/>
      <c r="O53" s="179"/>
      <c r="P53" s="180"/>
      <c r="Q53" s="180"/>
      <c r="R53" s="180"/>
      <c r="S53" s="180"/>
      <c r="T53" s="180"/>
      <c r="U53" s="180"/>
      <c r="V53" s="180"/>
      <c r="W53" s="1"/>
      <c r="X53" s="53"/>
      <c r="Y53" s="54"/>
      <c r="Z53" s="15"/>
      <c r="AA53" s="5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"/>
      <c r="AR53" s="1"/>
      <c r="AS53" s="1"/>
      <c r="AT53" s="1"/>
      <c r="AU53" s="1"/>
      <c r="AV53" s="1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9"/>
      <c r="O54" s="179"/>
      <c r="P54" s="180"/>
      <c r="Q54" s="180"/>
      <c r="R54" s="180"/>
      <c r="S54" s="180"/>
      <c r="T54" s="180"/>
      <c r="U54" s="180"/>
      <c r="V54" s="180"/>
      <c r="W54" s="1"/>
      <c r="X54" s="53"/>
      <c r="Y54" s="54"/>
      <c r="Z54" s="15"/>
      <c r="AA54" s="5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"/>
      <c r="AR54" s="1"/>
      <c r="AS54" s="1"/>
      <c r="AT54" s="1"/>
      <c r="AU54" s="1"/>
      <c r="AV54" s="1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9"/>
      <c r="O55" s="179"/>
      <c r="P55" s="180"/>
      <c r="Q55" s="180"/>
      <c r="R55" s="180"/>
      <c r="S55" s="180"/>
      <c r="T55" s="180"/>
      <c r="U55" s="180"/>
      <c r="V55" s="180"/>
      <c r="W55" s="1"/>
      <c r="X55" s="53"/>
      <c r="Y55" s="54"/>
      <c r="Z55" s="15"/>
      <c r="AA55" s="5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"/>
      <c r="AR55" s="1"/>
      <c r="AS55" s="1"/>
      <c r="AT55" s="1"/>
      <c r="AU55" s="1"/>
      <c r="AV55" s="1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83"/>
      <c r="O56" s="183"/>
      <c r="P56" s="180">
        <f>SUM(CK115:CQ115)</f>
        <v>230000</v>
      </c>
      <c r="Q56" s="180"/>
      <c r="R56" s="180"/>
      <c r="S56" s="180"/>
      <c r="T56" s="180"/>
      <c r="U56" s="180"/>
      <c r="V56" s="180"/>
      <c r="W56" s="1"/>
      <c r="X56" s="53"/>
      <c r="Y56" s="54"/>
      <c r="Z56" s="15"/>
      <c r="AA56" s="5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"/>
      <c r="AR56" s="1"/>
      <c r="AS56" s="1"/>
      <c r="AT56" s="1"/>
      <c r="AU56" s="1"/>
      <c r="AV56" s="1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93"/>
      <c r="O60" s="193"/>
      <c r="P60" s="193"/>
      <c r="Q60" s="193"/>
      <c r="R60" s="191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  <c r="AJ60" s="192"/>
      <c r="AK60" s="192"/>
      <c r="AL60" s="192"/>
      <c r="AM60" s="192"/>
      <c r="AN60" s="192"/>
      <c r="AO60" s="192"/>
      <c r="AP60" s="192"/>
      <c r="AQ60" s="1"/>
      <c r="AR60" s="183"/>
      <c r="AS60" s="183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62</v>
      </c>
      <c r="FC100" s="62" t="s">
        <v>63</v>
      </c>
      <c r="FD100" s="62" t="s">
        <v>64</v>
      </c>
      <c r="FE100" s="62" t="s">
        <v>65</v>
      </c>
      <c r="FF100" s="62" t="s">
        <v>17</v>
      </c>
      <c r="FG100" s="62" t="s">
        <v>17</v>
      </c>
      <c r="FH100" s="62" t="s">
        <v>66</v>
      </c>
      <c r="FI100" s="62" t="s">
        <v>67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RSD-SUNMAX-FL-LCW</v>
      </c>
      <c r="FE101" s="64">
        <f>T26</f>
        <v>0</v>
      </c>
      <c r="FF101" s="64" t="str">
        <f>X26</f>
        <v>一式</v>
      </c>
      <c r="FG101" s="64">
        <f>AA26</f>
        <v>0</v>
      </c>
      <c r="FH101" s="64">
        <f>AF26</f>
        <v>0</v>
      </c>
      <c r="FI101" s="64">
        <f>AM26</f>
        <v>0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60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5">B27</f>
        <v>セットアップ操作講習費　函館市　デモ実演　</v>
      </c>
      <c r="FE102" s="64">
        <f t="shared" ref="FE102:FE112" si="6">T27</f>
        <v>0</v>
      </c>
      <c r="FF102" s="64" t="str">
        <f t="shared" ref="FF102:FF112" si="7">X27</f>
        <v>一式</v>
      </c>
      <c r="FG102" s="64">
        <f t="shared" ref="FG102:FG112" si="8">AA27</f>
        <v>150000</v>
      </c>
      <c r="FH102" s="64">
        <f t="shared" ref="FH102:FH112" si="9">AF27</f>
        <v>150000</v>
      </c>
      <c r="FI102" s="64">
        <f t="shared" ref="FI102:FI112" si="10">AM27</f>
        <v>0</v>
      </c>
    </row>
    <row r="103" spans="79:165" ht="15" customHeight="1" x14ac:dyDescent="0.15">
      <c r="CA103" s="44"/>
      <c r="CB103" s="1"/>
      <c r="CC103" s="1"/>
      <c r="CD103" s="1"/>
      <c r="CE103" s="50" t="s">
        <v>52</v>
      </c>
      <c r="CF103" s="1"/>
      <c r="CG103" s="1"/>
      <c r="CH103" s="1"/>
      <c r="CI103" s="187" t="s">
        <v>16</v>
      </c>
      <c r="CJ103" s="188"/>
      <c r="CK103" s="188"/>
      <c r="CL103" s="188"/>
      <c r="CM103" s="188"/>
      <c r="CN103" s="188"/>
      <c r="CO103" s="188"/>
      <c r="CP103" s="188"/>
      <c r="CQ103" s="189"/>
      <c r="CR103" s="1"/>
      <c r="CS103" s="27" t="s">
        <v>17</v>
      </c>
      <c r="CT103" s="14"/>
      <c r="CU103" s="15"/>
      <c r="CV103" s="15"/>
      <c r="CW103" s="190" t="s">
        <v>13</v>
      </c>
      <c r="CX103" s="190"/>
      <c r="CY103" s="190"/>
      <c r="CZ103" s="15"/>
      <c r="DA103" s="16"/>
      <c r="DB103" s="16"/>
      <c r="DC103" s="16"/>
      <c r="DD103" s="36" t="s">
        <v>51</v>
      </c>
      <c r="DE103" s="37"/>
      <c r="DF103" s="37"/>
      <c r="DG103" s="37"/>
      <c r="DH103" s="37"/>
      <c r="DI103" s="37"/>
      <c r="DJ103" s="38"/>
      <c r="DK103" s="15"/>
      <c r="DL103" s="1"/>
      <c r="DM103" s="195" t="s">
        <v>58</v>
      </c>
      <c r="DN103" s="195"/>
      <c r="DO103" s="195"/>
      <c r="DP103" s="195"/>
      <c r="DQ103" s="195"/>
      <c r="DR103" s="195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61</v>
      </c>
      <c r="EN103" s="1"/>
      <c r="EO103" s="1"/>
      <c r="EP103" s="45"/>
      <c r="FB103" s="63">
        <v>0</v>
      </c>
      <c r="FC103" s="64">
        <v>3</v>
      </c>
      <c r="FD103" s="64" t="str">
        <f t="shared" si="5"/>
        <v>運賃　往復　　車上渡しとなります。</v>
      </c>
      <c r="FE103" s="64">
        <f t="shared" si="6"/>
        <v>0</v>
      </c>
      <c r="FF103" s="64" t="str">
        <f t="shared" si="7"/>
        <v>一式</v>
      </c>
      <c r="FG103" s="64">
        <f t="shared" si="8"/>
        <v>80000</v>
      </c>
      <c r="FH103" s="64">
        <f t="shared" si="9"/>
        <v>80000</v>
      </c>
      <c r="FI103" s="64">
        <f t="shared" si="10"/>
        <v>0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186">
        <v>0</v>
      </c>
      <c r="CJ104" s="186"/>
      <c r="CK104" s="194">
        <f>AA38</f>
        <v>230000</v>
      </c>
      <c r="CL104" s="194"/>
      <c r="CM104" s="194"/>
      <c r="CN104" s="194"/>
      <c r="CO104" s="194"/>
      <c r="CP104" s="194"/>
      <c r="CQ104" s="194"/>
      <c r="CR104" s="1"/>
      <c r="CS104" s="17" t="s">
        <v>18</v>
      </c>
      <c r="CT104" s="18"/>
      <c r="CU104" s="15"/>
      <c r="CV104" s="15"/>
      <c r="CW104" s="184">
        <v>5</v>
      </c>
      <c r="CX104" s="185"/>
      <c r="CY104" s="19" t="s">
        <v>19</v>
      </c>
      <c r="CZ104" s="15"/>
      <c r="DA104" s="15"/>
      <c r="DB104" s="15"/>
      <c r="DC104" s="15"/>
      <c r="DD104" s="39" t="s">
        <v>46</v>
      </c>
      <c r="DE104" s="40"/>
      <c r="DF104" s="40"/>
      <c r="DG104" s="40"/>
      <c r="DH104" s="40"/>
      <c r="DI104" s="40"/>
      <c r="DJ104" s="22"/>
      <c r="DK104" s="15"/>
      <c r="DL104" s="1"/>
      <c r="DM104" s="196" t="s">
        <v>59</v>
      </c>
      <c r="DN104" s="197"/>
      <c r="DO104" s="197"/>
      <c r="DP104" s="197"/>
      <c r="DQ104" s="197"/>
      <c r="DR104" s="198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>
        <f>B29</f>
        <v>0</v>
      </c>
      <c r="FE104" s="64">
        <f t="shared" si="6"/>
        <v>0</v>
      </c>
      <c r="FF104" s="64">
        <f t="shared" si="7"/>
        <v>0</v>
      </c>
      <c r="FG104" s="64">
        <f t="shared" si="8"/>
        <v>0</v>
      </c>
      <c r="FH104" s="64">
        <f t="shared" si="9"/>
        <v>0</v>
      </c>
      <c r="FI104" s="64">
        <f t="shared" si="10"/>
        <v>0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186">
        <v>1</v>
      </c>
      <c r="CJ105" s="186"/>
      <c r="CK105" s="194">
        <f>IF(ISERROR(本体装備品一覧!AB30),0,本体装備品一覧!AB30)</f>
        <v>0</v>
      </c>
      <c r="CL105" s="194"/>
      <c r="CM105" s="194"/>
      <c r="CN105" s="194"/>
      <c r="CO105" s="194"/>
      <c r="CP105" s="194"/>
      <c r="CQ105" s="194"/>
      <c r="CR105" s="1"/>
      <c r="CS105" s="17" t="s">
        <v>20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47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6"/>
        <v>0</v>
      </c>
      <c r="FF105" s="64">
        <f t="shared" si="7"/>
        <v>0</v>
      </c>
      <c r="FG105" s="64">
        <f t="shared" si="8"/>
        <v>0</v>
      </c>
      <c r="FH105" s="64">
        <f t="shared" si="9"/>
        <v>0</v>
      </c>
      <c r="FI105" s="64">
        <f t="shared" si="10"/>
        <v>0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186">
        <v>2</v>
      </c>
      <c r="CJ106" s="186"/>
      <c r="CK106" s="194">
        <f>IF(ISERROR(#REF!),0,#REF!)</f>
        <v>0</v>
      </c>
      <c r="CL106" s="194"/>
      <c r="CM106" s="194"/>
      <c r="CN106" s="194"/>
      <c r="CO106" s="194"/>
      <c r="CP106" s="194"/>
      <c r="CQ106" s="194"/>
      <c r="CR106" s="1"/>
      <c r="CS106" s="20" t="s">
        <v>21</v>
      </c>
      <c r="CT106" s="21"/>
      <c r="CU106" s="15"/>
      <c r="CV106" s="190" t="s">
        <v>22</v>
      </c>
      <c r="CW106" s="190"/>
      <c r="CX106" s="190"/>
      <c r="CY106" s="190"/>
      <c r="CZ106" s="190"/>
      <c r="DA106" s="15"/>
      <c r="DB106" s="15"/>
      <c r="DC106" s="15"/>
      <c r="DD106" s="39" t="s">
        <v>48</v>
      </c>
      <c r="DE106" s="40"/>
      <c r="DF106" s="40"/>
      <c r="DG106" s="40"/>
      <c r="DH106" s="40"/>
      <c r="DI106" s="40"/>
      <c r="DJ106" s="22"/>
      <c r="DK106" s="15"/>
      <c r="DL106" s="1"/>
      <c r="DM106" s="195" t="s">
        <v>69</v>
      </c>
      <c r="DN106" s="195"/>
      <c r="DO106" s="195"/>
      <c r="DP106" s="195"/>
      <c r="DQ106" s="195"/>
      <c r="DR106" s="195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6"/>
        <v>0</v>
      </c>
      <c r="FF106" s="64">
        <f t="shared" si="7"/>
        <v>0</v>
      </c>
      <c r="FG106" s="64">
        <f t="shared" si="8"/>
        <v>0</v>
      </c>
      <c r="FH106" s="64">
        <f t="shared" si="9"/>
        <v>0</v>
      </c>
      <c r="FI106" s="64">
        <f t="shared" si="10"/>
        <v>0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186">
        <v>3</v>
      </c>
      <c r="CJ107" s="186"/>
      <c r="CK107" s="194">
        <f>IF(ISERROR(#REF!),0,#REF!)</f>
        <v>0</v>
      </c>
      <c r="CL107" s="194"/>
      <c r="CM107" s="194"/>
      <c r="CN107" s="194"/>
      <c r="CO107" s="194"/>
      <c r="CP107" s="194"/>
      <c r="CQ107" s="194"/>
      <c r="CR107" s="1"/>
      <c r="CS107" s="17" t="s">
        <v>23</v>
      </c>
      <c r="CT107" s="18"/>
      <c r="CU107" s="15"/>
      <c r="CV107" s="28" t="s">
        <v>24</v>
      </c>
      <c r="CW107" s="184">
        <v>100</v>
      </c>
      <c r="CX107" s="184"/>
      <c r="CY107" s="185"/>
      <c r="CZ107" s="22" t="s">
        <v>19</v>
      </c>
      <c r="DA107" s="15"/>
      <c r="DB107" s="15"/>
      <c r="DC107" s="15"/>
      <c r="DD107" s="39" t="s">
        <v>49</v>
      </c>
      <c r="DE107" s="40"/>
      <c r="DF107" s="40"/>
      <c r="DG107" s="40"/>
      <c r="DH107" s="40"/>
      <c r="DI107" s="40"/>
      <c r="DJ107" s="22"/>
      <c r="DK107" s="15"/>
      <c r="DL107" s="1"/>
      <c r="DM107" s="201" t="s">
        <v>78</v>
      </c>
      <c r="DN107" s="202"/>
      <c r="DO107" s="202"/>
      <c r="DP107" s="202"/>
      <c r="DQ107" s="202"/>
      <c r="DR107" s="203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6"/>
        <v>0</v>
      </c>
      <c r="FF107" s="64">
        <f t="shared" si="7"/>
        <v>0</v>
      </c>
      <c r="FG107" s="64">
        <f t="shared" si="8"/>
        <v>0</v>
      </c>
      <c r="FH107" s="64">
        <f t="shared" si="9"/>
        <v>0</v>
      </c>
      <c r="FI107" s="64">
        <f t="shared" si="10"/>
        <v>0</v>
      </c>
    </row>
    <row r="108" spans="79:165" ht="15" customHeight="1" x14ac:dyDescent="0.15">
      <c r="CA108" s="44"/>
      <c r="CB108" s="1"/>
      <c r="CC108" s="1"/>
      <c r="CD108" s="1"/>
      <c r="CE108" s="50" t="s">
        <v>53</v>
      </c>
      <c r="CF108" s="1"/>
      <c r="CG108" s="1"/>
      <c r="CH108" s="1"/>
      <c r="CI108" s="186">
        <v>4</v>
      </c>
      <c r="CJ108" s="186"/>
      <c r="CK108" s="194"/>
      <c r="CL108" s="194"/>
      <c r="CM108" s="194"/>
      <c r="CN108" s="194"/>
      <c r="CO108" s="194"/>
      <c r="CP108" s="194"/>
      <c r="CQ108" s="194"/>
      <c r="CR108" s="1"/>
      <c r="CS108" s="17" t="s">
        <v>25</v>
      </c>
      <c r="CT108" s="18"/>
      <c r="CU108" s="15"/>
      <c r="CV108" s="28" t="s">
        <v>26</v>
      </c>
      <c r="CW108" s="184">
        <v>80</v>
      </c>
      <c r="CX108" s="184"/>
      <c r="CY108" s="185"/>
      <c r="CZ108" s="22" t="s">
        <v>19</v>
      </c>
      <c r="DA108" s="15"/>
      <c r="DB108" s="15"/>
      <c r="DC108" s="15"/>
      <c r="DD108" s="39" t="s">
        <v>50</v>
      </c>
      <c r="DE108" s="40"/>
      <c r="DF108" s="40"/>
      <c r="DG108" s="40"/>
      <c r="DH108" s="40"/>
      <c r="DI108" s="40"/>
      <c r="DJ108" s="22"/>
      <c r="DK108" s="15"/>
      <c r="DL108" s="1"/>
      <c r="DM108" s="196" t="s">
        <v>70</v>
      </c>
      <c r="DN108" s="197"/>
      <c r="DO108" s="197"/>
      <c r="DP108" s="197"/>
      <c r="DQ108" s="197"/>
      <c r="DR108" s="198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>
        <f>B31</f>
        <v>0</v>
      </c>
      <c r="FE108" s="64">
        <f t="shared" si="6"/>
        <v>0</v>
      </c>
      <c r="FF108" s="64">
        <f t="shared" si="7"/>
        <v>0</v>
      </c>
      <c r="FG108" s="64">
        <f t="shared" si="8"/>
        <v>0</v>
      </c>
      <c r="FH108" s="64">
        <f t="shared" si="9"/>
        <v>0</v>
      </c>
      <c r="FI108" s="64">
        <f t="shared" si="10"/>
        <v>0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186">
        <v>5</v>
      </c>
      <c r="CJ109" s="186"/>
      <c r="CK109" s="194"/>
      <c r="CL109" s="194"/>
      <c r="CM109" s="194"/>
      <c r="CN109" s="194"/>
      <c r="CO109" s="194"/>
      <c r="CP109" s="194"/>
      <c r="CQ109" s="194"/>
      <c r="CR109" s="1"/>
      <c r="CS109" s="20" t="s">
        <v>27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96" t="s">
        <v>71</v>
      </c>
      <c r="DN109" s="197"/>
      <c r="DO109" s="197"/>
      <c r="DP109" s="197"/>
      <c r="DQ109" s="197"/>
      <c r="DR109" s="198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>
        <f t="shared" si="5"/>
        <v>0</v>
      </c>
      <c r="FE109" s="64">
        <f t="shared" si="6"/>
        <v>0</v>
      </c>
      <c r="FF109" s="64">
        <f t="shared" si="7"/>
        <v>0</v>
      </c>
      <c r="FG109" s="64">
        <f t="shared" si="8"/>
        <v>0</v>
      </c>
      <c r="FH109" s="64">
        <f t="shared" si="9"/>
        <v>0</v>
      </c>
      <c r="FI109" s="64">
        <f t="shared" si="10"/>
        <v>0</v>
      </c>
    </row>
    <row r="110" spans="79:165" ht="15" customHeight="1" x14ac:dyDescent="0.15">
      <c r="CA110" s="44"/>
      <c r="CB110" s="1"/>
      <c r="CC110" s="1"/>
      <c r="CD110" s="1"/>
      <c r="CE110" s="49" t="s">
        <v>54</v>
      </c>
      <c r="CF110" s="1"/>
      <c r="CG110" s="1"/>
      <c r="CH110" s="1"/>
      <c r="CI110" s="186">
        <v>6</v>
      </c>
      <c r="CJ110" s="186"/>
      <c r="CK110" s="194"/>
      <c r="CL110" s="194"/>
      <c r="CM110" s="194"/>
      <c r="CN110" s="194"/>
      <c r="CO110" s="194"/>
      <c r="CP110" s="194"/>
      <c r="CQ110" s="194"/>
      <c r="CR110" s="1"/>
      <c r="CS110" s="20" t="s">
        <v>28</v>
      </c>
      <c r="CT110" s="20"/>
      <c r="CU110" s="15"/>
      <c r="CV110" s="200" t="s">
        <v>29</v>
      </c>
      <c r="CW110" s="200"/>
      <c r="CX110" s="200"/>
      <c r="CY110" s="200"/>
      <c r="CZ110" s="200"/>
      <c r="DA110" s="200"/>
      <c r="DB110" s="200"/>
      <c r="DC110" s="200"/>
      <c r="DD110" s="200"/>
      <c r="DE110" s="190" t="s">
        <v>30</v>
      </c>
      <c r="DF110" s="190"/>
      <c r="DG110" s="190"/>
      <c r="DH110" s="190"/>
      <c r="DI110" s="190"/>
      <c r="DJ110" s="190"/>
      <c r="DK110" s="190"/>
      <c r="DL110" s="1"/>
      <c r="DM110" s="1"/>
      <c r="DN110" s="1"/>
      <c r="DO110" s="1"/>
      <c r="DP110" s="1"/>
      <c r="DQ110" s="1"/>
      <c r="DR110" s="137"/>
      <c r="DS110" s="137"/>
      <c r="DT110" s="137"/>
      <c r="DU110" s="137"/>
      <c r="DV110" s="137"/>
      <c r="DW110" s="137"/>
      <c r="DX110" s="137"/>
      <c r="DY110" s="137"/>
      <c r="DZ110" s="137"/>
      <c r="EA110" s="137"/>
      <c r="EB110" s="137"/>
      <c r="EC110" s="137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>
        <f t="shared" si="5"/>
        <v>0</v>
      </c>
      <c r="FE110" s="64">
        <f t="shared" si="6"/>
        <v>0</v>
      </c>
      <c r="FF110" s="64">
        <f t="shared" si="7"/>
        <v>0</v>
      </c>
      <c r="FG110" s="64">
        <f t="shared" si="8"/>
        <v>0</v>
      </c>
      <c r="FH110" s="64">
        <f t="shared" si="9"/>
        <v>0</v>
      </c>
      <c r="FI110" s="64">
        <f t="shared" si="10"/>
        <v>0</v>
      </c>
    </row>
    <row r="111" spans="79:165" ht="15" customHeight="1" x14ac:dyDescent="0.15">
      <c r="CA111" s="44"/>
      <c r="CB111" s="1"/>
      <c r="CC111" s="1"/>
      <c r="CD111" s="1"/>
      <c r="CE111" s="49" t="s">
        <v>55</v>
      </c>
      <c r="CF111" s="1"/>
      <c r="CG111" s="1"/>
      <c r="CH111" s="1"/>
      <c r="CI111" s="186">
        <v>7</v>
      </c>
      <c r="CJ111" s="186"/>
      <c r="CK111" s="194"/>
      <c r="CL111" s="194"/>
      <c r="CM111" s="194"/>
      <c r="CN111" s="194"/>
      <c r="CO111" s="194"/>
      <c r="CP111" s="194"/>
      <c r="CQ111" s="194"/>
      <c r="CR111" s="1"/>
      <c r="CS111" s="17" t="s">
        <v>31</v>
      </c>
      <c r="CT111" s="18"/>
      <c r="CU111" s="15"/>
      <c r="CV111" s="28" t="s">
        <v>24</v>
      </c>
      <c r="CW111" s="199" t="s">
        <v>74</v>
      </c>
      <c r="CX111" s="199"/>
      <c r="CY111" s="199"/>
      <c r="CZ111" s="199"/>
      <c r="DA111" s="199"/>
      <c r="DB111" s="199"/>
      <c r="DC111" s="199"/>
      <c r="DD111" s="199"/>
      <c r="DE111" s="199" t="s">
        <v>32</v>
      </c>
      <c r="DF111" s="199"/>
      <c r="DG111" s="199"/>
      <c r="DH111" s="199"/>
      <c r="DI111" s="199"/>
      <c r="DJ111" s="199"/>
      <c r="DK111" s="199"/>
      <c r="DL111" s="1"/>
      <c r="DM111" s="1"/>
      <c r="DN111" s="1"/>
      <c r="DO111" s="1"/>
      <c r="DP111" s="1"/>
      <c r="DQ111" s="1"/>
      <c r="DR111" s="137"/>
      <c r="DS111" s="137"/>
      <c r="DT111" s="137"/>
      <c r="DU111" s="137"/>
      <c r="DV111" s="137"/>
      <c r="DW111" s="137"/>
      <c r="DX111" s="137"/>
      <c r="DY111" s="137"/>
      <c r="DZ111" s="137"/>
      <c r="EA111" s="137"/>
      <c r="EB111" s="137"/>
      <c r="EC111" s="137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>
        <f t="shared" si="5"/>
        <v>0</v>
      </c>
      <c r="FE111" s="64">
        <f t="shared" si="6"/>
        <v>0</v>
      </c>
      <c r="FF111" s="64">
        <f t="shared" si="7"/>
        <v>0</v>
      </c>
      <c r="FG111" s="64">
        <f t="shared" si="8"/>
        <v>0</v>
      </c>
      <c r="FH111" s="64">
        <f t="shared" si="9"/>
        <v>0</v>
      </c>
      <c r="FI111" s="64">
        <f t="shared" si="10"/>
        <v>0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186">
        <v>8</v>
      </c>
      <c r="CJ112" s="186"/>
      <c r="CK112" s="194"/>
      <c r="CL112" s="194"/>
      <c r="CM112" s="194"/>
      <c r="CN112" s="194"/>
      <c r="CO112" s="194"/>
      <c r="CP112" s="194"/>
      <c r="CQ112" s="194"/>
      <c r="CR112" s="1"/>
      <c r="CS112" s="17" t="s">
        <v>33</v>
      </c>
      <c r="CT112" s="18"/>
      <c r="CU112" s="15"/>
      <c r="CV112" s="28" t="s">
        <v>26</v>
      </c>
      <c r="CW112" s="199" t="s">
        <v>83</v>
      </c>
      <c r="CX112" s="199"/>
      <c r="CY112" s="199"/>
      <c r="CZ112" s="199"/>
      <c r="DA112" s="199"/>
      <c r="DB112" s="199"/>
      <c r="DC112" s="199"/>
      <c r="DD112" s="199"/>
      <c r="DE112" s="199" t="s">
        <v>84</v>
      </c>
      <c r="DF112" s="199"/>
      <c r="DG112" s="199"/>
      <c r="DH112" s="199"/>
      <c r="DI112" s="199"/>
      <c r="DJ112" s="199"/>
      <c r="DK112" s="199"/>
      <c r="DL112" s="1"/>
      <c r="DM112" s="1"/>
      <c r="DN112" s="1"/>
      <c r="DO112" s="1"/>
      <c r="DP112" s="1"/>
      <c r="DQ112" s="1"/>
      <c r="DR112" s="137"/>
      <c r="DS112" s="137"/>
      <c r="DT112" s="137"/>
      <c r="DU112" s="137"/>
      <c r="DV112" s="137"/>
      <c r="DW112" s="137"/>
      <c r="DX112" s="137"/>
      <c r="DY112" s="137"/>
      <c r="DZ112" s="137"/>
      <c r="EA112" s="137"/>
      <c r="EB112" s="137"/>
      <c r="EC112" s="137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>
        <f t="shared" si="5"/>
        <v>0</v>
      </c>
      <c r="FE112" s="64">
        <f t="shared" si="6"/>
        <v>0</v>
      </c>
      <c r="FF112" s="64">
        <f t="shared" si="7"/>
        <v>0</v>
      </c>
      <c r="FG112" s="64">
        <f t="shared" si="8"/>
        <v>0</v>
      </c>
      <c r="FH112" s="64">
        <f t="shared" si="9"/>
        <v>0</v>
      </c>
      <c r="FI112" s="64">
        <f t="shared" si="10"/>
        <v>0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186">
        <v>9</v>
      </c>
      <c r="CJ113" s="186"/>
      <c r="CK113" s="194"/>
      <c r="CL113" s="194"/>
      <c r="CM113" s="194"/>
      <c r="CN113" s="194"/>
      <c r="CO113" s="194"/>
      <c r="CP113" s="194"/>
      <c r="CQ113" s="194"/>
      <c r="CR113" s="1"/>
      <c r="CS113" s="17" t="s">
        <v>34</v>
      </c>
      <c r="CT113" s="18"/>
      <c r="CU113" s="15"/>
      <c r="CV113" s="28" t="s">
        <v>35</v>
      </c>
      <c r="CW113" s="199" t="s">
        <v>86</v>
      </c>
      <c r="CX113" s="199"/>
      <c r="CY113" s="199"/>
      <c r="CZ113" s="199"/>
      <c r="DA113" s="199"/>
      <c r="DB113" s="199"/>
      <c r="DC113" s="199"/>
      <c r="DD113" s="199"/>
      <c r="DE113" s="199" t="s">
        <v>85</v>
      </c>
      <c r="DF113" s="199"/>
      <c r="DG113" s="199"/>
      <c r="DH113" s="199"/>
      <c r="DI113" s="199"/>
      <c r="DJ113" s="199"/>
      <c r="DK113" s="199"/>
      <c r="DL113" s="1"/>
      <c r="DM113" s="1"/>
      <c r="DN113" s="1"/>
      <c r="DO113" s="1"/>
      <c r="DP113" s="1"/>
      <c r="DQ113" s="1"/>
      <c r="DR113" s="137"/>
      <c r="DS113" s="137"/>
      <c r="DT113" s="137"/>
      <c r="DU113" s="137"/>
      <c r="DV113" s="137"/>
      <c r="DW113" s="137"/>
      <c r="DX113" s="137"/>
      <c r="DY113" s="137"/>
      <c r="DZ113" s="137"/>
      <c r="EA113" s="137"/>
      <c r="EB113" s="137"/>
      <c r="EC113" s="137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本体装備品一覧!$C$7</f>
        <v>0</v>
      </c>
      <c r="FE113" s="64">
        <f>本体装備品一覧!$U$7</f>
        <v>0</v>
      </c>
      <c r="FF113" s="64">
        <f>本体装備品一覧!$Y$7</f>
        <v>0</v>
      </c>
      <c r="FG113" s="64">
        <f>本体装備品一覧!$AB$7</f>
        <v>0</v>
      </c>
      <c r="FH113" s="64">
        <f>本体装備品一覧!$AG$7</f>
        <v>0</v>
      </c>
      <c r="FI113" s="64">
        <f>本体装備品一覧!$AN$7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186">
        <v>10</v>
      </c>
      <c r="CJ114" s="186"/>
      <c r="CK114" s="194"/>
      <c r="CL114" s="194"/>
      <c r="CM114" s="194"/>
      <c r="CN114" s="194"/>
      <c r="CO114" s="194"/>
      <c r="CP114" s="194"/>
      <c r="CQ114" s="194"/>
      <c r="CR114" s="1"/>
      <c r="CS114" s="20" t="s">
        <v>36</v>
      </c>
      <c r="CT114" s="21"/>
      <c r="CU114" s="15"/>
      <c r="CV114" s="28" t="s">
        <v>37</v>
      </c>
      <c r="CW114" s="199" t="s">
        <v>75</v>
      </c>
      <c r="CX114" s="199"/>
      <c r="CY114" s="199"/>
      <c r="CZ114" s="199"/>
      <c r="DA114" s="199"/>
      <c r="DB114" s="199"/>
      <c r="DC114" s="199"/>
      <c r="DD114" s="199"/>
      <c r="DE114" s="199" t="s">
        <v>38</v>
      </c>
      <c r="DF114" s="199"/>
      <c r="DG114" s="199"/>
      <c r="DH114" s="199"/>
      <c r="DI114" s="199"/>
      <c r="DJ114" s="199"/>
      <c r="DK114" s="199"/>
      <c r="DL114" s="1"/>
      <c r="DM114" s="1"/>
      <c r="DN114" s="1"/>
      <c r="DO114" s="1"/>
      <c r="DP114" s="1"/>
      <c r="DQ114" s="1"/>
      <c r="DR114" s="137"/>
      <c r="DS114" s="137"/>
      <c r="DT114" s="137"/>
      <c r="DU114" s="137"/>
      <c r="DV114" s="137"/>
      <c r="DW114" s="137"/>
      <c r="DX114" s="137"/>
      <c r="DY114" s="137"/>
      <c r="DZ114" s="137"/>
      <c r="EA114" s="137"/>
      <c r="EB114" s="137"/>
      <c r="EC114" s="137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本体装備品一覧!$C$8</f>
        <v>0</v>
      </c>
      <c r="FE114" s="64">
        <f>本体装備品一覧!$U$8</f>
        <v>0</v>
      </c>
      <c r="FF114" s="64">
        <f>本体装備品一覧!$Y$8</f>
        <v>0</v>
      </c>
      <c r="FG114" s="64">
        <f>本体装備品一覧!$AB$8</f>
        <v>0</v>
      </c>
      <c r="FH114" s="64">
        <f>本体装備品一覧!$AG$8</f>
        <v>0</v>
      </c>
      <c r="FI114" s="64">
        <f>本体装備品一覧!$AN$8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204" t="s">
        <v>39</v>
      </c>
      <c r="CJ115" s="204"/>
      <c r="CK115" s="194">
        <f>SUM(CK104:CQ114)</f>
        <v>230000</v>
      </c>
      <c r="CL115" s="194"/>
      <c r="CM115" s="194"/>
      <c r="CN115" s="194"/>
      <c r="CO115" s="194"/>
      <c r="CP115" s="194"/>
      <c r="CQ115" s="194"/>
      <c r="CR115" s="1"/>
      <c r="CS115" s="17" t="s">
        <v>45</v>
      </c>
      <c r="CT115" s="18"/>
      <c r="CU115" s="15"/>
      <c r="CV115" s="28" t="s">
        <v>40</v>
      </c>
      <c r="CW115" s="199" t="s">
        <v>76</v>
      </c>
      <c r="CX115" s="199"/>
      <c r="CY115" s="199"/>
      <c r="CZ115" s="199"/>
      <c r="DA115" s="199"/>
      <c r="DB115" s="199"/>
      <c r="DC115" s="199"/>
      <c r="DD115" s="199"/>
      <c r="DE115" s="199" t="s">
        <v>41</v>
      </c>
      <c r="DF115" s="199"/>
      <c r="DG115" s="199"/>
      <c r="DH115" s="199"/>
      <c r="DI115" s="199"/>
      <c r="DJ115" s="199"/>
      <c r="DK115" s="199"/>
      <c r="DL115" s="1"/>
      <c r="DM115" s="1"/>
      <c r="DN115" s="1"/>
      <c r="DO115" s="1"/>
      <c r="DP115" s="1"/>
      <c r="DQ115" s="1"/>
      <c r="DR115" s="137"/>
      <c r="DS115" s="137"/>
      <c r="DT115" s="137"/>
      <c r="DU115" s="137"/>
      <c r="DV115" s="137"/>
      <c r="DW115" s="137"/>
      <c r="DX115" s="137"/>
      <c r="DY115" s="137"/>
      <c r="DZ115" s="137"/>
      <c r="EA115" s="137"/>
      <c r="EB115" s="137"/>
      <c r="EC115" s="137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本体装備品一覧!$C$9</f>
        <v>0</v>
      </c>
      <c r="FE115" s="64">
        <f>本体装備品一覧!$U$9</f>
        <v>0</v>
      </c>
      <c r="FF115" s="64">
        <f>本体装備品一覧!$Y$9</f>
        <v>0</v>
      </c>
      <c r="FG115" s="64">
        <f>本体装備品一覧!$AB$9</f>
        <v>0</v>
      </c>
      <c r="FH115" s="64">
        <f>本体装備品一覧!$AG$9</f>
        <v>0</v>
      </c>
      <c r="FI115" s="64">
        <f>本体装備品一覧!$AN$9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本体装備品一覧!$C$10</f>
        <v>0</v>
      </c>
      <c r="FE116" s="64">
        <f>本体装備品一覧!$U$10</f>
        <v>0</v>
      </c>
      <c r="FF116" s="64">
        <f>本体装備品一覧!$Y$10</f>
        <v>0</v>
      </c>
      <c r="FG116" s="64">
        <f>本体装備品一覧!$AB$10</f>
        <v>0</v>
      </c>
      <c r="FH116" s="64">
        <f>本体装備品一覧!$AG$10</f>
        <v>0</v>
      </c>
      <c r="FI116" s="64">
        <f>本体装備品一覧!$AN$10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本体装備品一覧!$C$11</f>
        <v>0</v>
      </c>
      <c r="FE117" s="64">
        <f>本体装備品一覧!$U$11</f>
        <v>0</v>
      </c>
      <c r="FF117" s="64">
        <f>本体装備品一覧!$Y$11</f>
        <v>0</v>
      </c>
      <c r="FG117" s="64">
        <f>本体装備品一覧!$AB$11</f>
        <v>0</v>
      </c>
      <c r="FH117" s="64">
        <f>本体装備品一覧!$AG$11</f>
        <v>0</v>
      </c>
      <c r="FI117" s="64">
        <f>本体装備品一覧!$AN$11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本体装備品一覧!$C$12</f>
        <v>0</v>
      </c>
      <c r="FE118" s="64">
        <f>本体装備品一覧!$U$12</f>
        <v>0</v>
      </c>
      <c r="FF118" s="64">
        <f>本体装備品一覧!$Y$12</f>
        <v>0</v>
      </c>
      <c r="FG118" s="64">
        <f>本体装備品一覧!$AB$12</f>
        <v>0</v>
      </c>
      <c r="FH118" s="64">
        <f>本体装備品一覧!$AG$12</f>
        <v>0</v>
      </c>
      <c r="FI118" s="64">
        <f>本体装備品一覧!$AN$12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142" t="s">
        <v>42</v>
      </c>
      <c r="CJ119" s="142"/>
      <c r="CK119" s="142"/>
      <c r="CL119" s="142"/>
      <c r="CM119" s="119" t="s">
        <v>87</v>
      </c>
      <c r="CN119" s="120"/>
      <c r="CO119" s="120"/>
      <c r="CP119" s="120"/>
      <c r="CQ119" s="120"/>
      <c r="CR119" s="120"/>
      <c r="CS119" s="120"/>
      <c r="CT119" s="120"/>
      <c r="CU119" s="120"/>
      <c r="CV119" s="120"/>
      <c r="CW119" s="120"/>
      <c r="CX119" s="120"/>
      <c r="CY119" s="120"/>
      <c r="CZ119" s="120"/>
      <c r="DA119" s="120"/>
      <c r="DB119" s="120"/>
      <c r="DC119" s="120"/>
      <c r="DD119" s="120"/>
      <c r="DE119" s="120"/>
      <c r="DF119" s="120"/>
      <c r="DG119" s="120"/>
      <c r="DH119" s="120"/>
      <c r="DI119" s="120"/>
      <c r="DJ119" s="120"/>
      <c r="DK119" s="120"/>
      <c r="DL119" s="1"/>
      <c r="DM119" s="187" t="s">
        <v>44</v>
      </c>
      <c r="DN119" s="189"/>
      <c r="DO119" s="201" t="s">
        <v>79</v>
      </c>
      <c r="DP119" s="202"/>
      <c r="DQ119" s="202"/>
      <c r="DR119" s="202"/>
      <c r="DS119" s="202"/>
      <c r="DT119" s="202"/>
      <c r="DU119" s="203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本体装備品一覧!$C$13</f>
        <v>0</v>
      </c>
      <c r="FE119" s="64">
        <f>本体装備品一覧!$U$13</f>
        <v>0</v>
      </c>
      <c r="FF119" s="64">
        <f>本体装備品一覧!$Y$13</f>
        <v>0</v>
      </c>
      <c r="FG119" s="64">
        <f>本体装備品一覧!$AB$13</f>
        <v>0</v>
      </c>
      <c r="FH119" s="64">
        <f>本体装備品一覧!$AG$13</f>
        <v>0</v>
      </c>
      <c r="FI119" s="64">
        <f>本体装備品一覧!$AN$13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142" t="s">
        <v>72</v>
      </c>
      <c r="CJ120" s="142"/>
      <c r="CK120" s="142"/>
      <c r="CL120" s="142"/>
      <c r="CM120" s="119"/>
      <c r="CN120" s="120"/>
      <c r="CO120" s="120"/>
      <c r="CP120" s="120"/>
      <c r="CQ120" s="120"/>
      <c r="CR120" s="120"/>
      <c r="CS120" s="120"/>
      <c r="CT120" s="120"/>
      <c r="CU120" s="120"/>
      <c r="CV120" s="120"/>
      <c r="CW120" s="120"/>
      <c r="CX120" s="120"/>
      <c r="CY120" s="120"/>
      <c r="CZ120" s="120"/>
      <c r="DA120" s="120"/>
      <c r="DB120" s="120"/>
      <c r="DC120" s="120"/>
      <c r="DD120" s="120"/>
      <c r="DE120" s="120"/>
      <c r="DF120" s="120"/>
      <c r="DG120" s="120"/>
      <c r="DH120" s="120"/>
      <c r="DI120" s="120"/>
      <c r="DJ120" s="120"/>
      <c r="DK120" s="120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本体装備品一覧!$C$14</f>
        <v>0</v>
      </c>
      <c r="FE120" s="64">
        <f>本体装備品一覧!$U$14</f>
        <v>0</v>
      </c>
      <c r="FF120" s="64">
        <f>本体装備品一覧!$Y$14</f>
        <v>0</v>
      </c>
      <c r="FG120" s="64">
        <f>本体装備品一覧!$AB$14</f>
        <v>0</v>
      </c>
      <c r="FH120" s="64">
        <f>本体装備品一覧!$AG$14</f>
        <v>0</v>
      </c>
      <c r="FI120" s="64">
        <f>本体装備品一覧!$AN$14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本体装備品一覧!$C$15</f>
        <v>0</v>
      </c>
      <c r="FE121" s="64">
        <f>本体装備品一覧!$U$15</f>
        <v>0</v>
      </c>
      <c r="FF121" s="64">
        <f>本体装備品一覧!$Y$15</f>
        <v>0</v>
      </c>
      <c r="FG121" s="64">
        <f>本体装備品一覧!$AB$15</f>
        <v>0</v>
      </c>
      <c r="FH121" s="64">
        <f>本体装備品一覧!$AG$15</f>
        <v>0</v>
      </c>
      <c r="FI121" s="64">
        <f>本体装備品一覧!$AN$15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本体装備品一覧!$C$16</f>
        <v>0</v>
      </c>
      <c r="FE122" s="64">
        <f>本体装備品一覧!$U$16</f>
        <v>0</v>
      </c>
      <c r="FF122" s="64">
        <f>本体装備品一覧!$Y$16</f>
        <v>0</v>
      </c>
      <c r="FG122" s="64">
        <f>本体装備品一覧!$AB$16</f>
        <v>0</v>
      </c>
      <c r="FH122" s="64">
        <f>本体装備品一覧!$AG$16</f>
        <v>0</v>
      </c>
      <c r="FI122" s="64">
        <f>本体装備品一覧!$AN$16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本体装備品一覧!$C$17</f>
        <v>0</v>
      </c>
      <c r="FE123" s="64">
        <f>本体装備品一覧!$U$17</f>
        <v>0</v>
      </c>
      <c r="FF123" s="64">
        <f>本体装備品一覧!$Y$17</f>
        <v>0</v>
      </c>
      <c r="FG123" s="64">
        <f>本体装備品一覧!$AB$17</f>
        <v>0</v>
      </c>
      <c r="FH123" s="64">
        <f>本体装備品一覧!$AG$17</f>
        <v>0</v>
      </c>
      <c r="FI123" s="64">
        <f>本体装備品一覧!$AN$17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本体装備品一覧!$C$18</f>
        <v>0</v>
      </c>
      <c r="FE124" s="64">
        <f>本体装備品一覧!$U$18</f>
        <v>0</v>
      </c>
      <c r="FF124" s="64">
        <f>本体装備品一覧!$Y$18</f>
        <v>0</v>
      </c>
      <c r="FG124" s="64">
        <f>本体装備品一覧!$AB$18</f>
        <v>0</v>
      </c>
      <c r="FH124" s="64">
        <f>本体装備品一覧!$AG$18</f>
        <v>0</v>
      </c>
      <c r="FI124" s="64">
        <f>本体装備品一覧!$AN$18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本体装備品一覧!$C$19</f>
        <v>0</v>
      </c>
      <c r="FE125" s="64">
        <f>本体装備品一覧!$U$19</f>
        <v>0</v>
      </c>
      <c r="FF125" s="64">
        <f>本体装備品一覧!$Y$19</f>
        <v>0</v>
      </c>
      <c r="FG125" s="64">
        <f>本体装備品一覧!$AB$19</f>
        <v>0</v>
      </c>
      <c r="FH125" s="64">
        <f>本体装備品一覧!$AG$19</f>
        <v>0</v>
      </c>
      <c r="FI125" s="64">
        <f>本体装備品一覧!$AN$19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本体装備品一覧!$C$20</f>
        <v>0</v>
      </c>
      <c r="FE126" s="64">
        <f>本体装備品一覧!$U$20</f>
        <v>0</v>
      </c>
      <c r="FF126" s="64">
        <f>本体装備品一覧!$Y$20</f>
        <v>0</v>
      </c>
      <c r="FG126" s="64">
        <f>本体装備品一覧!$AB$20</f>
        <v>0</v>
      </c>
      <c r="FH126" s="64">
        <f>本体装備品一覧!$AG$20</f>
        <v>0</v>
      </c>
      <c r="FI126" s="64">
        <f>本体装備品一覧!$AN$20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本体装備品一覧!$C$21</f>
        <v>0</v>
      </c>
      <c r="FE127" s="64">
        <f>本体装備品一覧!$U$21</f>
        <v>0</v>
      </c>
      <c r="FF127" s="64">
        <f>本体装備品一覧!$Y$21</f>
        <v>0</v>
      </c>
      <c r="FG127" s="64">
        <f>本体装備品一覧!$AB$21</f>
        <v>0</v>
      </c>
      <c r="FH127" s="64">
        <f>本体装備品一覧!$AG$21</f>
        <v>0</v>
      </c>
      <c r="FI127" s="64">
        <f>本体装備品一覧!$AN$21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本体装備品一覧!$C$22</f>
        <v>0</v>
      </c>
      <c r="FE128" s="64">
        <f>本体装備品一覧!$U$22</f>
        <v>0</v>
      </c>
      <c r="FF128" s="64">
        <f>本体装備品一覧!$Y$22</f>
        <v>0</v>
      </c>
      <c r="FG128" s="64">
        <f>本体装備品一覧!$AB$22</f>
        <v>0</v>
      </c>
      <c r="FH128" s="64">
        <f>本体装備品一覧!$AG$22</f>
        <v>0</v>
      </c>
      <c r="FI128" s="64">
        <f>本体装備品一覧!$AN$22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本体装備品一覧!$C$23</f>
        <v>0</v>
      </c>
      <c r="FE129" s="64">
        <f>本体装備品一覧!$U$23</f>
        <v>0</v>
      </c>
      <c r="FF129" s="64">
        <f>本体装備品一覧!$Y$23</f>
        <v>0</v>
      </c>
      <c r="FG129" s="64">
        <f>本体装備品一覧!$AB$23</f>
        <v>0</v>
      </c>
      <c r="FH129" s="64">
        <f>本体装備品一覧!$AG$23</f>
        <v>0</v>
      </c>
      <c r="FI129" s="64">
        <f>本体装備品一覧!$AN$23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本体装備品一覧!$C$24</f>
        <v>0</v>
      </c>
      <c r="FE130" s="64">
        <f>本体装備品一覧!$U$24</f>
        <v>0</v>
      </c>
      <c r="FF130" s="64">
        <f>本体装備品一覧!$Y$24</f>
        <v>0</v>
      </c>
      <c r="FG130" s="64">
        <f>本体装備品一覧!$AB$24</f>
        <v>0</v>
      </c>
      <c r="FH130" s="64">
        <f>本体装備品一覧!$AG$24</f>
        <v>0</v>
      </c>
      <c r="FI130" s="64">
        <f>本体装備品一覧!$AN$24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本体装備品一覧!$C$25</f>
        <v>0</v>
      </c>
      <c r="FE131" s="64">
        <f>本体装備品一覧!$U$25</f>
        <v>0</v>
      </c>
      <c r="FF131" s="64">
        <f>本体装備品一覧!$Y$25</f>
        <v>0</v>
      </c>
      <c r="FG131" s="64">
        <f>本体装備品一覧!$AB$25</f>
        <v>0</v>
      </c>
      <c r="FH131" s="64">
        <f>本体装備品一覧!$AG$25</f>
        <v>0</v>
      </c>
      <c r="FI131" s="64">
        <f>本体装備品一覧!$AN$25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本体装備品一覧!$C$26</f>
        <v>0</v>
      </c>
      <c r="FE132" s="64">
        <f>本体装備品一覧!$U$26</f>
        <v>0</v>
      </c>
      <c r="FF132" s="64">
        <f>本体装備品一覧!$Y$26</f>
        <v>0</v>
      </c>
      <c r="FG132" s="64">
        <f>本体装備品一覧!$AB$26</f>
        <v>0</v>
      </c>
      <c r="FH132" s="64">
        <f>本体装備品一覧!$AG$26</f>
        <v>0</v>
      </c>
      <c r="FI132" s="64">
        <f>本体装備品一覧!$AN$26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本体装備品一覧!$C$27</f>
        <v>0</v>
      </c>
      <c r="FE133" s="64">
        <f>本体装備品一覧!$U$27</f>
        <v>0</v>
      </c>
      <c r="FF133" s="64">
        <f>本体装備品一覧!$Y$27</f>
        <v>0</v>
      </c>
      <c r="FG133" s="64">
        <f>本体装備品一覧!$AB$27</f>
        <v>0</v>
      </c>
      <c r="FH133" s="64">
        <f>本体装備品一覧!$AG$27</f>
        <v>0</v>
      </c>
      <c r="FI133" s="64">
        <f>本体装備品一覧!$AN$27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本体装備品一覧!$C$28</f>
        <v>0</v>
      </c>
      <c r="FE134" s="64">
        <f>本体装備品一覧!$U$28</f>
        <v>0</v>
      </c>
      <c r="FF134" s="64">
        <f>本体装備品一覧!$Y$28</f>
        <v>0</v>
      </c>
      <c r="FG134" s="64">
        <f>本体装備品一覧!$AB$28</f>
        <v>0</v>
      </c>
      <c r="FH134" s="64">
        <f>本体装備品一覧!$AG$28</f>
        <v>0</v>
      </c>
      <c r="FI134" s="64">
        <f>本体装備品一覧!$AN$28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本体装備品一覧!$C$29</f>
        <v>0</v>
      </c>
      <c r="FE135" s="64">
        <f>本体装備品一覧!$U$29</f>
        <v>0</v>
      </c>
      <c r="FF135" s="64">
        <f>本体装備品一覧!$Y$29</f>
        <v>0</v>
      </c>
      <c r="FG135" s="64">
        <f>本体装備品一覧!$AB$29</f>
        <v>0</v>
      </c>
      <c r="FH135" s="64">
        <f>本体装備品一覧!$AG$29</f>
        <v>0</v>
      </c>
      <c r="FI135" s="64">
        <f>本体装備品一覧!$AN$29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62</v>
      </c>
      <c r="FC400" s="62" t="s">
        <v>63</v>
      </c>
      <c r="FD400" s="62" t="s">
        <v>64</v>
      </c>
      <c r="FE400" s="62" t="s">
        <v>65</v>
      </c>
      <c r="FF400" s="62" t="s">
        <v>17</v>
      </c>
      <c r="FG400" s="62" t="s">
        <v>68</v>
      </c>
      <c r="FH400" s="62" t="s">
        <v>66</v>
      </c>
      <c r="FI400" s="62" t="s">
        <v>67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T24:Z25"/>
    <mergeCell ref="J17:L17"/>
    <mergeCell ref="J20:U21"/>
    <mergeCell ref="P2:R2"/>
    <mergeCell ref="M2:O2"/>
    <mergeCell ref="D5:R5"/>
    <mergeCell ref="E3:H3"/>
    <mergeCell ref="H13:T13"/>
    <mergeCell ref="H11:S11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E40:AS40 B41:AS42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C000000}"/>
    <dataValidation imeMode="hiragana" allowBlank="1" showInputMessage="1" showErrorMessage="1" prompt="品名を入力" sqref="B26:S37" xr:uid="{00000000-0002-0000-0000-00000D000000}"/>
    <dataValidation imeMode="off" allowBlank="1" showInputMessage="1" showErrorMessage="1" prompt="数量を入力" sqref="T26:W37" xr:uid="{00000000-0002-0000-0000-00000E000000}"/>
    <dataValidation imeMode="off" allowBlank="1" showInputMessage="1" showErrorMessage="1" prompt="単価を入力" sqref="AA26:AE37" xr:uid="{00000000-0002-0000-0000-00000F000000}"/>
    <dataValidation imeMode="hiragana" allowBlank="1" showInputMessage="1" showErrorMessage="1" prompt="備考があれば入力" sqref="AN35:AS37 AM26:AM37" xr:uid="{00000000-0002-0000-0000-000010000000}"/>
    <dataValidation type="list" allowBlank="1" showInputMessage="1" showErrorMessage="1" sqref="AA2:AJ3" xr:uid="{00000000-0002-0000-0000-000011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2000000}">
      <formula1>$CS$104:$CS$116</formula1>
    </dataValidation>
    <dataValidation type="list" allowBlank="1" showInputMessage="1" showErrorMessage="1" sqref="T7:V8" xr:uid="{00000000-0002-0000-0000-000013000000}">
      <formula1>$CE$109:$CE$111</formula1>
    </dataValidation>
    <dataValidation type="list" allowBlank="1" showInputMessage="1" showErrorMessage="1" sqref="DM104:DR104" xr:uid="{00000000-0002-0000-0000-000014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5000000}"/>
    <dataValidation allowBlank="1" showInputMessage="1" showErrorMessage="1" promptTitle="明細書01の状態" prompt="明細書01が表示されているときは 0_x000a_明細書01が非表示のときは 1" sqref="CE107" xr:uid="{00000000-0002-0000-0000-000016000000}"/>
    <dataValidation imeMode="hiragana" allowBlank="1" showInputMessage="1" showErrorMessage="1" prompt="取引方法を入力_x000a_例：従来通り" sqref="I15:T15" xr:uid="{00000000-0002-0000-0000-00000B000000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5" t="s">
        <v>129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AL3" s="5" t="s">
        <v>0</v>
      </c>
      <c r="AM3" s="5"/>
      <c r="AN3" s="208"/>
      <c r="AO3" s="208"/>
      <c r="AP3" s="208"/>
      <c r="AQ3" s="208"/>
      <c r="AR3" s="208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0" t="s">
        <v>88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4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3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4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09" t="s">
        <v>138</v>
      </c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1"/>
      <c r="U7" s="127">
        <v>1</v>
      </c>
      <c r="V7" s="128"/>
      <c r="W7" s="128"/>
      <c r="X7" s="128"/>
      <c r="Y7" s="146" t="s">
        <v>132</v>
      </c>
      <c r="Z7" s="146"/>
      <c r="AA7" s="147"/>
      <c r="AB7" s="127">
        <v>13200</v>
      </c>
      <c r="AC7" s="128"/>
      <c r="AD7" s="128"/>
      <c r="AE7" s="128"/>
      <c r="AF7" s="129"/>
      <c r="AG7" s="127">
        <f>IF(U7="",1*AB7,U7*AB7)</f>
        <v>13200</v>
      </c>
      <c r="AH7" s="128"/>
      <c r="AI7" s="128"/>
      <c r="AJ7" s="128"/>
      <c r="AK7" s="128"/>
      <c r="AL7" s="128"/>
      <c r="AM7" s="129"/>
      <c r="AN7" s="212"/>
      <c r="AO7" s="213"/>
      <c r="AP7" s="213"/>
      <c r="AQ7" s="213"/>
      <c r="AR7" s="213"/>
      <c r="AS7" s="213"/>
      <c r="AT7" s="214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09" t="s">
        <v>133</v>
      </c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1"/>
      <c r="U8" s="127">
        <v>1</v>
      </c>
      <c r="V8" s="128"/>
      <c r="W8" s="128"/>
      <c r="X8" s="128"/>
      <c r="Y8" s="146" t="s">
        <v>132</v>
      </c>
      <c r="Z8" s="146"/>
      <c r="AA8" s="147"/>
      <c r="AB8" s="127">
        <v>10340</v>
      </c>
      <c r="AC8" s="128"/>
      <c r="AD8" s="128"/>
      <c r="AE8" s="128"/>
      <c r="AF8" s="129"/>
      <c r="AG8" s="127">
        <f t="shared" ref="AG8:AG29" si="0">IF(U8="",1*AB8,U8*AB8)</f>
        <v>10340</v>
      </c>
      <c r="AH8" s="128"/>
      <c r="AI8" s="128"/>
      <c r="AJ8" s="128"/>
      <c r="AK8" s="128"/>
      <c r="AL8" s="128"/>
      <c r="AM8" s="129"/>
      <c r="AN8" s="212"/>
      <c r="AO8" s="213"/>
      <c r="AP8" s="213"/>
      <c r="AQ8" s="213"/>
      <c r="AR8" s="213"/>
      <c r="AS8" s="213"/>
      <c r="AT8" s="214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09" t="s">
        <v>134</v>
      </c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1"/>
      <c r="U9" s="127">
        <v>1</v>
      </c>
      <c r="V9" s="128"/>
      <c r="W9" s="128"/>
      <c r="X9" s="128"/>
      <c r="Y9" s="146" t="s">
        <v>132</v>
      </c>
      <c r="Z9" s="146"/>
      <c r="AA9" s="147"/>
      <c r="AB9" s="127">
        <v>18400</v>
      </c>
      <c r="AC9" s="128"/>
      <c r="AD9" s="128"/>
      <c r="AE9" s="128"/>
      <c r="AF9" s="129"/>
      <c r="AG9" s="127">
        <f t="shared" si="0"/>
        <v>18400</v>
      </c>
      <c r="AH9" s="128"/>
      <c r="AI9" s="128"/>
      <c r="AJ9" s="128"/>
      <c r="AK9" s="128"/>
      <c r="AL9" s="128"/>
      <c r="AM9" s="129"/>
      <c r="AN9" s="212"/>
      <c r="AO9" s="213"/>
      <c r="AP9" s="213"/>
      <c r="AQ9" s="213"/>
      <c r="AR9" s="213"/>
      <c r="AS9" s="213"/>
      <c r="AT9" s="214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09" t="s">
        <v>135</v>
      </c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1"/>
      <c r="U10" s="127">
        <v>1</v>
      </c>
      <c r="V10" s="128"/>
      <c r="W10" s="128"/>
      <c r="X10" s="128"/>
      <c r="Y10" s="146" t="s">
        <v>132</v>
      </c>
      <c r="Z10" s="146"/>
      <c r="AA10" s="147"/>
      <c r="AB10" s="127">
        <v>18400</v>
      </c>
      <c r="AC10" s="128"/>
      <c r="AD10" s="128"/>
      <c r="AE10" s="128"/>
      <c r="AF10" s="129"/>
      <c r="AG10" s="127">
        <f t="shared" si="0"/>
        <v>18400</v>
      </c>
      <c r="AH10" s="128"/>
      <c r="AI10" s="128"/>
      <c r="AJ10" s="128"/>
      <c r="AK10" s="128"/>
      <c r="AL10" s="128"/>
      <c r="AM10" s="129"/>
      <c r="AN10" s="212"/>
      <c r="AO10" s="213"/>
      <c r="AP10" s="213"/>
      <c r="AQ10" s="213"/>
      <c r="AR10" s="213"/>
      <c r="AS10" s="213"/>
      <c r="AT10" s="214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09" t="s">
        <v>136</v>
      </c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1"/>
      <c r="U11" s="127">
        <v>1</v>
      </c>
      <c r="V11" s="128"/>
      <c r="W11" s="128"/>
      <c r="X11" s="128"/>
      <c r="Y11" s="146" t="s">
        <v>132</v>
      </c>
      <c r="Z11" s="146"/>
      <c r="AA11" s="147"/>
      <c r="AB11" s="127">
        <v>3960</v>
      </c>
      <c r="AC11" s="128"/>
      <c r="AD11" s="128"/>
      <c r="AE11" s="128"/>
      <c r="AF11" s="129"/>
      <c r="AG11" s="127">
        <f t="shared" si="0"/>
        <v>3960</v>
      </c>
      <c r="AH11" s="128"/>
      <c r="AI11" s="128"/>
      <c r="AJ11" s="128"/>
      <c r="AK11" s="128"/>
      <c r="AL11" s="128"/>
      <c r="AM11" s="129"/>
      <c r="AN11" s="212"/>
      <c r="AO11" s="213"/>
      <c r="AP11" s="213"/>
      <c r="AQ11" s="213"/>
      <c r="AR11" s="213"/>
      <c r="AS11" s="213"/>
      <c r="AT11" s="214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09" t="s">
        <v>137</v>
      </c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1"/>
      <c r="U12" s="127">
        <v>10</v>
      </c>
      <c r="V12" s="128"/>
      <c r="W12" s="128"/>
      <c r="X12" s="128"/>
      <c r="Y12" s="146" t="s">
        <v>132</v>
      </c>
      <c r="Z12" s="146"/>
      <c r="AA12" s="147"/>
      <c r="AB12" s="127">
        <v>1200</v>
      </c>
      <c r="AC12" s="128"/>
      <c r="AD12" s="128"/>
      <c r="AE12" s="128"/>
      <c r="AF12" s="129"/>
      <c r="AG12" s="127">
        <f t="shared" si="0"/>
        <v>12000</v>
      </c>
      <c r="AH12" s="128"/>
      <c r="AI12" s="128"/>
      <c r="AJ12" s="128"/>
      <c r="AK12" s="128"/>
      <c r="AL12" s="128"/>
      <c r="AM12" s="129"/>
      <c r="AN12" s="212"/>
      <c r="AO12" s="213"/>
      <c r="AP12" s="213"/>
      <c r="AQ12" s="213"/>
      <c r="AR12" s="213"/>
      <c r="AS12" s="213"/>
      <c r="AT12" s="214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09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1"/>
      <c r="U13" s="127"/>
      <c r="V13" s="128"/>
      <c r="W13" s="128"/>
      <c r="X13" s="128"/>
      <c r="Y13" s="146"/>
      <c r="Z13" s="146"/>
      <c r="AA13" s="147"/>
      <c r="AB13" s="127"/>
      <c r="AC13" s="128"/>
      <c r="AD13" s="128"/>
      <c r="AE13" s="128"/>
      <c r="AF13" s="129"/>
      <c r="AG13" s="127">
        <f t="shared" si="0"/>
        <v>0</v>
      </c>
      <c r="AH13" s="128"/>
      <c r="AI13" s="128"/>
      <c r="AJ13" s="128"/>
      <c r="AK13" s="128"/>
      <c r="AL13" s="128"/>
      <c r="AM13" s="129"/>
      <c r="AN13" s="212"/>
      <c r="AO13" s="213"/>
      <c r="AP13" s="213"/>
      <c r="AQ13" s="213"/>
      <c r="AR13" s="213"/>
      <c r="AS13" s="213"/>
      <c r="AT13" s="214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09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1"/>
      <c r="U14" s="127"/>
      <c r="V14" s="128"/>
      <c r="W14" s="128"/>
      <c r="X14" s="128"/>
      <c r="Y14" s="146"/>
      <c r="Z14" s="146"/>
      <c r="AA14" s="147"/>
      <c r="AB14" s="127"/>
      <c r="AC14" s="128"/>
      <c r="AD14" s="128"/>
      <c r="AE14" s="128"/>
      <c r="AF14" s="129"/>
      <c r="AG14" s="127">
        <f t="shared" si="0"/>
        <v>0</v>
      </c>
      <c r="AH14" s="128"/>
      <c r="AI14" s="128"/>
      <c r="AJ14" s="128"/>
      <c r="AK14" s="128"/>
      <c r="AL14" s="128"/>
      <c r="AM14" s="129"/>
      <c r="AN14" s="212"/>
      <c r="AO14" s="213"/>
      <c r="AP14" s="213"/>
      <c r="AQ14" s="213"/>
      <c r="AR14" s="213"/>
      <c r="AS14" s="213"/>
      <c r="AT14" s="214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09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1"/>
      <c r="U15" s="127"/>
      <c r="V15" s="128"/>
      <c r="W15" s="128"/>
      <c r="X15" s="128"/>
      <c r="Y15" s="146"/>
      <c r="Z15" s="146"/>
      <c r="AA15" s="147"/>
      <c r="AB15" s="127"/>
      <c r="AC15" s="128"/>
      <c r="AD15" s="128"/>
      <c r="AE15" s="128"/>
      <c r="AF15" s="129"/>
      <c r="AG15" s="127">
        <f t="shared" si="0"/>
        <v>0</v>
      </c>
      <c r="AH15" s="128"/>
      <c r="AI15" s="128"/>
      <c r="AJ15" s="128"/>
      <c r="AK15" s="128"/>
      <c r="AL15" s="128"/>
      <c r="AM15" s="129"/>
      <c r="AN15" s="212"/>
      <c r="AO15" s="213"/>
      <c r="AP15" s="213"/>
      <c r="AQ15" s="213"/>
      <c r="AR15" s="213"/>
      <c r="AS15" s="213"/>
      <c r="AT15" s="214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09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1"/>
      <c r="U16" s="127"/>
      <c r="V16" s="128"/>
      <c r="W16" s="128"/>
      <c r="X16" s="128"/>
      <c r="Y16" s="146"/>
      <c r="Z16" s="146"/>
      <c r="AA16" s="147"/>
      <c r="AB16" s="127"/>
      <c r="AC16" s="128"/>
      <c r="AD16" s="128"/>
      <c r="AE16" s="128"/>
      <c r="AF16" s="129"/>
      <c r="AG16" s="127">
        <f t="shared" si="0"/>
        <v>0</v>
      </c>
      <c r="AH16" s="128"/>
      <c r="AI16" s="128"/>
      <c r="AJ16" s="128"/>
      <c r="AK16" s="128"/>
      <c r="AL16" s="128"/>
      <c r="AM16" s="129"/>
      <c r="AN16" s="212"/>
      <c r="AO16" s="213"/>
      <c r="AP16" s="213"/>
      <c r="AQ16" s="213"/>
      <c r="AR16" s="213"/>
      <c r="AS16" s="213"/>
      <c r="AT16" s="214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09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1"/>
      <c r="U17" s="127"/>
      <c r="V17" s="128"/>
      <c r="W17" s="128"/>
      <c r="X17" s="128"/>
      <c r="Y17" s="146"/>
      <c r="Z17" s="146"/>
      <c r="AA17" s="147"/>
      <c r="AB17" s="127"/>
      <c r="AC17" s="128"/>
      <c r="AD17" s="128"/>
      <c r="AE17" s="128"/>
      <c r="AF17" s="129"/>
      <c r="AG17" s="127">
        <f t="shared" si="0"/>
        <v>0</v>
      </c>
      <c r="AH17" s="128"/>
      <c r="AI17" s="128"/>
      <c r="AJ17" s="128"/>
      <c r="AK17" s="128"/>
      <c r="AL17" s="128"/>
      <c r="AM17" s="129"/>
      <c r="AN17" s="212"/>
      <c r="AO17" s="213"/>
      <c r="AP17" s="213"/>
      <c r="AQ17" s="213"/>
      <c r="AR17" s="213"/>
      <c r="AS17" s="213"/>
      <c r="AT17" s="214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09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1"/>
      <c r="U18" s="127"/>
      <c r="V18" s="128"/>
      <c r="W18" s="128"/>
      <c r="X18" s="128"/>
      <c r="Y18" s="146"/>
      <c r="Z18" s="146"/>
      <c r="AA18" s="147"/>
      <c r="AB18" s="127"/>
      <c r="AC18" s="128"/>
      <c r="AD18" s="128"/>
      <c r="AE18" s="128"/>
      <c r="AF18" s="129"/>
      <c r="AG18" s="127">
        <f t="shared" si="0"/>
        <v>0</v>
      </c>
      <c r="AH18" s="128"/>
      <c r="AI18" s="128"/>
      <c r="AJ18" s="128"/>
      <c r="AK18" s="128"/>
      <c r="AL18" s="128"/>
      <c r="AM18" s="129"/>
      <c r="AN18" s="212"/>
      <c r="AO18" s="213"/>
      <c r="AP18" s="213"/>
      <c r="AQ18" s="213"/>
      <c r="AR18" s="213"/>
      <c r="AS18" s="213"/>
      <c r="AT18" s="214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09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1"/>
      <c r="U19" s="127"/>
      <c r="V19" s="128"/>
      <c r="W19" s="128"/>
      <c r="X19" s="128"/>
      <c r="Y19" s="146"/>
      <c r="Z19" s="146"/>
      <c r="AA19" s="147"/>
      <c r="AB19" s="127"/>
      <c r="AC19" s="128"/>
      <c r="AD19" s="128"/>
      <c r="AE19" s="128"/>
      <c r="AF19" s="129"/>
      <c r="AG19" s="127">
        <f t="shared" si="0"/>
        <v>0</v>
      </c>
      <c r="AH19" s="128"/>
      <c r="AI19" s="128"/>
      <c r="AJ19" s="128"/>
      <c r="AK19" s="128"/>
      <c r="AL19" s="128"/>
      <c r="AM19" s="129"/>
      <c r="AN19" s="212"/>
      <c r="AO19" s="213"/>
      <c r="AP19" s="213"/>
      <c r="AQ19" s="213"/>
      <c r="AR19" s="213"/>
      <c r="AS19" s="213"/>
      <c r="AT19" s="214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143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1"/>
      <c r="U20" s="127"/>
      <c r="V20" s="128"/>
      <c r="W20" s="128"/>
      <c r="X20" s="128"/>
      <c r="Y20" s="146"/>
      <c r="Z20" s="146"/>
      <c r="AA20" s="147"/>
      <c r="AB20" s="127"/>
      <c r="AC20" s="128"/>
      <c r="AD20" s="128"/>
      <c r="AE20" s="128"/>
      <c r="AF20" s="129"/>
      <c r="AG20" s="127">
        <f t="shared" si="0"/>
        <v>0</v>
      </c>
      <c r="AH20" s="128"/>
      <c r="AI20" s="128"/>
      <c r="AJ20" s="128"/>
      <c r="AK20" s="128"/>
      <c r="AL20" s="128"/>
      <c r="AM20" s="129"/>
      <c r="AN20" s="212"/>
      <c r="AO20" s="213"/>
      <c r="AP20" s="213"/>
      <c r="AQ20" s="213"/>
      <c r="AR20" s="213"/>
      <c r="AS20" s="213"/>
      <c r="AT20" s="214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143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5"/>
      <c r="U21" s="127"/>
      <c r="V21" s="128"/>
      <c r="W21" s="128"/>
      <c r="X21" s="128"/>
      <c r="Y21" s="146"/>
      <c r="Z21" s="146"/>
      <c r="AA21" s="147"/>
      <c r="AB21" s="127"/>
      <c r="AC21" s="128"/>
      <c r="AD21" s="128"/>
      <c r="AE21" s="128"/>
      <c r="AF21" s="129"/>
      <c r="AG21" s="127">
        <f t="shared" si="0"/>
        <v>0</v>
      </c>
      <c r="AH21" s="128"/>
      <c r="AI21" s="128"/>
      <c r="AJ21" s="128"/>
      <c r="AK21" s="128"/>
      <c r="AL21" s="128"/>
      <c r="AM21" s="129"/>
      <c r="AN21" s="212"/>
      <c r="AO21" s="213"/>
      <c r="AP21" s="213"/>
      <c r="AQ21" s="213"/>
      <c r="AR21" s="213"/>
      <c r="AS21" s="213"/>
      <c r="AT21" s="214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143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27"/>
      <c r="V22" s="128"/>
      <c r="W22" s="128"/>
      <c r="X22" s="128"/>
      <c r="Y22" s="146"/>
      <c r="Z22" s="146"/>
      <c r="AA22" s="147"/>
      <c r="AB22" s="127"/>
      <c r="AC22" s="128"/>
      <c r="AD22" s="128"/>
      <c r="AE22" s="128"/>
      <c r="AF22" s="129"/>
      <c r="AG22" s="127">
        <f t="shared" si="0"/>
        <v>0</v>
      </c>
      <c r="AH22" s="128"/>
      <c r="AI22" s="128"/>
      <c r="AJ22" s="128"/>
      <c r="AK22" s="128"/>
      <c r="AL22" s="128"/>
      <c r="AM22" s="129"/>
      <c r="AN22" s="212"/>
      <c r="AO22" s="213"/>
      <c r="AP22" s="213"/>
      <c r="AQ22" s="213"/>
      <c r="AR22" s="213"/>
      <c r="AS22" s="213"/>
      <c r="AT22" s="214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09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1"/>
      <c r="U23" s="127"/>
      <c r="V23" s="128"/>
      <c r="W23" s="128"/>
      <c r="X23" s="128"/>
      <c r="Y23" s="146"/>
      <c r="Z23" s="146"/>
      <c r="AA23" s="147"/>
      <c r="AB23" s="127"/>
      <c r="AC23" s="128"/>
      <c r="AD23" s="128"/>
      <c r="AE23" s="128"/>
      <c r="AF23" s="129"/>
      <c r="AG23" s="127">
        <f t="shared" si="0"/>
        <v>0</v>
      </c>
      <c r="AH23" s="128"/>
      <c r="AI23" s="128"/>
      <c r="AJ23" s="128"/>
      <c r="AK23" s="128"/>
      <c r="AL23" s="128"/>
      <c r="AM23" s="129"/>
      <c r="AN23" s="212"/>
      <c r="AO23" s="213"/>
      <c r="AP23" s="213"/>
      <c r="AQ23" s="213"/>
      <c r="AR23" s="213"/>
      <c r="AS23" s="213"/>
      <c r="AT23" s="214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09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1"/>
      <c r="U24" s="127"/>
      <c r="V24" s="128"/>
      <c r="W24" s="128"/>
      <c r="X24" s="128"/>
      <c r="Y24" s="146"/>
      <c r="Z24" s="146"/>
      <c r="AA24" s="147"/>
      <c r="AB24" s="127"/>
      <c r="AC24" s="128"/>
      <c r="AD24" s="128"/>
      <c r="AE24" s="128"/>
      <c r="AF24" s="129"/>
      <c r="AG24" s="127">
        <f t="shared" si="0"/>
        <v>0</v>
      </c>
      <c r="AH24" s="128"/>
      <c r="AI24" s="128"/>
      <c r="AJ24" s="128"/>
      <c r="AK24" s="128"/>
      <c r="AL24" s="128"/>
      <c r="AM24" s="129"/>
      <c r="AN24" s="212"/>
      <c r="AO24" s="213"/>
      <c r="AP24" s="213"/>
      <c r="AQ24" s="213"/>
      <c r="AR24" s="213"/>
      <c r="AS24" s="213"/>
      <c r="AT24" s="214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09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1"/>
      <c r="U25" s="127"/>
      <c r="V25" s="128"/>
      <c r="W25" s="128"/>
      <c r="X25" s="128"/>
      <c r="Y25" s="146"/>
      <c r="Z25" s="146"/>
      <c r="AA25" s="147"/>
      <c r="AB25" s="127"/>
      <c r="AC25" s="128"/>
      <c r="AD25" s="128"/>
      <c r="AE25" s="128"/>
      <c r="AF25" s="129"/>
      <c r="AG25" s="127">
        <f t="shared" si="0"/>
        <v>0</v>
      </c>
      <c r="AH25" s="128"/>
      <c r="AI25" s="128"/>
      <c r="AJ25" s="128"/>
      <c r="AK25" s="128"/>
      <c r="AL25" s="128"/>
      <c r="AM25" s="129"/>
      <c r="AN25" s="212"/>
      <c r="AO25" s="213"/>
      <c r="AP25" s="213"/>
      <c r="AQ25" s="213"/>
      <c r="AR25" s="213"/>
      <c r="AS25" s="213"/>
      <c r="AT25" s="214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09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1"/>
      <c r="U26" s="127"/>
      <c r="V26" s="128"/>
      <c r="W26" s="128"/>
      <c r="X26" s="128"/>
      <c r="Y26" s="146"/>
      <c r="Z26" s="146"/>
      <c r="AA26" s="147"/>
      <c r="AB26" s="127"/>
      <c r="AC26" s="128"/>
      <c r="AD26" s="128"/>
      <c r="AE26" s="128"/>
      <c r="AF26" s="129"/>
      <c r="AG26" s="127">
        <f t="shared" si="0"/>
        <v>0</v>
      </c>
      <c r="AH26" s="128"/>
      <c r="AI26" s="128"/>
      <c r="AJ26" s="128"/>
      <c r="AK26" s="128"/>
      <c r="AL26" s="128"/>
      <c r="AM26" s="129"/>
      <c r="AN26" s="212"/>
      <c r="AO26" s="213"/>
      <c r="AP26" s="213"/>
      <c r="AQ26" s="213"/>
      <c r="AR26" s="213"/>
      <c r="AS26" s="213"/>
      <c r="AT26" s="214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09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1"/>
      <c r="U27" s="127"/>
      <c r="V27" s="128"/>
      <c r="W27" s="128"/>
      <c r="X27" s="128"/>
      <c r="Y27" s="146"/>
      <c r="Z27" s="146"/>
      <c r="AA27" s="147"/>
      <c r="AB27" s="127"/>
      <c r="AC27" s="128"/>
      <c r="AD27" s="128"/>
      <c r="AE27" s="128"/>
      <c r="AF27" s="129"/>
      <c r="AG27" s="127">
        <f t="shared" si="0"/>
        <v>0</v>
      </c>
      <c r="AH27" s="128"/>
      <c r="AI27" s="128"/>
      <c r="AJ27" s="128"/>
      <c r="AK27" s="128"/>
      <c r="AL27" s="128"/>
      <c r="AM27" s="129"/>
      <c r="AN27" s="212"/>
      <c r="AO27" s="213"/>
      <c r="AP27" s="213"/>
      <c r="AQ27" s="213"/>
      <c r="AR27" s="213"/>
      <c r="AS27" s="213"/>
      <c r="AT27" s="214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09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1"/>
      <c r="U28" s="127"/>
      <c r="V28" s="128"/>
      <c r="W28" s="128"/>
      <c r="X28" s="128"/>
      <c r="Y28" s="146"/>
      <c r="Z28" s="146"/>
      <c r="AA28" s="147"/>
      <c r="AB28" s="127"/>
      <c r="AC28" s="128"/>
      <c r="AD28" s="128"/>
      <c r="AE28" s="128"/>
      <c r="AF28" s="129"/>
      <c r="AG28" s="127">
        <f t="shared" si="0"/>
        <v>0</v>
      </c>
      <c r="AH28" s="128"/>
      <c r="AI28" s="128"/>
      <c r="AJ28" s="128"/>
      <c r="AK28" s="128"/>
      <c r="AL28" s="128"/>
      <c r="AM28" s="129"/>
      <c r="AN28" s="212"/>
      <c r="AO28" s="213"/>
      <c r="AP28" s="213"/>
      <c r="AQ28" s="213"/>
      <c r="AR28" s="213"/>
      <c r="AS28" s="213"/>
      <c r="AT28" s="214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09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1"/>
      <c r="U29" s="127"/>
      <c r="V29" s="128"/>
      <c r="W29" s="128"/>
      <c r="X29" s="128"/>
      <c r="Y29" s="146"/>
      <c r="Z29" s="146"/>
      <c r="AA29" s="147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12"/>
      <c r="AO29" s="213"/>
      <c r="AP29" s="213"/>
      <c r="AQ29" s="213"/>
      <c r="AR29" s="213"/>
      <c r="AS29" s="213"/>
      <c r="AT29" s="214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15" t="s">
        <v>43</v>
      </c>
      <c r="V30" s="216"/>
      <c r="W30" s="216"/>
      <c r="X30" s="216"/>
      <c r="Y30" s="216"/>
      <c r="Z30" s="216"/>
      <c r="AA30" s="217"/>
      <c r="AB30" s="218">
        <f>SUM(AG7:AG29)</f>
        <v>76300</v>
      </c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2" t="s">
        <v>42</v>
      </c>
      <c r="CJ119" s="142"/>
      <c r="CK119" s="142"/>
      <c r="CL119" s="142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2" t="s">
        <v>73</v>
      </c>
      <c r="CJ120" s="142"/>
      <c r="CK120" s="142"/>
      <c r="CL120" s="142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count="5">
    <dataValidation type="list" imeMode="hiragana" allowBlank="1" showInputMessage="1" showErrorMessage="1" prompt="ボタンを押し単位を入力" sqref="Y7:AA29" xr:uid="{AF7D5CD8-36B2-44AB-AAC6-A4C63EFFA3C2}">
      <formula1>$CS$104:$CS$116</formula1>
    </dataValidation>
    <dataValidation imeMode="hiragana" allowBlank="1" showInputMessage="1" showErrorMessage="1" prompt="備考があれば入力" sqref="AN7:AT29" xr:uid="{00000000-0002-0000-0100-000001000000}"/>
    <dataValidation imeMode="off" allowBlank="1" showInputMessage="1" showErrorMessage="1" prompt="単価を入力" sqref="AB7:AF29" xr:uid="{AC45B850-A731-457B-A37A-1659D5481FC3}"/>
    <dataValidation imeMode="off" allowBlank="1" showInputMessage="1" showErrorMessage="1" prompt="数量を入力" sqref="U7:X29" xr:uid="{7B15A2A5-A647-405C-BB89-176B89B43535}"/>
    <dataValidation imeMode="hiragana" allowBlank="1" showInputMessage="1" showErrorMessage="1" prompt="品名を入力" sqref="D7:T7 D19:T19 C7:C29 D23:T29" xr:uid="{629D10B3-9A25-4A49-8B38-0FF6D3D5404F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17" sqref="A1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5" t="s">
        <v>94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AL3" s="5" t="s">
        <v>0</v>
      </c>
      <c r="AM3" s="5"/>
      <c r="AN3" s="208"/>
      <c r="AO3" s="208"/>
      <c r="AP3" s="208"/>
      <c r="AQ3" s="208"/>
      <c r="AR3" s="208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0" t="s">
        <v>88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4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3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4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09" t="s">
        <v>101</v>
      </c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1"/>
      <c r="U7" s="127">
        <v>1</v>
      </c>
      <c r="V7" s="128"/>
      <c r="W7" s="128"/>
      <c r="X7" s="128"/>
      <c r="Y7" s="146" t="s">
        <v>93</v>
      </c>
      <c r="Z7" s="146"/>
      <c r="AA7" s="147"/>
      <c r="AB7" s="127"/>
      <c r="AC7" s="128"/>
      <c r="AD7" s="128"/>
      <c r="AE7" s="128"/>
      <c r="AF7" s="129"/>
      <c r="AG7" s="127">
        <f>IF(U7="",1*AB7,U7*AB7)</f>
        <v>0</v>
      </c>
      <c r="AH7" s="128"/>
      <c r="AI7" s="128"/>
      <c r="AJ7" s="128"/>
      <c r="AK7" s="128"/>
      <c r="AL7" s="128"/>
      <c r="AM7" s="129"/>
      <c r="AN7" s="212"/>
      <c r="AO7" s="213"/>
      <c r="AP7" s="213"/>
      <c r="AQ7" s="213"/>
      <c r="AR7" s="213"/>
      <c r="AS7" s="213"/>
      <c r="AT7" s="214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09" t="s">
        <v>102</v>
      </c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1"/>
      <c r="U8" s="127">
        <v>1</v>
      </c>
      <c r="V8" s="128"/>
      <c r="W8" s="128"/>
      <c r="X8" s="128"/>
      <c r="Y8" s="146" t="s">
        <v>93</v>
      </c>
      <c r="Z8" s="146"/>
      <c r="AA8" s="147"/>
      <c r="AB8" s="127"/>
      <c r="AC8" s="128"/>
      <c r="AD8" s="128"/>
      <c r="AE8" s="128"/>
      <c r="AF8" s="129"/>
      <c r="AG8" s="127">
        <f t="shared" ref="AG8:AG29" si="0">IF(U8="",1*AB8,U8*AB8)</f>
        <v>0</v>
      </c>
      <c r="AH8" s="128"/>
      <c r="AI8" s="128"/>
      <c r="AJ8" s="128"/>
      <c r="AK8" s="128"/>
      <c r="AL8" s="128"/>
      <c r="AM8" s="129"/>
      <c r="AN8" s="212"/>
      <c r="AO8" s="213"/>
      <c r="AP8" s="213"/>
      <c r="AQ8" s="213"/>
      <c r="AR8" s="213"/>
      <c r="AS8" s="213"/>
      <c r="AT8" s="214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09" t="s">
        <v>103</v>
      </c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1"/>
      <c r="U9" s="127">
        <v>1</v>
      </c>
      <c r="V9" s="128"/>
      <c r="W9" s="128"/>
      <c r="X9" s="128"/>
      <c r="Y9" s="146" t="s">
        <v>93</v>
      </c>
      <c r="Z9" s="146"/>
      <c r="AA9" s="147"/>
      <c r="AB9" s="127"/>
      <c r="AC9" s="128"/>
      <c r="AD9" s="128"/>
      <c r="AE9" s="128"/>
      <c r="AF9" s="129"/>
      <c r="AG9" s="127"/>
      <c r="AH9" s="128"/>
      <c r="AI9" s="128"/>
      <c r="AJ9" s="128"/>
      <c r="AK9" s="128"/>
      <c r="AL9" s="128"/>
      <c r="AM9" s="129"/>
      <c r="AN9" s="212"/>
      <c r="AO9" s="213"/>
      <c r="AP9" s="213"/>
      <c r="AQ9" s="213"/>
      <c r="AR9" s="213"/>
      <c r="AS9" s="213"/>
      <c r="AT9" s="214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09" t="s">
        <v>104</v>
      </c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1"/>
      <c r="U10" s="127">
        <v>1</v>
      </c>
      <c r="V10" s="128"/>
      <c r="W10" s="128"/>
      <c r="X10" s="128"/>
      <c r="Y10" s="146" t="s">
        <v>93</v>
      </c>
      <c r="Z10" s="146"/>
      <c r="AA10" s="147"/>
      <c r="AB10" s="127"/>
      <c r="AC10" s="128"/>
      <c r="AD10" s="128"/>
      <c r="AE10" s="128"/>
      <c r="AF10" s="129"/>
      <c r="AG10" s="127">
        <f t="shared" si="0"/>
        <v>0</v>
      </c>
      <c r="AH10" s="128"/>
      <c r="AI10" s="128"/>
      <c r="AJ10" s="128"/>
      <c r="AK10" s="128"/>
      <c r="AL10" s="128"/>
      <c r="AM10" s="129"/>
      <c r="AN10" s="212"/>
      <c r="AO10" s="213"/>
      <c r="AP10" s="213"/>
      <c r="AQ10" s="213"/>
      <c r="AR10" s="213"/>
      <c r="AS10" s="213"/>
      <c r="AT10" s="214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09" t="s">
        <v>105</v>
      </c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1"/>
      <c r="U11" s="127">
        <v>1</v>
      </c>
      <c r="V11" s="128"/>
      <c r="W11" s="128"/>
      <c r="X11" s="128"/>
      <c r="Y11" s="146" t="s">
        <v>93</v>
      </c>
      <c r="Z11" s="146"/>
      <c r="AA11" s="147"/>
      <c r="AB11" s="127"/>
      <c r="AC11" s="128"/>
      <c r="AD11" s="128"/>
      <c r="AE11" s="128"/>
      <c r="AF11" s="129"/>
      <c r="AG11" s="127">
        <f t="shared" si="0"/>
        <v>0</v>
      </c>
      <c r="AH11" s="128"/>
      <c r="AI11" s="128"/>
      <c r="AJ11" s="128"/>
      <c r="AK11" s="128"/>
      <c r="AL11" s="128"/>
      <c r="AM11" s="129"/>
      <c r="AN11" s="212"/>
      <c r="AO11" s="213"/>
      <c r="AP11" s="213"/>
      <c r="AQ11" s="213"/>
      <c r="AR11" s="213"/>
      <c r="AS11" s="213"/>
      <c r="AT11" s="214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09" t="s">
        <v>106</v>
      </c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1"/>
      <c r="U12" s="127">
        <v>1</v>
      </c>
      <c r="V12" s="128"/>
      <c r="W12" s="128"/>
      <c r="X12" s="128"/>
      <c r="Y12" s="146" t="s">
        <v>93</v>
      </c>
      <c r="Z12" s="146"/>
      <c r="AA12" s="147"/>
      <c r="AB12" s="127"/>
      <c r="AC12" s="128"/>
      <c r="AD12" s="128"/>
      <c r="AE12" s="128"/>
      <c r="AF12" s="129"/>
      <c r="AG12" s="127">
        <f t="shared" si="0"/>
        <v>0</v>
      </c>
      <c r="AH12" s="128"/>
      <c r="AI12" s="128"/>
      <c r="AJ12" s="128"/>
      <c r="AK12" s="128"/>
      <c r="AL12" s="128"/>
      <c r="AM12" s="129"/>
      <c r="AN12" s="212"/>
      <c r="AO12" s="213"/>
      <c r="AP12" s="213"/>
      <c r="AQ12" s="213"/>
      <c r="AR12" s="213"/>
      <c r="AS12" s="213"/>
      <c r="AT12" s="214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09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1"/>
      <c r="U13" s="127"/>
      <c r="V13" s="128"/>
      <c r="W13" s="128"/>
      <c r="X13" s="128"/>
      <c r="Y13" s="146"/>
      <c r="Z13" s="146"/>
      <c r="AA13" s="147"/>
      <c r="AB13" s="127"/>
      <c r="AC13" s="128"/>
      <c r="AD13" s="128"/>
      <c r="AE13" s="128"/>
      <c r="AF13" s="129"/>
      <c r="AG13" s="127">
        <f t="shared" si="0"/>
        <v>0</v>
      </c>
      <c r="AH13" s="128"/>
      <c r="AI13" s="128"/>
      <c r="AJ13" s="128"/>
      <c r="AK13" s="128"/>
      <c r="AL13" s="128"/>
      <c r="AM13" s="129"/>
      <c r="AN13" s="212"/>
      <c r="AO13" s="213"/>
      <c r="AP13" s="213"/>
      <c r="AQ13" s="213"/>
      <c r="AR13" s="213"/>
      <c r="AS13" s="213"/>
      <c r="AT13" s="214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09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1"/>
      <c r="U14" s="127"/>
      <c r="V14" s="128"/>
      <c r="W14" s="128"/>
      <c r="X14" s="128"/>
      <c r="Y14" s="146"/>
      <c r="Z14" s="146"/>
      <c r="AA14" s="147"/>
      <c r="AB14" s="127"/>
      <c r="AC14" s="128"/>
      <c r="AD14" s="128"/>
      <c r="AE14" s="128"/>
      <c r="AF14" s="129"/>
      <c r="AG14" s="127">
        <f t="shared" si="0"/>
        <v>0</v>
      </c>
      <c r="AH14" s="128"/>
      <c r="AI14" s="128"/>
      <c r="AJ14" s="128"/>
      <c r="AK14" s="128"/>
      <c r="AL14" s="128"/>
      <c r="AM14" s="129"/>
      <c r="AN14" s="212"/>
      <c r="AO14" s="213"/>
      <c r="AP14" s="213"/>
      <c r="AQ14" s="213"/>
      <c r="AR14" s="213"/>
      <c r="AS14" s="213"/>
      <c r="AT14" s="214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09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1"/>
      <c r="U15" s="127"/>
      <c r="V15" s="128"/>
      <c r="W15" s="128"/>
      <c r="X15" s="128"/>
      <c r="Y15" s="146"/>
      <c r="Z15" s="146"/>
      <c r="AA15" s="147"/>
      <c r="AB15" s="127"/>
      <c r="AC15" s="128"/>
      <c r="AD15" s="128"/>
      <c r="AE15" s="128"/>
      <c r="AF15" s="129"/>
      <c r="AG15" s="127">
        <f t="shared" si="0"/>
        <v>0</v>
      </c>
      <c r="AH15" s="128"/>
      <c r="AI15" s="128"/>
      <c r="AJ15" s="128"/>
      <c r="AK15" s="128"/>
      <c r="AL15" s="128"/>
      <c r="AM15" s="129"/>
      <c r="AN15" s="212"/>
      <c r="AO15" s="213"/>
      <c r="AP15" s="213"/>
      <c r="AQ15" s="213"/>
      <c r="AR15" s="213"/>
      <c r="AS15" s="213"/>
      <c r="AT15" s="214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09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1"/>
      <c r="U16" s="127"/>
      <c r="V16" s="128"/>
      <c r="W16" s="128"/>
      <c r="X16" s="128"/>
      <c r="Y16" s="146"/>
      <c r="Z16" s="146"/>
      <c r="AA16" s="147"/>
      <c r="AB16" s="127"/>
      <c r="AC16" s="128"/>
      <c r="AD16" s="128"/>
      <c r="AE16" s="128"/>
      <c r="AF16" s="129"/>
      <c r="AG16" s="127">
        <f t="shared" si="0"/>
        <v>0</v>
      </c>
      <c r="AH16" s="128"/>
      <c r="AI16" s="128"/>
      <c r="AJ16" s="128"/>
      <c r="AK16" s="128"/>
      <c r="AL16" s="128"/>
      <c r="AM16" s="129"/>
      <c r="AN16" s="212"/>
      <c r="AO16" s="213"/>
      <c r="AP16" s="213"/>
      <c r="AQ16" s="213"/>
      <c r="AR16" s="213"/>
      <c r="AS16" s="213"/>
      <c r="AT16" s="214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09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1"/>
      <c r="U17" s="127"/>
      <c r="V17" s="128"/>
      <c r="W17" s="128"/>
      <c r="X17" s="128"/>
      <c r="Y17" s="146"/>
      <c r="Z17" s="146"/>
      <c r="AA17" s="147"/>
      <c r="AB17" s="127"/>
      <c r="AC17" s="128"/>
      <c r="AD17" s="128"/>
      <c r="AE17" s="128"/>
      <c r="AF17" s="129"/>
      <c r="AG17" s="127">
        <f t="shared" si="0"/>
        <v>0</v>
      </c>
      <c r="AH17" s="128"/>
      <c r="AI17" s="128"/>
      <c r="AJ17" s="128"/>
      <c r="AK17" s="128"/>
      <c r="AL17" s="128"/>
      <c r="AM17" s="129"/>
      <c r="AN17" s="212"/>
      <c r="AO17" s="213"/>
      <c r="AP17" s="213"/>
      <c r="AQ17" s="213"/>
      <c r="AR17" s="213"/>
      <c r="AS17" s="213"/>
      <c r="AT17" s="214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09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1"/>
      <c r="U18" s="127"/>
      <c r="V18" s="128"/>
      <c r="W18" s="128"/>
      <c r="X18" s="128"/>
      <c r="Y18" s="146"/>
      <c r="Z18" s="146"/>
      <c r="AA18" s="147"/>
      <c r="AB18" s="127"/>
      <c r="AC18" s="128"/>
      <c r="AD18" s="128"/>
      <c r="AE18" s="128"/>
      <c r="AF18" s="129"/>
      <c r="AG18" s="127">
        <f t="shared" si="0"/>
        <v>0</v>
      </c>
      <c r="AH18" s="128"/>
      <c r="AI18" s="128"/>
      <c r="AJ18" s="128"/>
      <c r="AK18" s="128"/>
      <c r="AL18" s="128"/>
      <c r="AM18" s="129"/>
      <c r="AN18" s="212"/>
      <c r="AO18" s="213"/>
      <c r="AP18" s="213"/>
      <c r="AQ18" s="213"/>
      <c r="AR18" s="213"/>
      <c r="AS18" s="213"/>
      <c r="AT18" s="214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09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1"/>
      <c r="U19" s="127"/>
      <c r="V19" s="128"/>
      <c r="W19" s="128"/>
      <c r="X19" s="128"/>
      <c r="Y19" s="146"/>
      <c r="Z19" s="146"/>
      <c r="AA19" s="147"/>
      <c r="AB19" s="127"/>
      <c r="AC19" s="128"/>
      <c r="AD19" s="128"/>
      <c r="AE19" s="128"/>
      <c r="AF19" s="129"/>
      <c r="AG19" s="127">
        <f t="shared" si="0"/>
        <v>0</v>
      </c>
      <c r="AH19" s="128"/>
      <c r="AI19" s="128"/>
      <c r="AJ19" s="128"/>
      <c r="AK19" s="128"/>
      <c r="AL19" s="128"/>
      <c r="AM19" s="129"/>
      <c r="AN19" s="212"/>
      <c r="AO19" s="213"/>
      <c r="AP19" s="213"/>
      <c r="AQ19" s="213"/>
      <c r="AR19" s="213"/>
      <c r="AS19" s="213"/>
      <c r="AT19" s="214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09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1"/>
      <c r="U20" s="127"/>
      <c r="V20" s="128"/>
      <c r="W20" s="128"/>
      <c r="X20" s="128"/>
      <c r="Y20" s="146"/>
      <c r="Z20" s="146"/>
      <c r="AA20" s="147"/>
      <c r="AB20" s="127"/>
      <c r="AC20" s="128"/>
      <c r="AD20" s="128"/>
      <c r="AE20" s="128"/>
      <c r="AF20" s="129"/>
      <c r="AG20" s="127">
        <f t="shared" si="0"/>
        <v>0</v>
      </c>
      <c r="AH20" s="128"/>
      <c r="AI20" s="128"/>
      <c r="AJ20" s="128"/>
      <c r="AK20" s="128"/>
      <c r="AL20" s="128"/>
      <c r="AM20" s="129"/>
      <c r="AN20" s="212"/>
      <c r="AO20" s="213"/>
      <c r="AP20" s="213"/>
      <c r="AQ20" s="213"/>
      <c r="AR20" s="213"/>
      <c r="AS20" s="213"/>
      <c r="AT20" s="214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09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1"/>
      <c r="U21" s="127"/>
      <c r="V21" s="128"/>
      <c r="W21" s="128"/>
      <c r="X21" s="128"/>
      <c r="Y21" s="146"/>
      <c r="Z21" s="146"/>
      <c r="AA21" s="147"/>
      <c r="AB21" s="127"/>
      <c r="AC21" s="128"/>
      <c r="AD21" s="128"/>
      <c r="AE21" s="128"/>
      <c r="AF21" s="129"/>
      <c r="AG21" s="127">
        <f t="shared" si="0"/>
        <v>0</v>
      </c>
      <c r="AH21" s="128"/>
      <c r="AI21" s="128"/>
      <c r="AJ21" s="128"/>
      <c r="AK21" s="128"/>
      <c r="AL21" s="128"/>
      <c r="AM21" s="129"/>
      <c r="AN21" s="212"/>
      <c r="AO21" s="213"/>
      <c r="AP21" s="213"/>
      <c r="AQ21" s="213"/>
      <c r="AR21" s="213"/>
      <c r="AS21" s="213"/>
      <c r="AT21" s="214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09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1"/>
      <c r="U22" s="127"/>
      <c r="V22" s="128"/>
      <c r="W22" s="128"/>
      <c r="X22" s="128"/>
      <c r="Y22" s="146"/>
      <c r="Z22" s="146"/>
      <c r="AA22" s="147"/>
      <c r="AB22" s="127"/>
      <c r="AC22" s="128"/>
      <c r="AD22" s="128"/>
      <c r="AE22" s="128"/>
      <c r="AF22" s="129"/>
      <c r="AG22" s="127">
        <f t="shared" si="0"/>
        <v>0</v>
      </c>
      <c r="AH22" s="128"/>
      <c r="AI22" s="128"/>
      <c r="AJ22" s="128"/>
      <c r="AK22" s="128"/>
      <c r="AL22" s="128"/>
      <c r="AM22" s="129"/>
      <c r="AN22" s="228"/>
      <c r="AO22" s="229"/>
      <c r="AP22" s="229"/>
      <c r="AQ22" s="229"/>
      <c r="AR22" s="229"/>
      <c r="AS22" s="229"/>
      <c r="AT22" s="23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09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1"/>
      <c r="U23" s="127"/>
      <c r="V23" s="128"/>
      <c r="W23" s="128"/>
      <c r="X23" s="128"/>
      <c r="Y23" s="146"/>
      <c r="Z23" s="146"/>
      <c r="AA23" s="147"/>
      <c r="AB23" s="127"/>
      <c r="AC23" s="128"/>
      <c r="AD23" s="128"/>
      <c r="AE23" s="128"/>
      <c r="AF23" s="129"/>
      <c r="AG23" s="127">
        <f t="shared" si="0"/>
        <v>0</v>
      </c>
      <c r="AH23" s="128"/>
      <c r="AI23" s="128"/>
      <c r="AJ23" s="128"/>
      <c r="AK23" s="128"/>
      <c r="AL23" s="128"/>
      <c r="AM23" s="129"/>
      <c r="AN23" s="228"/>
      <c r="AO23" s="229"/>
      <c r="AP23" s="229"/>
      <c r="AQ23" s="229"/>
      <c r="AR23" s="229"/>
      <c r="AS23" s="229"/>
      <c r="AT23" s="23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09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1"/>
      <c r="U24" s="127"/>
      <c r="V24" s="128"/>
      <c r="W24" s="128"/>
      <c r="X24" s="128"/>
      <c r="Y24" s="146"/>
      <c r="Z24" s="146"/>
      <c r="AA24" s="147"/>
      <c r="AB24" s="127"/>
      <c r="AC24" s="128"/>
      <c r="AD24" s="128"/>
      <c r="AE24" s="128"/>
      <c r="AF24" s="129"/>
      <c r="AG24" s="127">
        <f t="shared" si="0"/>
        <v>0</v>
      </c>
      <c r="AH24" s="128"/>
      <c r="AI24" s="128"/>
      <c r="AJ24" s="128"/>
      <c r="AK24" s="128"/>
      <c r="AL24" s="128"/>
      <c r="AM24" s="129"/>
      <c r="AN24" s="228"/>
      <c r="AO24" s="229"/>
      <c r="AP24" s="229"/>
      <c r="AQ24" s="229"/>
      <c r="AR24" s="229"/>
      <c r="AS24" s="229"/>
      <c r="AT24" s="23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09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1"/>
      <c r="U25" s="127"/>
      <c r="V25" s="128"/>
      <c r="W25" s="128"/>
      <c r="X25" s="128"/>
      <c r="Y25" s="146"/>
      <c r="Z25" s="146"/>
      <c r="AA25" s="147"/>
      <c r="AB25" s="127"/>
      <c r="AC25" s="128"/>
      <c r="AD25" s="128"/>
      <c r="AE25" s="128"/>
      <c r="AF25" s="129"/>
      <c r="AG25" s="127">
        <f t="shared" si="0"/>
        <v>0</v>
      </c>
      <c r="AH25" s="128"/>
      <c r="AI25" s="128"/>
      <c r="AJ25" s="128"/>
      <c r="AK25" s="128"/>
      <c r="AL25" s="128"/>
      <c r="AM25" s="129"/>
      <c r="AN25" s="228"/>
      <c r="AO25" s="229"/>
      <c r="AP25" s="229"/>
      <c r="AQ25" s="229"/>
      <c r="AR25" s="229"/>
      <c r="AS25" s="229"/>
      <c r="AT25" s="23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09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1"/>
      <c r="U26" s="127"/>
      <c r="V26" s="128"/>
      <c r="W26" s="128"/>
      <c r="X26" s="128"/>
      <c r="Y26" s="146"/>
      <c r="Z26" s="146"/>
      <c r="AA26" s="147"/>
      <c r="AB26" s="127"/>
      <c r="AC26" s="128"/>
      <c r="AD26" s="128"/>
      <c r="AE26" s="128"/>
      <c r="AF26" s="129"/>
      <c r="AG26" s="127">
        <f t="shared" si="0"/>
        <v>0</v>
      </c>
      <c r="AH26" s="128"/>
      <c r="AI26" s="128"/>
      <c r="AJ26" s="128"/>
      <c r="AK26" s="128"/>
      <c r="AL26" s="128"/>
      <c r="AM26" s="129"/>
      <c r="AN26" s="228"/>
      <c r="AO26" s="229"/>
      <c r="AP26" s="229"/>
      <c r="AQ26" s="229"/>
      <c r="AR26" s="229"/>
      <c r="AS26" s="229"/>
      <c r="AT26" s="23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09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1"/>
      <c r="U27" s="127"/>
      <c r="V27" s="128"/>
      <c r="W27" s="128"/>
      <c r="X27" s="128"/>
      <c r="Y27" s="146"/>
      <c r="Z27" s="146"/>
      <c r="AA27" s="147"/>
      <c r="AB27" s="127"/>
      <c r="AC27" s="128"/>
      <c r="AD27" s="128"/>
      <c r="AE27" s="128"/>
      <c r="AF27" s="129"/>
      <c r="AG27" s="127">
        <f t="shared" si="0"/>
        <v>0</v>
      </c>
      <c r="AH27" s="128"/>
      <c r="AI27" s="128"/>
      <c r="AJ27" s="128"/>
      <c r="AK27" s="128"/>
      <c r="AL27" s="128"/>
      <c r="AM27" s="129"/>
      <c r="AN27" s="228"/>
      <c r="AO27" s="229"/>
      <c r="AP27" s="229"/>
      <c r="AQ27" s="229"/>
      <c r="AR27" s="229"/>
      <c r="AS27" s="229"/>
      <c r="AT27" s="23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09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1"/>
      <c r="U28" s="127"/>
      <c r="V28" s="128"/>
      <c r="W28" s="128"/>
      <c r="X28" s="128"/>
      <c r="Y28" s="146"/>
      <c r="Z28" s="146"/>
      <c r="AA28" s="147"/>
      <c r="AB28" s="127"/>
      <c r="AC28" s="128"/>
      <c r="AD28" s="128"/>
      <c r="AE28" s="128"/>
      <c r="AF28" s="129"/>
      <c r="AG28" s="127">
        <f t="shared" si="0"/>
        <v>0</v>
      </c>
      <c r="AH28" s="128"/>
      <c r="AI28" s="128"/>
      <c r="AJ28" s="128"/>
      <c r="AK28" s="128"/>
      <c r="AL28" s="128"/>
      <c r="AM28" s="129"/>
      <c r="AN28" s="228"/>
      <c r="AO28" s="229"/>
      <c r="AP28" s="229"/>
      <c r="AQ28" s="229"/>
      <c r="AR28" s="229"/>
      <c r="AS28" s="229"/>
      <c r="AT28" s="23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09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1"/>
      <c r="U29" s="127"/>
      <c r="V29" s="128"/>
      <c r="W29" s="128"/>
      <c r="X29" s="128"/>
      <c r="Y29" s="146"/>
      <c r="Z29" s="146"/>
      <c r="AA29" s="147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6" t="s">
        <v>43</v>
      </c>
      <c r="V30" s="157"/>
      <c r="W30" s="157"/>
      <c r="X30" s="157"/>
      <c r="Y30" s="157"/>
      <c r="Z30" s="157"/>
      <c r="AA30" s="158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2" t="s">
        <v>42</v>
      </c>
      <c r="CJ119" s="142"/>
      <c r="CK119" s="142"/>
      <c r="CL119" s="142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2" t="s">
        <v>73</v>
      </c>
      <c r="CJ120" s="142"/>
      <c r="CK120" s="142"/>
      <c r="CL120" s="142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count="5">
    <dataValidation type="list" imeMode="hiragana" allowBlank="1" showInputMessage="1" showErrorMessage="1" prompt="ボタンを押し単位を入力" sqref="Y7:AA29" xr:uid="{00000000-0002-0000-0300-000000000000}">
      <formula1>$CS$104:$CS$116</formula1>
    </dataValidation>
    <dataValidation imeMode="hiragana" allowBlank="1" showInputMessage="1" showErrorMessage="1" prompt="備考があれば入力" sqref="AN7:AT29" xr:uid="{00000000-0002-0000-0300-000001000000}"/>
    <dataValidation imeMode="off" allowBlank="1" showInputMessage="1" showErrorMessage="1" prompt="単価を入力" sqref="AB7:AF29" xr:uid="{00000000-0002-0000-0300-000002000000}"/>
    <dataValidation imeMode="off" allowBlank="1" showInputMessage="1" showErrorMessage="1" prompt="数量を入力" sqref="U7:X29" xr:uid="{00000000-0002-0000-0300-000003000000}"/>
    <dataValidation imeMode="hiragana" allowBlank="1" showInputMessage="1" showErrorMessage="1" prompt="品名を入力" sqref="D15:T29 C7:C29" xr:uid="{00000000-0002-0000-03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BC28" sqref="BC28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5" t="s">
        <v>128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AL3" s="5" t="s">
        <v>0</v>
      </c>
      <c r="AM3" s="5"/>
      <c r="AN3" s="208"/>
      <c r="AO3" s="208"/>
      <c r="AP3" s="208"/>
      <c r="AQ3" s="208"/>
      <c r="AR3" s="208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0" t="s">
        <v>88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4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3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4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09" t="s">
        <v>107</v>
      </c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1"/>
      <c r="U7" s="127">
        <v>1</v>
      </c>
      <c r="V7" s="128"/>
      <c r="W7" s="128"/>
      <c r="X7" s="128"/>
      <c r="Y7" s="146" t="s">
        <v>127</v>
      </c>
      <c r="Z7" s="146"/>
      <c r="AA7" s="147"/>
      <c r="AB7" s="127"/>
      <c r="AC7" s="128"/>
      <c r="AD7" s="128"/>
      <c r="AE7" s="128"/>
      <c r="AF7" s="129"/>
      <c r="AG7" s="127">
        <f>IF(U7="",1*AB7,U7*AB7)</f>
        <v>0</v>
      </c>
      <c r="AH7" s="128"/>
      <c r="AI7" s="128"/>
      <c r="AJ7" s="128"/>
      <c r="AK7" s="128"/>
      <c r="AL7" s="128"/>
      <c r="AM7" s="129"/>
      <c r="AN7" s="212"/>
      <c r="AO7" s="213"/>
      <c r="AP7" s="213"/>
      <c r="AQ7" s="213"/>
      <c r="AR7" s="213"/>
      <c r="AS7" s="213"/>
      <c r="AT7" s="214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09" t="s">
        <v>108</v>
      </c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1"/>
      <c r="U8" s="127">
        <v>1</v>
      </c>
      <c r="V8" s="128"/>
      <c r="W8" s="128"/>
      <c r="X8" s="128"/>
      <c r="Y8" s="146" t="s">
        <v>80</v>
      </c>
      <c r="Z8" s="146"/>
      <c r="AA8" s="147"/>
      <c r="AB8" s="127"/>
      <c r="AC8" s="128"/>
      <c r="AD8" s="128"/>
      <c r="AE8" s="128"/>
      <c r="AF8" s="129"/>
      <c r="AG8" s="127">
        <f t="shared" ref="AG8:AG29" si="0">IF(U8="",1*AB8,U8*AB8)</f>
        <v>0</v>
      </c>
      <c r="AH8" s="128"/>
      <c r="AI8" s="128"/>
      <c r="AJ8" s="128"/>
      <c r="AK8" s="128"/>
      <c r="AL8" s="128"/>
      <c r="AM8" s="129"/>
      <c r="AN8" s="212"/>
      <c r="AO8" s="213"/>
      <c r="AP8" s="213"/>
      <c r="AQ8" s="213"/>
      <c r="AR8" s="213"/>
      <c r="AS8" s="213"/>
      <c r="AT8" s="214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09" t="s">
        <v>109</v>
      </c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1"/>
      <c r="U9" s="127">
        <v>1</v>
      </c>
      <c r="V9" s="128"/>
      <c r="W9" s="128"/>
      <c r="X9" s="128"/>
      <c r="Y9" s="146" t="s">
        <v>80</v>
      </c>
      <c r="Z9" s="146"/>
      <c r="AA9" s="147"/>
      <c r="AB9" s="127"/>
      <c r="AC9" s="128"/>
      <c r="AD9" s="128"/>
      <c r="AE9" s="128"/>
      <c r="AF9" s="129"/>
      <c r="AG9" s="127">
        <f t="shared" si="0"/>
        <v>0</v>
      </c>
      <c r="AH9" s="128"/>
      <c r="AI9" s="128"/>
      <c r="AJ9" s="128"/>
      <c r="AK9" s="128"/>
      <c r="AL9" s="128"/>
      <c r="AM9" s="129"/>
      <c r="AN9" s="212"/>
      <c r="AO9" s="213"/>
      <c r="AP9" s="213"/>
      <c r="AQ9" s="213"/>
      <c r="AR9" s="213"/>
      <c r="AS9" s="213"/>
      <c r="AT9" s="214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09" t="s">
        <v>110</v>
      </c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1"/>
      <c r="U10" s="127">
        <v>1</v>
      </c>
      <c r="V10" s="128"/>
      <c r="W10" s="128"/>
      <c r="X10" s="128"/>
      <c r="Y10" s="146" t="s">
        <v>80</v>
      </c>
      <c r="Z10" s="146"/>
      <c r="AA10" s="147"/>
      <c r="AB10" s="127"/>
      <c r="AC10" s="128"/>
      <c r="AD10" s="128"/>
      <c r="AE10" s="128"/>
      <c r="AF10" s="129"/>
      <c r="AG10" s="127">
        <f t="shared" si="0"/>
        <v>0</v>
      </c>
      <c r="AH10" s="128"/>
      <c r="AI10" s="128"/>
      <c r="AJ10" s="128"/>
      <c r="AK10" s="128"/>
      <c r="AL10" s="128"/>
      <c r="AM10" s="129"/>
      <c r="AN10" s="212"/>
      <c r="AO10" s="213"/>
      <c r="AP10" s="213"/>
      <c r="AQ10" s="213"/>
      <c r="AR10" s="213"/>
      <c r="AS10" s="213"/>
      <c r="AT10" s="214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09" t="s">
        <v>111</v>
      </c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1"/>
      <c r="U11" s="127">
        <v>1</v>
      </c>
      <c r="V11" s="128"/>
      <c r="W11" s="128"/>
      <c r="X11" s="128"/>
      <c r="Y11" s="146" t="s">
        <v>80</v>
      </c>
      <c r="Z11" s="146"/>
      <c r="AA11" s="147"/>
      <c r="AB11" s="127"/>
      <c r="AC11" s="128"/>
      <c r="AD11" s="128"/>
      <c r="AE11" s="128"/>
      <c r="AF11" s="129"/>
      <c r="AG11" s="127">
        <f t="shared" si="0"/>
        <v>0</v>
      </c>
      <c r="AH11" s="128"/>
      <c r="AI11" s="128"/>
      <c r="AJ11" s="128"/>
      <c r="AK11" s="128"/>
      <c r="AL11" s="128"/>
      <c r="AM11" s="129"/>
      <c r="AN11" s="212"/>
      <c r="AO11" s="213"/>
      <c r="AP11" s="213"/>
      <c r="AQ11" s="213"/>
      <c r="AR11" s="213"/>
      <c r="AS11" s="213"/>
      <c r="AT11" s="214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09" t="s">
        <v>112</v>
      </c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1"/>
      <c r="U12" s="127">
        <v>1</v>
      </c>
      <c r="V12" s="128"/>
      <c r="W12" s="128"/>
      <c r="X12" s="128"/>
      <c r="Y12" s="146" t="s">
        <v>80</v>
      </c>
      <c r="Z12" s="146"/>
      <c r="AA12" s="147"/>
      <c r="AB12" s="127"/>
      <c r="AC12" s="128"/>
      <c r="AD12" s="128"/>
      <c r="AE12" s="128"/>
      <c r="AF12" s="129"/>
      <c r="AG12" s="127">
        <f t="shared" si="0"/>
        <v>0</v>
      </c>
      <c r="AH12" s="128"/>
      <c r="AI12" s="128"/>
      <c r="AJ12" s="128"/>
      <c r="AK12" s="128"/>
      <c r="AL12" s="128"/>
      <c r="AM12" s="129"/>
      <c r="AN12" s="212"/>
      <c r="AO12" s="213"/>
      <c r="AP12" s="213"/>
      <c r="AQ12" s="213"/>
      <c r="AR12" s="213"/>
      <c r="AS12" s="213"/>
      <c r="AT12" s="214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09" t="s">
        <v>113</v>
      </c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1"/>
      <c r="U13" s="127">
        <v>1</v>
      </c>
      <c r="V13" s="128"/>
      <c r="W13" s="128"/>
      <c r="X13" s="128"/>
      <c r="Y13" s="146" t="s">
        <v>80</v>
      </c>
      <c r="Z13" s="146"/>
      <c r="AA13" s="147"/>
      <c r="AB13" s="127"/>
      <c r="AC13" s="128"/>
      <c r="AD13" s="128"/>
      <c r="AE13" s="128"/>
      <c r="AF13" s="129"/>
      <c r="AG13" s="127">
        <f t="shared" si="0"/>
        <v>0</v>
      </c>
      <c r="AH13" s="128"/>
      <c r="AI13" s="128"/>
      <c r="AJ13" s="128"/>
      <c r="AK13" s="128"/>
      <c r="AL13" s="128"/>
      <c r="AM13" s="129"/>
      <c r="AN13" s="212"/>
      <c r="AO13" s="213"/>
      <c r="AP13" s="213"/>
      <c r="AQ13" s="213"/>
      <c r="AR13" s="213"/>
      <c r="AS13" s="213"/>
      <c r="AT13" s="214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09" t="s">
        <v>114</v>
      </c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1"/>
      <c r="U14" s="127">
        <v>1</v>
      </c>
      <c r="V14" s="128"/>
      <c r="W14" s="128"/>
      <c r="X14" s="128"/>
      <c r="Y14" s="146" t="s">
        <v>80</v>
      </c>
      <c r="Z14" s="146"/>
      <c r="AA14" s="147"/>
      <c r="AB14" s="127"/>
      <c r="AC14" s="128"/>
      <c r="AD14" s="128"/>
      <c r="AE14" s="128"/>
      <c r="AF14" s="129"/>
      <c r="AG14" s="127">
        <f t="shared" si="0"/>
        <v>0</v>
      </c>
      <c r="AH14" s="128"/>
      <c r="AI14" s="128"/>
      <c r="AJ14" s="128"/>
      <c r="AK14" s="128"/>
      <c r="AL14" s="128"/>
      <c r="AM14" s="129"/>
      <c r="AN14" s="212"/>
      <c r="AO14" s="213"/>
      <c r="AP14" s="213"/>
      <c r="AQ14" s="213"/>
      <c r="AR14" s="213"/>
      <c r="AS14" s="213"/>
      <c r="AT14" s="214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09" t="s">
        <v>115</v>
      </c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1"/>
      <c r="U15" s="127">
        <v>1</v>
      </c>
      <c r="V15" s="128"/>
      <c r="W15" s="128"/>
      <c r="X15" s="128"/>
      <c r="Y15" s="146" t="s">
        <v>80</v>
      </c>
      <c r="Z15" s="146"/>
      <c r="AA15" s="147"/>
      <c r="AB15" s="127"/>
      <c r="AC15" s="128"/>
      <c r="AD15" s="128"/>
      <c r="AE15" s="128"/>
      <c r="AF15" s="129"/>
      <c r="AG15" s="127">
        <f t="shared" si="0"/>
        <v>0</v>
      </c>
      <c r="AH15" s="128"/>
      <c r="AI15" s="128"/>
      <c r="AJ15" s="128"/>
      <c r="AK15" s="128"/>
      <c r="AL15" s="128"/>
      <c r="AM15" s="129"/>
      <c r="AN15" s="212"/>
      <c r="AO15" s="213"/>
      <c r="AP15" s="213"/>
      <c r="AQ15" s="213"/>
      <c r="AR15" s="213"/>
      <c r="AS15" s="213"/>
      <c r="AT15" s="214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09" t="s">
        <v>116</v>
      </c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1"/>
      <c r="U16" s="127">
        <v>1</v>
      </c>
      <c r="V16" s="128"/>
      <c r="W16" s="128"/>
      <c r="X16" s="128"/>
      <c r="Y16" s="146" t="s">
        <v>80</v>
      </c>
      <c r="Z16" s="146"/>
      <c r="AA16" s="147"/>
      <c r="AB16" s="127"/>
      <c r="AC16" s="128"/>
      <c r="AD16" s="128"/>
      <c r="AE16" s="128"/>
      <c r="AF16" s="129"/>
      <c r="AG16" s="127">
        <f t="shared" si="0"/>
        <v>0</v>
      </c>
      <c r="AH16" s="128"/>
      <c r="AI16" s="128"/>
      <c r="AJ16" s="128"/>
      <c r="AK16" s="128"/>
      <c r="AL16" s="128"/>
      <c r="AM16" s="129"/>
      <c r="AN16" s="212"/>
      <c r="AO16" s="213"/>
      <c r="AP16" s="213"/>
      <c r="AQ16" s="213"/>
      <c r="AR16" s="213"/>
      <c r="AS16" s="213"/>
      <c r="AT16" s="214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09" t="s">
        <v>118</v>
      </c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1"/>
      <c r="U17" s="127">
        <v>1</v>
      </c>
      <c r="V17" s="128"/>
      <c r="W17" s="128"/>
      <c r="X17" s="128"/>
      <c r="Y17" s="146" t="s">
        <v>80</v>
      </c>
      <c r="Z17" s="146"/>
      <c r="AA17" s="147"/>
      <c r="AB17" s="127"/>
      <c r="AC17" s="128"/>
      <c r="AD17" s="128"/>
      <c r="AE17" s="128"/>
      <c r="AF17" s="129"/>
      <c r="AG17" s="127">
        <f t="shared" si="0"/>
        <v>0</v>
      </c>
      <c r="AH17" s="128"/>
      <c r="AI17" s="128"/>
      <c r="AJ17" s="128"/>
      <c r="AK17" s="128"/>
      <c r="AL17" s="128"/>
      <c r="AM17" s="129"/>
      <c r="AN17" s="212"/>
      <c r="AO17" s="213"/>
      <c r="AP17" s="213"/>
      <c r="AQ17" s="213"/>
      <c r="AR17" s="213"/>
      <c r="AS17" s="213"/>
      <c r="AT17" s="214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09" t="s">
        <v>119</v>
      </c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1"/>
      <c r="U18" s="127">
        <v>7</v>
      </c>
      <c r="V18" s="128"/>
      <c r="W18" s="128"/>
      <c r="X18" s="128"/>
      <c r="Y18" s="146" t="s">
        <v>80</v>
      </c>
      <c r="Z18" s="146"/>
      <c r="AA18" s="147"/>
      <c r="AB18" s="127"/>
      <c r="AC18" s="128"/>
      <c r="AD18" s="128"/>
      <c r="AE18" s="128"/>
      <c r="AF18" s="129"/>
      <c r="AG18" s="127">
        <f t="shared" si="0"/>
        <v>0</v>
      </c>
      <c r="AH18" s="128"/>
      <c r="AI18" s="128"/>
      <c r="AJ18" s="128"/>
      <c r="AK18" s="128"/>
      <c r="AL18" s="128"/>
      <c r="AM18" s="129"/>
      <c r="AN18" s="212"/>
      <c r="AO18" s="213"/>
      <c r="AP18" s="213"/>
      <c r="AQ18" s="213"/>
      <c r="AR18" s="213"/>
      <c r="AS18" s="213"/>
      <c r="AT18" s="214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09" t="s">
        <v>120</v>
      </c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1"/>
      <c r="U19" s="127">
        <v>1</v>
      </c>
      <c r="V19" s="128"/>
      <c r="W19" s="128"/>
      <c r="X19" s="128"/>
      <c r="Y19" s="146" t="s">
        <v>80</v>
      </c>
      <c r="Z19" s="146"/>
      <c r="AA19" s="147"/>
      <c r="AB19" s="127"/>
      <c r="AC19" s="128"/>
      <c r="AD19" s="128"/>
      <c r="AE19" s="128"/>
      <c r="AF19" s="129"/>
      <c r="AG19" s="127">
        <f t="shared" si="0"/>
        <v>0</v>
      </c>
      <c r="AH19" s="128"/>
      <c r="AI19" s="128"/>
      <c r="AJ19" s="128"/>
      <c r="AK19" s="128"/>
      <c r="AL19" s="128"/>
      <c r="AM19" s="129"/>
      <c r="AN19" s="212"/>
      <c r="AO19" s="213"/>
      <c r="AP19" s="213"/>
      <c r="AQ19" s="213"/>
      <c r="AR19" s="213"/>
      <c r="AS19" s="213"/>
      <c r="AT19" s="214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09" t="s">
        <v>121</v>
      </c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1"/>
      <c r="U20" s="127">
        <v>1</v>
      </c>
      <c r="V20" s="128"/>
      <c r="W20" s="128"/>
      <c r="X20" s="128"/>
      <c r="Y20" s="146" t="s">
        <v>80</v>
      </c>
      <c r="Z20" s="146"/>
      <c r="AA20" s="147"/>
      <c r="AB20" s="127"/>
      <c r="AC20" s="128"/>
      <c r="AD20" s="128"/>
      <c r="AE20" s="128"/>
      <c r="AF20" s="129"/>
      <c r="AG20" s="127">
        <f t="shared" si="0"/>
        <v>0</v>
      </c>
      <c r="AH20" s="128"/>
      <c r="AI20" s="128"/>
      <c r="AJ20" s="128"/>
      <c r="AK20" s="128"/>
      <c r="AL20" s="128"/>
      <c r="AM20" s="129"/>
      <c r="AN20" s="212"/>
      <c r="AO20" s="213"/>
      <c r="AP20" s="213"/>
      <c r="AQ20" s="213"/>
      <c r="AR20" s="213"/>
      <c r="AS20" s="213"/>
      <c r="AT20" s="214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09" t="s">
        <v>122</v>
      </c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1"/>
      <c r="U21" s="127">
        <v>1</v>
      </c>
      <c r="V21" s="128"/>
      <c r="W21" s="128"/>
      <c r="X21" s="128"/>
      <c r="Y21" s="146" t="s">
        <v>80</v>
      </c>
      <c r="Z21" s="146"/>
      <c r="AA21" s="147"/>
      <c r="AB21" s="127"/>
      <c r="AC21" s="128"/>
      <c r="AD21" s="128"/>
      <c r="AE21" s="128"/>
      <c r="AF21" s="129"/>
      <c r="AG21" s="127">
        <f t="shared" si="0"/>
        <v>0</v>
      </c>
      <c r="AH21" s="128"/>
      <c r="AI21" s="128"/>
      <c r="AJ21" s="128"/>
      <c r="AK21" s="128"/>
      <c r="AL21" s="128"/>
      <c r="AM21" s="129"/>
      <c r="AN21" s="212"/>
      <c r="AO21" s="213"/>
      <c r="AP21" s="213"/>
      <c r="AQ21" s="213"/>
      <c r="AR21" s="213"/>
      <c r="AS21" s="213"/>
      <c r="AT21" s="214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09" t="s">
        <v>123</v>
      </c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1"/>
      <c r="U22" s="127">
        <v>1</v>
      </c>
      <c r="V22" s="128"/>
      <c r="W22" s="128"/>
      <c r="X22" s="128"/>
      <c r="Y22" s="146" t="s">
        <v>80</v>
      </c>
      <c r="Z22" s="146"/>
      <c r="AA22" s="147"/>
      <c r="AB22" s="127"/>
      <c r="AC22" s="128"/>
      <c r="AD22" s="128"/>
      <c r="AE22" s="128"/>
      <c r="AF22" s="129"/>
      <c r="AG22" s="127">
        <f t="shared" si="0"/>
        <v>0</v>
      </c>
      <c r="AH22" s="128"/>
      <c r="AI22" s="128"/>
      <c r="AJ22" s="128"/>
      <c r="AK22" s="128"/>
      <c r="AL22" s="128"/>
      <c r="AM22" s="129"/>
      <c r="AN22" s="212"/>
      <c r="AO22" s="213"/>
      <c r="AP22" s="213"/>
      <c r="AQ22" s="213"/>
      <c r="AR22" s="213"/>
      <c r="AS22" s="213"/>
      <c r="AT22" s="214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09" t="s">
        <v>124</v>
      </c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1"/>
      <c r="U23" s="127">
        <v>1</v>
      </c>
      <c r="V23" s="128"/>
      <c r="W23" s="128"/>
      <c r="X23" s="128"/>
      <c r="Y23" s="146" t="s">
        <v>80</v>
      </c>
      <c r="Z23" s="146"/>
      <c r="AA23" s="147"/>
      <c r="AB23" s="127"/>
      <c r="AC23" s="128"/>
      <c r="AD23" s="128"/>
      <c r="AE23" s="128"/>
      <c r="AF23" s="129"/>
      <c r="AG23" s="127">
        <f t="shared" si="0"/>
        <v>0</v>
      </c>
      <c r="AH23" s="128"/>
      <c r="AI23" s="128"/>
      <c r="AJ23" s="128"/>
      <c r="AK23" s="128"/>
      <c r="AL23" s="128"/>
      <c r="AM23" s="129"/>
      <c r="AN23" s="212"/>
      <c r="AO23" s="213"/>
      <c r="AP23" s="213"/>
      <c r="AQ23" s="213"/>
      <c r="AR23" s="213"/>
      <c r="AS23" s="213"/>
      <c r="AT23" s="214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09" t="s">
        <v>130</v>
      </c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1"/>
      <c r="U24" s="127">
        <v>2</v>
      </c>
      <c r="V24" s="128"/>
      <c r="W24" s="128"/>
      <c r="X24" s="128"/>
      <c r="Y24" s="146" t="s">
        <v>80</v>
      </c>
      <c r="Z24" s="146"/>
      <c r="AA24" s="147"/>
      <c r="AB24" s="127"/>
      <c r="AC24" s="128"/>
      <c r="AD24" s="128"/>
      <c r="AE24" s="128"/>
      <c r="AF24" s="129"/>
      <c r="AG24" s="127">
        <f t="shared" si="0"/>
        <v>0</v>
      </c>
      <c r="AH24" s="128"/>
      <c r="AI24" s="128"/>
      <c r="AJ24" s="128"/>
      <c r="AK24" s="128"/>
      <c r="AL24" s="128"/>
      <c r="AM24" s="129"/>
      <c r="AN24" s="212"/>
      <c r="AO24" s="213"/>
      <c r="AP24" s="213"/>
      <c r="AQ24" s="213"/>
      <c r="AR24" s="213"/>
      <c r="AS24" s="213"/>
      <c r="AT24" s="214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09" t="s">
        <v>131</v>
      </c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1"/>
      <c r="U25" s="127">
        <v>1</v>
      </c>
      <c r="V25" s="128"/>
      <c r="W25" s="128"/>
      <c r="X25" s="128"/>
      <c r="Y25" s="146" t="s">
        <v>80</v>
      </c>
      <c r="Z25" s="146"/>
      <c r="AA25" s="147"/>
      <c r="AB25" s="127"/>
      <c r="AC25" s="128"/>
      <c r="AD25" s="128"/>
      <c r="AE25" s="128"/>
      <c r="AF25" s="129"/>
      <c r="AG25" s="127">
        <f t="shared" si="0"/>
        <v>0</v>
      </c>
      <c r="AH25" s="128"/>
      <c r="AI25" s="128"/>
      <c r="AJ25" s="128"/>
      <c r="AK25" s="128"/>
      <c r="AL25" s="128"/>
      <c r="AM25" s="129"/>
      <c r="AN25" s="212"/>
      <c r="AO25" s="213"/>
      <c r="AP25" s="213"/>
      <c r="AQ25" s="213"/>
      <c r="AR25" s="213"/>
      <c r="AS25" s="213"/>
      <c r="AT25" s="214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09" t="s">
        <v>117</v>
      </c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1"/>
      <c r="U26" s="127">
        <v>5</v>
      </c>
      <c r="V26" s="128"/>
      <c r="W26" s="128"/>
      <c r="X26" s="128"/>
      <c r="Y26" s="146" t="s">
        <v>80</v>
      </c>
      <c r="Z26" s="146"/>
      <c r="AA26" s="147"/>
      <c r="AB26" s="127"/>
      <c r="AC26" s="128"/>
      <c r="AD26" s="128"/>
      <c r="AE26" s="128"/>
      <c r="AF26" s="129"/>
      <c r="AG26" s="127">
        <f t="shared" si="0"/>
        <v>0</v>
      </c>
      <c r="AH26" s="128"/>
      <c r="AI26" s="128"/>
      <c r="AJ26" s="128"/>
      <c r="AK26" s="128"/>
      <c r="AL26" s="128"/>
      <c r="AM26" s="129"/>
      <c r="AN26" s="212"/>
      <c r="AO26" s="213"/>
      <c r="AP26" s="213"/>
      <c r="AQ26" s="213"/>
      <c r="AR26" s="213"/>
      <c r="AS26" s="213"/>
      <c r="AT26" s="214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09" t="s">
        <v>125</v>
      </c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1"/>
      <c r="U27" s="127">
        <v>1</v>
      </c>
      <c r="V27" s="128"/>
      <c r="W27" s="128"/>
      <c r="X27" s="128"/>
      <c r="Y27" s="146" t="s">
        <v>80</v>
      </c>
      <c r="Z27" s="146"/>
      <c r="AA27" s="147"/>
      <c r="AB27" s="127"/>
      <c r="AC27" s="128"/>
      <c r="AD27" s="128"/>
      <c r="AE27" s="128"/>
      <c r="AF27" s="129"/>
      <c r="AG27" s="127">
        <f t="shared" si="0"/>
        <v>0</v>
      </c>
      <c r="AH27" s="128"/>
      <c r="AI27" s="128"/>
      <c r="AJ27" s="128"/>
      <c r="AK27" s="128"/>
      <c r="AL27" s="128"/>
      <c r="AM27" s="129"/>
      <c r="AN27" s="212"/>
      <c r="AO27" s="213"/>
      <c r="AP27" s="213"/>
      <c r="AQ27" s="213"/>
      <c r="AR27" s="213"/>
      <c r="AS27" s="213"/>
      <c r="AT27" s="214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09" t="s">
        <v>126</v>
      </c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1"/>
      <c r="U28" s="127">
        <v>1</v>
      </c>
      <c r="V28" s="128"/>
      <c r="W28" s="128"/>
      <c r="X28" s="128"/>
      <c r="Y28" s="146" t="s">
        <v>80</v>
      </c>
      <c r="Z28" s="146"/>
      <c r="AA28" s="147"/>
      <c r="AB28" s="127"/>
      <c r="AC28" s="128"/>
      <c r="AD28" s="128"/>
      <c r="AE28" s="128"/>
      <c r="AF28" s="129"/>
      <c r="AG28" s="127">
        <f t="shared" si="0"/>
        <v>0</v>
      </c>
      <c r="AH28" s="128"/>
      <c r="AI28" s="128"/>
      <c r="AJ28" s="128"/>
      <c r="AK28" s="128"/>
      <c r="AL28" s="128"/>
      <c r="AM28" s="129"/>
      <c r="AN28" s="212"/>
      <c r="AO28" s="213"/>
      <c r="AP28" s="213"/>
      <c r="AQ28" s="213"/>
      <c r="AR28" s="213"/>
      <c r="AS28" s="213"/>
      <c r="AT28" s="214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09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1"/>
      <c r="U29" s="127"/>
      <c r="V29" s="128"/>
      <c r="W29" s="128"/>
      <c r="X29" s="128"/>
      <c r="Y29" s="146"/>
      <c r="Z29" s="146"/>
      <c r="AA29" s="147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6" t="s">
        <v>43</v>
      </c>
      <c r="V30" s="157"/>
      <c r="W30" s="157"/>
      <c r="X30" s="157"/>
      <c r="Y30" s="157"/>
      <c r="Z30" s="157"/>
      <c r="AA30" s="158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2" t="s">
        <v>42</v>
      </c>
      <c r="CJ119" s="142"/>
      <c r="CK119" s="142"/>
      <c r="CL119" s="142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2" t="s">
        <v>73</v>
      </c>
      <c r="CJ120" s="142"/>
      <c r="CK120" s="142"/>
      <c r="CL120" s="142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xWindow="623" yWindow="1322" count="6">
    <dataValidation imeMode="hiragana" allowBlank="1" showInputMessage="1" showErrorMessage="1" prompt="品名を入力" sqref="C7:C29 D18:T29 D7:T7" xr:uid="{00000000-0002-0000-0400-000000000000}"/>
    <dataValidation imeMode="off" allowBlank="1" showInputMessage="1" showErrorMessage="1" prompt="数量を入力" sqref="U7:X29" xr:uid="{00000000-0002-0000-0400-000001000000}"/>
    <dataValidation imeMode="off" allowBlank="1" showInputMessage="1" showErrorMessage="1" prompt="単価を入力" sqref="AB7:AF29" xr:uid="{00000000-0002-0000-0400-000002000000}"/>
    <dataValidation imeMode="hiragana" allowBlank="1" showInputMessage="1" showErrorMessage="1" prompt="備考があれば入力" sqref="AN7:AT29" xr:uid="{00000000-0002-0000-0400-000003000000}"/>
    <dataValidation type="list" imeMode="hiragana" allowBlank="1" showInputMessage="1" showErrorMessage="1" prompt="ボタンを押し単位を入力" sqref="Y29:AA29" xr:uid="{00000000-0002-0000-0400-000004000000}">
      <formula1>$CS$104:$CS$116</formula1>
    </dataValidation>
    <dataValidation type="list" imeMode="hiragana" allowBlank="1" showInputMessage="1" showErrorMessage="1" prompt="ボタンを押し単位を入力" sqref="Y7:AA28" xr:uid="{3E07CC42-A95D-442E-ADC2-ECA72519FF50}">
      <formula1>$CS$103:$CS$115</formula1>
    </dataValidation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5" t="s">
        <v>92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AL3" s="5" t="s">
        <v>89</v>
      </c>
      <c r="AM3" s="5"/>
      <c r="AN3" s="208"/>
      <c r="AO3" s="208"/>
      <c r="AP3" s="208"/>
      <c r="AQ3" s="208"/>
      <c r="AR3" s="208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0" t="s">
        <v>88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4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3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4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09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1"/>
      <c r="U7" s="127"/>
      <c r="V7" s="128"/>
      <c r="W7" s="128"/>
      <c r="X7" s="128"/>
      <c r="Y7" s="146"/>
      <c r="Z7" s="146"/>
      <c r="AA7" s="147"/>
      <c r="AB7" s="127">
        <f>SUM(Y19)</f>
        <v>0</v>
      </c>
      <c r="AC7" s="128"/>
      <c r="AD7" s="128"/>
      <c r="AE7" s="128"/>
      <c r="AF7" s="129"/>
      <c r="AG7" s="127">
        <f>IF(U7="",1*AB7,U7*AB7)</f>
        <v>0</v>
      </c>
      <c r="AH7" s="128"/>
      <c r="AI7" s="128"/>
      <c r="AJ7" s="128"/>
      <c r="AK7" s="128"/>
      <c r="AL7" s="128"/>
      <c r="AM7" s="129"/>
      <c r="AN7" s="212"/>
      <c r="AO7" s="213"/>
      <c r="AP7" s="213"/>
      <c r="AQ7" s="213"/>
      <c r="AR7" s="213"/>
      <c r="AS7" s="213"/>
      <c r="AT7" s="214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09"/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1"/>
      <c r="U8" s="127"/>
      <c r="V8" s="128"/>
      <c r="W8" s="128"/>
      <c r="X8" s="128"/>
      <c r="Y8" s="146"/>
      <c r="Z8" s="146"/>
      <c r="AA8" s="147"/>
      <c r="AB8" s="127"/>
      <c r="AC8" s="128"/>
      <c r="AD8" s="128"/>
      <c r="AE8" s="128"/>
      <c r="AF8" s="129"/>
      <c r="AG8" s="127">
        <f t="shared" ref="AG8:AG29" si="0">IF(U8="",1*AB8,U8*AB8)</f>
        <v>0</v>
      </c>
      <c r="AH8" s="128"/>
      <c r="AI8" s="128"/>
      <c r="AJ8" s="128"/>
      <c r="AK8" s="128"/>
      <c r="AL8" s="128"/>
      <c r="AM8" s="129"/>
      <c r="AN8" s="212"/>
      <c r="AO8" s="213"/>
      <c r="AP8" s="213"/>
      <c r="AQ8" s="213"/>
      <c r="AR8" s="213"/>
      <c r="AS8" s="213"/>
      <c r="AT8" s="214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09"/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1"/>
      <c r="U9" s="127"/>
      <c r="V9" s="128"/>
      <c r="W9" s="128"/>
      <c r="X9" s="128"/>
      <c r="Y9" s="146"/>
      <c r="Z9" s="146"/>
      <c r="AA9" s="147"/>
      <c r="AB9" s="127"/>
      <c r="AC9" s="128"/>
      <c r="AD9" s="128"/>
      <c r="AE9" s="128"/>
      <c r="AF9" s="129"/>
      <c r="AG9" s="127">
        <f t="shared" si="0"/>
        <v>0</v>
      </c>
      <c r="AH9" s="128"/>
      <c r="AI9" s="128"/>
      <c r="AJ9" s="128"/>
      <c r="AK9" s="128"/>
      <c r="AL9" s="128"/>
      <c r="AM9" s="129"/>
      <c r="AN9" s="212"/>
      <c r="AO9" s="213"/>
      <c r="AP9" s="213"/>
      <c r="AQ9" s="213"/>
      <c r="AR9" s="213"/>
      <c r="AS9" s="213"/>
      <c r="AT9" s="214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09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1"/>
      <c r="U10" s="127"/>
      <c r="V10" s="128"/>
      <c r="W10" s="128"/>
      <c r="X10" s="128"/>
      <c r="Y10" s="146"/>
      <c r="Z10" s="146"/>
      <c r="AA10" s="147"/>
      <c r="AB10" s="127"/>
      <c r="AC10" s="128"/>
      <c r="AD10" s="128"/>
      <c r="AE10" s="128"/>
      <c r="AF10" s="129"/>
      <c r="AG10" s="127">
        <f t="shared" si="0"/>
        <v>0</v>
      </c>
      <c r="AH10" s="128"/>
      <c r="AI10" s="128"/>
      <c r="AJ10" s="128"/>
      <c r="AK10" s="128"/>
      <c r="AL10" s="128"/>
      <c r="AM10" s="129"/>
      <c r="AN10" s="212"/>
      <c r="AO10" s="213"/>
      <c r="AP10" s="213"/>
      <c r="AQ10" s="213"/>
      <c r="AR10" s="213"/>
      <c r="AS10" s="213"/>
      <c r="AT10" s="214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09"/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1"/>
      <c r="U11" s="127"/>
      <c r="V11" s="128"/>
      <c r="W11" s="128"/>
      <c r="X11" s="128"/>
      <c r="Y11" s="146"/>
      <c r="Z11" s="146"/>
      <c r="AA11" s="147"/>
      <c r="AB11" s="127"/>
      <c r="AC11" s="128"/>
      <c r="AD11" s="128"/>
      <c r="AE11" s="128"/>
      <c r="AF11" s="129"/>
      <c r="AG11" s="127">
        <f t="shared" si="0"/>
        <v>0</v>
      </c>
      <c r="AH11" s="128"/>
      <c r="AI11" s="128"/>
      <c r="AJ11" s="128"/>
      <c r="AK11" s="128"/>
      <c r="AL11" s="128"/>
      <c r="AM11" s="129"/>
      <c r="AN11" s="212"/>
      <c r="AO11" s="213"/>
      <c r="AP11" s="213"/>
      <c r="AQ11" s="213"/>
      <c r="AR11" s="213"/>
      <c r="AS11" s="213"/>
      <c r="AT11" s="214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09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1"/>
      <c r="U12" s="127"/>
      <c r="V12" s="128"/>
      <c r="W12" s="128"/>
      <c r="X12" s="128"/>
      <c r="Y12" s="146"/>
      <c r="Z12" s="146"/>
      <c r="AA12" s="147"/>
      <c r="AB12" s="127"/>
      <c r="AC12" s="128"/>
      <c r="AD12" s="128"/>
      <c r="AE12" s="128"/>
      <c r="AF12" s="129"/>
      <c r="AG12" s="127">
        <f t="shared" si="0"/>
        <v>0</v>
      </c>
      <c r="AH12" s="128"/>
      <c r="AI12" s="128"/>
      <c r="AJ12" s="128"/>
      <c r="AK12" s="128"/>
      <c r="AL12" s="128"/>
      <c r="AM12" s="129"/>
      <c r="AN12" s="212"/>
      <c r="AO12" s="213"/>
      <c r="AP12" s="213"/>
      <c r="AQ12" s="213"/>
      <c r="AR12" s="213"/>
      <c r="AS12" s="213"/>
      <c r="AT12" s="214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09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1"/>
      <c r="U13" s="127"/>
      <c r="V13" s="128"/>
      <c r="W13" s="128"/>
      <c r="X13" s="128"/>
      <c r="Y13" s="146"/>
      <c r="Z13" s="146"/>
      <c r="AA13" s="147"/>
      <c r="AB13" s="127"/>
      <c r="AC13" s="128"/>
      <c r="AD13" s="128"/>
      <c r="AE13" s="128"/>
      <c r="AF13" s="129"/>
      <c r="AG13" s="127">
        <f t="shared" si="0"/>
        <v>0</v>
      </c>
      <c r="AH13" s="128"/>
      <c r="AI13" s="128"/>
      <c r="AJ13" s="128"/>
      <c r="AK13" s="128"/>
      <c r="AL13" s="128"/>
      <c r="AM13" s="129"/>
      <c r="AN13" s="228"/>
      <c r="AO13" s="229"/>
      <c r="AP13" s="229"/>
      <c r="AQ13" s="229"/>
      <c r="AR13" s="229"/>
      <c r="AS13" s="229"/>
      <c r="AT13" s="230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09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1"/>
      <c r="U14" s="127"/>
      <c r="V14" s="128"/>
      <c r="W14" s="128"/>
      <c r="X14" s="128"/>
      <c r="Y14" s="146"/>
      <c r="Z14" s="146"/>
      <c r="AA14" s="147"/>
      <c r="AB14" s="127"/>
      <c r="AC14" s="128"/>
      <c r="AD14" s="128"/>
      <c r="AE14" s="128"/>
      <c r="AF14" s="129"/>
      <c r="AG14" s="127">
        <f t="shared" si="0"/>
        <v>0</v>
      </c>
      <c r="AH14" s="128"/>
      <c r="AI14" s="128"/>
      <c r="AJ14" s="128"/>
      <c r="AK14" s="128"/>
      <c r="AL14" s="128"/>
      <c r="AM14" s="129"/>
      <c r="AN14" s="228"/>
      <c r="AO14" s="229"/>
      <c r="AP14" s="229"/>
      <c r="AQ14" s="229"/>
      <c r="AR14" s="229"/>
      <c r="AS14" s="229"/>
      <c r="AT14" s="230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09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1"/>
      <c r="U15" s="127"/>
      <c r="V15" s="128"/>
      <c r="W15" s="128"/>
      <c r="X15" s="128"/>
      <c r="Y15" s="146"/>
      <c r="Z15" s="146"/>
      <c r="AA15" s="147"/>
      <c r="AB15" s="127"/>
      <c r="AC15" s="128"/>
      <c r="AD15" s="128"/>
      <c r="AE15" s="128"/>
      <c r="AF15" s="129"/>
      <c r="AG15" s="127">
        <f t="shared" si="0"/>
        <v>0</v>
      </c>
      <c r="AH15" s="128"/>
      <c r="AI15" s="128"/>
      <c r="AJ15" s="128"/>
      <c r="AK15" s="128"/>
      <c r="AL15" s="128"/>
      <c r="AM15" s="129"/>
      <c r="AN15" s="228"/>
      <c r="AO15" s="229"/>
      <c r="AP15" s="229"/>
      <c r="AQ15" s="229"/>
      <c r="AR15" s="229"/>
      <c r="AS15" s="229"/>
      <c r="AT15" s="230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09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1"/>
      <c r="U16" s="127"/>
      <c r="V16" s="128"/>
      <c r="W16" s="128"/>
      <c r="X16" s="128"/>
      <c r="Y16" s="146"/>
      <c r="Z16" s="146"/>
      <c r="AA16" s="147"/>
      <c r="AB16" s="127"/>
      <c r="AC16" s="128"/>
      <c r="AD16" s="128"/>
      <c r="AE16" s="128"/>
      <c r="AF16" s="129"/>
      <c r="AG16" s="127">
        <f t="shared" si="0"/>
        <v>0</v>
      </c>
      <c r="AH16" s="128"/>
      <c r="AI16" s="128"/>
      <c r="AJ16" s="128"/>
      <c r="AK16" s="128"/>
      <c r="AL16" s="128"/>
      <c r="AM16" s="129"/>
      <c r="AN16" s="228"/>
      <c r="AO16" s="229"/>
      <c r="AP16" s="229"/>
      <c r="AQ16" s="229"/>
      <c r="AR16" s="229"/>
      <c r="AS16" s="229"/>
      <c r="AT16" s="230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09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1"/>
      <c r="U17" s="127"/>
      <c r="V17" s="128"/>
      <c r="W17" s="128"/>
      <c r="X17" s="128"/>
      <c r="Y17" s="146"/>
      <c r="Z17" s="146"/>
      <c r="AA17" s="147"/>
      <c r="AB17" s="127"/>
      <c r="AC17" s="128"/>
      <c r="AD17" s="128"/>
      <c r="AE17" s="128"/>
      <c r="AF17" s="129"/>
      <c r="AG17" s="127">
        <f t="shared" si="0"/>
        <v>0</v>
      </c>
      <c r="AH17" s="128"/>
      <c r="AI17" s="128"/>
      <c r="AJ17" s="128"/>
      <c r="AK17" s="128"/>
      <c r="AL17" s="128"/>
      <c r="AM17" s="129"/>
      <c r="AN17" s="228"/>
      <c r="AO17" s="229"/>
      <c r="AP17" s="229"/>
      <c r="AQ17" s="229"/>
      <c r="AR17" s="229"/>
      <c r="AS17" s="229"/>
      <c r="AT17" s="230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09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1"/>
      <c r="U18" s="127"/>
      <c r="V18" s="128"/>
      <c r="W18" s="128"/>
      <c r="X18" s="128"/>
      <c r="Y18" s="146"/>
      <c r="Z18" s="146"/>
      <c r="AA18" s="147"/>
      <c r="AB18" s="127"/>
      <c r="AC18" s="128"/>
      <c r="AD18" s="128"/>
      <c r="AE18" s="128"/>
      <c r="AF18" s="129"/>
      <c r="AG18" s="127">
        <f t="shared" si="0"/>
        <v>0</v>
      </c>
      <c r="AH18" s="128"/>
      <c r="AI18" s="128"/>
      <c r="AJ18" s="128"/>
      <c r="AK18" s="128"/>
      <c r="AL18" s="128"/>
      <c r="AM18" s="129"/>
      <c r="AN18" s="228"/>
      <c r="AO18" s="229"/>
      <c r="AP18" s="229"/>
      <c r="AQ18" s="229"/>
      <c r="AR18" s="229"/>
      <c r="AS18" s="229"/>
      <c r="AT18" s="230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09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1"/>
      <c r="U19" s="127"/>
      <c r="V19" s="128"/>
      <c r="W19" s="128"/>
      <c r="X19" s="128"/>
      <c r="Y19" s="146"/>
      <c r="Z19" s="146"/>
      <c r="AA19" s="147"/>
      <c r="AB19" s="127"/>
      <c r="AC19" s="128"/>
      <c r="AD19" s="128"/>
      <c r="AE19" s="128"/>
      <c r="AF19" s="129"/>
      <c r="AG19" s="127">
        <f t="shared" si="0"/>
        <v>0</v>
      </c>
      <c r="AH19" s="128"/>
      <c r="AI19" s="128"/>
      <c r="AJ19" s="128"/>
      <c r="AK19" s="128"/>
      <c r="AL19" s="128"/>
      <c r="AM19" s="129"/>
      <c r="AN19" s="228"/>
      <c r="AO19" s="229"/>
      <c r="AP19" s="229"/>
      <c r="AQ19" s="229"/>
      <c r="AR19" s="229"/>
      <c r="AS19" s="229"/>
      <c r="AT19" s="230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09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1"/>
      <c r="U20" s="127"/>
      <c r="V20" s="128"/>
      <c r="W20" s="128"/>
      <c r="X20" s="128"/>
      <c r="Y20" s="146"/>
      <c r="Z20" s="146"/>
      <c r="AA20" s="147"/>
      <c r="AB20" s="127"/>
      <c r="AC20" s="128"/>
      <c r="AD20" s="128"/>
      <c r="AE20" s="128"/>
      <c r="AF20" s="129"/>
      <c r="AG20" s="127">
        <f t="shared" si="0"/>
        <v>0</v>
      </c>
      <c r="AH20" s="128"/>
      <c r="AI20" s="128"/>
      <c r="AJ20" s="128"/>
      <c r="AK20" s="128"/>
      <c r="AL20" s="128"/>
      <c r="AM20" s="129"/>
      <c r="AN20" s="228"/>
      <c r="AO20" s="229"/>
      <c r="AP20" s="229"/>
      <c r="AQ20" s="229"/>
      <c r="AR20" s="229"/>
      <c r="AS20" s="229"/>
      <c r="AT20" s="230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09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1"/>
      <c r="U21" s="127"/>
      <c r="V21" s="128"/>
      <c r="W21" s="128"/>
      <c r="X21" s="128"/>
      <c r="Y21" s="146"/>
      <c r="Z21" s="146"/>
      <c r="AA21" s="147"/>
      <c r="AB21" s="127"/>
      <c r="AC21" s="128"/>
      <c r="AD21" s="128"/>
      <c r="AE21" s="128"/>
      <c r="AF21" s="129"/>
      <c r="AG21" s="127">
        <f t="shared" si="0"/>
        <v>0</v>
      </c>
      <c r="AH21" s="128"/>
      <c r="AI21" s="128"/>
      <c r="AJ21" s="128"/>
      <c r="AK21" s="128"/>
      <c r="AL21" s="128"/>
      <c r="AM21" s="129"/>
      <c r="AN21" s="228"/>
      <c r="AO21" s="229"/>
      <c r="AP21" s="229"/>
      <c r="AQ21" s="229"/>
      <c r="AR21" s="229"/>
      <c r="AS21" s="229"/>
      <c r="AT21" s="230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09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1"/>
      <c r="U22" s="127"/>
      <c r="V22" s="128"/>
      <c r="W22" s="128"/>
      <c r="X22" s="128"/>
      <c r="Y22" s="146"/>
      <c r="Z22" s="146"/>
      <c r="AA22" s="147"/>
      <c r="AB22" s="127"/>
      <c r="AC22" s="128"/>
      <c r="AD22" s="128"/>
      <c r="AE22" s="128"/>
      <c r="AF22" s="129"/>
      <c r="AG22" s="127">
        <f t="shared" si="0"/>
        <v>0</v>
      </c>
      <c r="AH22" s="128"/>
      <c r="AI22" s="128"/>
      <c r="AJ22" s="128"/>
      <c r="AK22" s="128"/>
      <c r="AL22" s="128"/>
      <c r="AM22" s="129"/>
      <c r="AN22" s="228"/>
      <c r="AO22" s="229"/>
      <c r="AP22" s="229"/>
      <c r="AQ22" s="229"/>
      <c r="AR22" s="229"/>
      <c r="AS22" s="229"/>
      <c r="AT22" s="23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09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1"/>
      <c r="U23" s="127"/>
      <c r="V23" s="128"/>
      <c r="W23" s="128"/>
      <c r="X23" s="128"/>
      <c r="Y23" s="146"/>
      <c r="Z23" s="146"/>
      <c r="AA23" s="147"/>
      <c r="AB23" s="127"/>
      <c r="AC23" s="128"/>
      <c r="AD23" s="128"/>
      <c r="AE23" s="128"/>
      <c r="AF23" s="129"/>
      <c r="AG23" s="127">
        <f t="shared" si="0"/>
        <v>0</v>
      </c>
      <c r="AH23" s="128"/>
      <c r="AI23" s="128"/>
      <c r="AJ23" s="128"/>
      <c r="AK23" s="128"/>
      <c r="AL23" s="128"/>
      <c r="AM23" s="129"/>
      <c r="AN23" s="228"/>
      <c r="AO23" s="229"/>
      <c r="AP23" s="229"/>
      <c r="AQ23" s="229"/>
      <c r="AR23" s="229"/>
      <c r="AS23" s="229"/>
      <c r="AT23" s="23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09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1"/>
      <c r="U24" s="127"/>
      <c r="V24" s="128"/>
      <c r="W24" s="128"/>
      <c r="X24" s="128"/>
      <c r="Y24" s="146"/>
      <c r="Z24" s="146"/>
      <c r="AA24" s="147"/>
      <c r="AB24" s="127"/>
      <c r="AC24" s="128"/>
      <c r="AD24" s="128"/>
      <c r="AE24" s="128"/>
      <c r="AF24" s="129"/>
      <c r="AG24" s="127">
        <f t="shared" si="0"/>
        <v>0</v>
      </c>
      <c r="AH24" s="128"/>
      <c r="AI24" s="128"/>
      <c r="AJ24" s="128"/>
      <c r="AK24" s="128"/>
      <c r="AL24" s="128"/>
      <c r="AM24" s="129"/>
      <c r="AN24" s="228"/>
      <c r="AO24" s="229"/>
      <c r="AP24" s="229"/>
      <c r="AQ24" s="229"/>
      <c r="AR24" s="229"/>
      <c r="AS24" s="229"/>
      <c r="AT24" s="23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09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1"/>
      <c r="U25" s="127"/>
      <c r="V25" s="128"/>
      <c r="W25" s="128"/>
      <c r="X25" s="128"/>
      <c r="Y25" s="146"/>
      <c r="Z25" s="146"/>
      <c r="AA25" s="147"/>
      <c r="AB25" s="127"/>
      <c r="AC25" s="128"/>
      <c r="AD25" s="128"/>
      <c r="AE25" s="128"/>
      <c r="AF25" s="129"/>
      <c r="AG25" s="127">
        <f t="shared" si="0"/>
        <v>0</v>
      </c>
      <c r="AH25" s="128"/>
      <c r="AI25" s="128"/>
      <c r="AJ25" s="128"/>
      <c r="AK25" s="128"/>
      <c r="AL25" s="128"/>
      <c r="AM25" s="129"/>
      <c r="AN25" s="228"/>
      <c r="AO25" s="229"/>
      <c r="AP25" s="229"/>
      <c r="AQ25" s="229"/>
      <c r="AR25" s="229"/>
      <c r="AS25" s="229"/>
      <c r="AT25" s="23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09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1"/>
      <c r="U26" s="127"/>
      <c r="V26" s="128"/>
      <c r="W26" s="128"/>
      <c r="X26" s="128"/>
      <c r="Y26" s="146"/>
      <c r="Z26" s="146"/>
      <c r="AA26" s="147"/>
      <c r="AB26" s="127"/>
      <c r="AC26" s="128"/>
      <c r="AD26" s="128"/>
      <c r="AE26" s="128"/>
      <c r="AF26" s="129"/>
      <c r="AG26" s="127">
        <f t="shared" si="0"/>
        <v>0</v>
      </c>
      <c r="AH26" s="128"/>
      <c r="AI26" s="128"/>
      <c r="AJ26" s="128"/>
      <c r="AK26" s="128"/>
      <c r="AL26" s="128"/>
      <c r="AM26" s="129"/>
      <c r="AN26" s="228"/>
      <c r="AO26" s="229"/>
      <c r="AP26" s="229"/>
      <c r="AQ26" s="229"/>
      <c r="AR26" s="229"/>
      <c r="AS26" s="229"/>
      <c r="AT26" s="23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09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1"/>
      <c r="U27" s="127"/>
      <c r="V27" s="128"/>
      <c r="W27" s="128"/>
      <c r="X27" s="128"/>
      <c r="Y27" s="146"/>
      <c r="Z27" s="146"/>
      <c r="AA27" s="147"/>
      <c r="AB27" s="127"/>
      <c r="AC27" s="128"/>
      <c r="AD27" s="128"/>
      <c r="AE27" s="128"/>
      <c r="AF27" s="129"/>
      <c r="AG27" s="127">
        <f t="shared" si="0"/>
        <v>0</v>
      </c>
      <c r="AH27" s="128"/>
      <c r="AI27" s="128"/>
      <c r="AJ27" s="128"/>
      <c r="AK27" s="128"/>
      <c r="AL27" s="128"/>
      <c r="AM27" s="129"/>
      <c r="AN27" s="228"/>
      <c r="AO27" s="229"/>
      <c r="AP27" s="229"/>
      <c r="AQ27" s="229"/>
      <c r="AR27" s="229"/>
      <c r="AS27" s="229"/>
      <c r="AT27" s="23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09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1"/>
      <c r="U28" s="127"/>
      <c r="V28" s="128"/>
      <c r="W28" s="128"/>
      <c r="X28" s="128"/>
      <c r="Y28" s="146"/>
      <c r="Z28" s="146"/>
      <c r="AA28" s="147"/>
      <c r="AB28" s="127"/>
      <c r="AC28" s="128"/>
      <c r="AD28" s="128"/>
      <c r="AE28" s="128"/>
      <c r="AF28" s="129"/>
      <c r="AG28" s="127">
        <f t="shared" si="0"/>
        <v>0</v>
      </c>
      <c r="AH28" s="128"/>
      <c r="AI28" s="128"/>
      <c r="AJ28" s="128"/>
      <c r="AK28" s="128"/>
      <c r="AL28" s="128"/>
      <c r="AM28" s="129"/>
      <c r="AN28" s="228"/>
      <c r="AO28" s="229"/>
      <c r="AP28" s="229"/>
      <c r="AQ28" s="229"/>
      <c r="AR28" s="229"/>
      <c r="AS28" s="229"/>
      <c r="AT28" s="23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09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1"/>
      <c r="U29" s="127"/>
      <c r="V29" s="128"/>
      <c r="W29" s="128"/>
      <c r="X29" s="128"/>
      <c r="Y29" s="146"/>
      <c r="Z29" s="146"/>
      <c r="AA29" s="147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6" t="s">
        <v>43</v>
      </c>
      <c r="V30" s="157"/>
      <c r="W30" s="157"/>
      <c r="X30" s="157"/>
      <c r="Y30" s="157"/>
      <c r="Z30" s="157"/>
      <c r="AA30" s="158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2" t="s">
        <v>42</v>
      </c>
      <c r="CJ119" s="142"/>
      <c r="CK119" s="142"/>
      <c r="CL119" s="142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2" t="s">
        <v>73</v>
      </c>
      <c r="CJ120" s="142"/>
      <c r="CK120" s="142"/>
      <c r="CL120" s="142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見積書A4!P177</f>
        <v>0</v>
      </c>
    </row>
  </sheetData>
  <mergeCells count="152">
    <mergeCell ref="CI120:CL120"/>
    <mergeCell ref="CM120:DK120"/>
    <mergeCell ref="AN29:AT29"/>
    <mergeCell ref="CI119:CL119"/>
    <mergeCell ref="CM119:DK119"/>
    <mergeCell ref="U30:AA30"/>
    <mergeCell ref="AB30:AM30"/>
    <mergeCell ref="AN30:AT30"/>
    <mergeCell ref="AG29:AM29"/>
    <mergeCell ref="AN28:AT28"/>
    <mergeCell ref="AG28:AM28"/>
    <mergeCell ref="AG27:AM27"/>
    <mergeCell ref="C29:T29"/>
    <mergeCell ref="U29:X29"/>
    <mergeCell ref="Y29:AA29"/>
    <mergeCell ref="AB29:AF29"/>
    <mergeCell ref="C28:T28"/>
    <mergeCell ref="U28:X28"/>
    <mergeCell ref="Y28:AA28"/>
    <mergeCell ref="Y27:AA27"/>
    <mergeCell ref="AB28:AF28"/>
    <mergeCell ref="AN24:AT24"/>
    <mergeCell ref="C27:T27"/>
    <mergeCell ref="AG25:AM25"/>
    <mergeCell ref="C26:T26"/>
    <mergeCell ref="U26:X26"/>
    <mergeCell ref="Y26:AA26"/>
    <mergeCell ref="AB26:AF26"/>
    <mergeCell ref="AB27:AF27"/>
    <mergeCell ref="U27:X27"/>
    <mergeCell ref="Y24:AA24"/>
    <mergeCell ref="AB24:AF24"/>
    <mergeCell ref="Y25:AA25"/>
    <mergeCell ref="AB25:AF25"/>
    <mergeCell ref="C24:T24"/>
    <mergeCell ref="U24:X24"/>
    <mergeCell ref="C25:T25"/>
    <mergeCell ref="U25:X25"/>
    <mergeCell ref="AG24:AM24"/>
    <mergeCell ref="AN25:AT25"/>
    <mergeCell ref="AN26:AT26"/>
    <mergeCell ref="AN27:AT27"/>
    <mergeCell ref="AG26:AM26"/>
    <mergeCell ref="C23:T23"/>
    <mergeCell ref="AG21:AM21"/>
    <mergeCell ref="AN22:AT22"/>
    <mergeCell ref="U23:X23"/>
    <mergeCell ref="Y23:AA23"/>
    <mergeCell ref="AG22:AM22"/>
    <mergeCell ref="AB23:AF23"/>
    <mergeCell ref="C21:T21"/>
    <mergeCell ref="U21:X21"/>
    <mergeCell ref="C22:T22"/>
    <mergeCell ref="AG23:AM23"/>
    <mergeCell ref="AN23:AT23"/>
    <mergeCell ref="U22:X22"/>
    <mergeCell ref="Y22:AA22"/>
    <mergeCell ref="AB22:AF22"/>
    <mergeCell ref="Y21:AA21"/>
    <mergeCell ref="AB21:AF21"/>
    <mergeCell ref="AN21:AT21"/>
    <mergeCell ref="AN17:AT17"/>
    <mergeCell ref="AN18:AT18"/>
    <mergeCell ref="AG18:AM18"/>
    <mergeCell ref="AG17:AM17"/>
    <mergeCell ref="C18:T18"/>
    <mergeCell ref="U18:X18"/>
    <mergeCell ref="AB17:AF17"/>
    <mergeCell ref="AG20:AM20"/>
    <mergeCell ref="AN20:AT20"/>
    <mergeCell ref="C20:T20"/>
    <mergeCell ref="U20:X20"/>
    <mergeCell ref="Y20:AA20"/>
    <mergeCell ref="AB20:AF20"/>
    <mergeCell ref="AN19:AT19"/>
    <mergeCell ref="Y18:AA18"/>
    <mergeCell ref="AB18:AF18"/>
    <mergeCell ref="U19:X19"/>
    <mergeCell ref="Y19:AA19"/>
    <mergeCell ref="AB19:AF19"/>
    <mergeCell ref="AG19:AM19"/>
    <mergeCell ref="C19:T19"/>
    <mergeCell ref="C17:T17"/>
    <mergeCell ref="U17:X17"/>
    <mergeCell ref="Y17:AA17"/>
    <mergeCell ref="C14:T14"/>
    <mergeCell ref="U14:X14"/>
    <mergeCell ref="Y14:AA14"/>
    <mergeCell ref="C16:T16"/>
    <mergeCell ref="U16:X16"/>
    <mergeCell ref="C13:T13"/>
    <mergeCell ref="U13:X13"/>
    <mergeCell ref="Y13:AA13"/>
    <mergeCell ref="AN13:AT13"/>
    <mergeCell ref="AN14:AT14"/>
    <mergeCell ref="AN16:AT16"/>
    <mergeCell ref="AG15:AM15"/>
    <mergeCell ref="AN15:AT15"/>
    <mergeCell ref="AG14:AM14"/>
    <mergeCell ref="AG16:AM16"/>
    <mergeCell ref="U15:X15"/>
    <mergeCell ref="Y15:AA15"/>
    <mergeCell ref="AB15:AF15"/>
    <mergeCell ref="AG13:AM13"/>
    <mergeCell ref="Y16:AA16"/>
    <mergeCell ref="AB13:AF13"/>
    <mergeCell ref="AB14:AF14"/>
    <mergeCell ref="AB16:AF16"/>
    <mergeCell ref="C15:T15"/>
    <mergeCell ref="AB11:AF11"/>
    <mergeCell ref="C8:T8"/>
    <mergeCell ref="U8:X8"/>
    <mergeCell ref="Y8:AA8"/>
    <mergeCell ref="C12:T12"/>
    <mergeCell ref="U12:X12"/>
    <mergeCell ref="AN12:AT12"/>
    <mergeCell ref="AN11:AT11"/>
    <mergeCell ref="AG10:AM10"/>
    <mergeCell ref="AG9:AM9"/>
    <mergeCell ref="AB9:AF9"/>
    <mergeCell ref="AN9:AT9"/>
    <mergeCell ref="AN10:AT10"/>
    <mergeCell ref="AG11:AM11"/>
    <mergeCell ref="AB10:AF10"/>
    <mergeCell ref="AB12:AF12"/>
    <mergeCell ref="AG12:AM12"/>
    <mergeCell ref="D3:W4"/>
    <mergeCell ref="C5:T6"/>
    <mergeCell ref="U5:AA6"/>
    <mergeCell ref="C7:T7"/>
    <mergeCell ref="U7:X7"/>
    <mergeCell ref="Y7:AA7"/>
    <mergeCell ref="Y12:AA12"/>
    <mergeCell ref="U9:X9"/>
    <mergeCell ref="Y9:AA9"/>
    <mergeCell ref="C9:T9"/>
    <mergeCell ref="C10:T10"/>
    <mergeCell ref="U10:X10"/>
    <mergeCell ref="Y10:AA10"/>
    <mergeCell ref="C11:T11"/>
    <mergeCell ref="U11:X11"/>
    <mergeCell ref="Y11:AA11"/>
    <mergeCell ref="AN7:AT7"/>
    <mergeCell ref="AN8:AT8"/>
    <mergeCell ref="AB8:AF8"/>
    <mergeCell ref="AN3:AR3"/>
    <mergeCell ref="AG5:AM6"/>
    <mergeCell ref="AN5:AT6"/>
    <mergeCell ref="AB7:AF7"/>
    <mergeCell ref="AB5:AF6"/>
    <mergeCell ref="AG7:AM7"/>
    <mergeCell ref="AG8:AM8"/>
  </mergeCells>
  <phoneticPr fontId="4"/>
  <dataValidations count="5">
    <dataValidation imeMode="hiragana" allowBlank="1" showInputMessage="1" showErrorMessage="1" prompt="品名を入力" sqref="D8:T9 C7:C29 D12:T29" xr:uid="{00000000-0002-0000-0200-000000000000}"/>
    <dataValidation imeMode="off" allowBlank="1" showInputMessage="1" showErrorMessage="1" prompt="数量を入力" sqref="U7:X29" xr:uid="{00000000-0002-0000-0200-000001000000}"/>
    <dataValidation imeMode="off" allowBlank="1" showInputMessage="1" showErrorMessage="1" prompt="単価を入力" sqref="AB7:AF29" xr:uid="{00000000-0002-0000-0200-000002000000}"/>
    <dataValidation imeMode="hiragana" allowBlank="1" showInputMessage="1" showErrorMessage="1" prompt="備考があれば入力" sqref="AN7:AT29" xr:uid="{00000000-0002-0000-0200-000003000000}"/>
    <dataValidation type="list" imeMode="hiragana" allowBlank="1" showInputMessage="1" showErrorMessage="1" prompt="ボタンを押し単位を入力" sqref="Y7:AA29" xr:uid="{00000000-0002-0000-02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5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19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42</xdr:col>
                    <xdr:colOff>152400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0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0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0</xdr:col>
                    <xdr:colOff>476250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0</xdr:col>
                    <xdr:colOff>476250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0</xdr:col>
                    <xdr:colOff>476250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0</xdr:col>
                    <xdr:colOff>476250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0</xdr:col>
                    <xdr:colOff>476250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0</xdr:col>
                    <xdr:colOff>476250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0</xdr:col>
                    <xdr:colOff>476250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0</xdr:col>
                    <xdr:colOff>476250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0</xdr:col>
                    <xdr:colOff>476250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0</xdr:col>
                    <xdr:colOff>476250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0</xdr:col>
                    <xdr:colOff>476250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0</xdr:col>
                    <xdr:colOff>476250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0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0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0</xdr:col>
                    <xdr:colOff>476250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0</xdr:col>
                    <xdr:colOff>476250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0</xdr:col>
                    <xdr:colOff>476250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0</xdr:col>
                    <xdr:colOff>476250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0</xdr:col>
                    <xdr:colOff>476250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0</xdr:col>
                    <xdr:colOff>476250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0</xdr:col>
                    <xdr:colOff>476250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4" name="表示2">
              <controlPr defaultSize="0" print="0" autoFill="0" autoPict="0" macro="[0]!ThisWorkbook.表示12">
                <anchor moveWithCells="1" sizeWithCells="1">
                  <from>
                    <xdr:col>29</xdr:col>
                    <xdr:colOff>152400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見積書A4</vt:lpstr>
      <vt:lpstr>別紙購入おすすめ品</vt:lpstr>
      <vt:lpstr>USBフラッシュメモリ内一覧</vt:lpstr>
      <vt:lpstr>工具箱内付属一覧</vt:lpstr>
      <vt:lpstr>本体装備品一覧</vt:lpstr>
      <vt:lpstr>USBフラッシュメモリ内一覧!Print_Area</vt:lpstr>
      <vt:lpstr>見積書A4!Print_Area</vt:lpstr>
      <vt:lpstr>工具箱内付属一覧!Print_Area</vt:lpstr>
      <vt:lpstr>別紙購入おすすめ品!Print_Area</vt:lpstr>
      <vt:lpstr>本体装備品一覧!Print_Area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2024-10-29T09:38:06Z</cp:lastPrinted>
  <dcterms:created xsi:type="dcterms:W3CDTF">2001-10-18T00:35:45Z</dcterms:created>
  <dcterms:modified xsi:type="dcterms:W3CDTF">2024-10-29T09:38:08Z</dcterms:modified>
</cp:coreProperties>
</file>