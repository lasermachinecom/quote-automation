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2841C631-2016-4FA8-9574-B80BA4ACA0CD}" xr6:coauthVersionLast="47" xr6:coauthVersionMax="47" xr10:uidLastSave="{00000000-0000-0000-0000-000000000000}"/>
  <bookViews>
    <workbookView xWindow="20010" yWindow="315" windowWidth="25290" windowHeight="20925" activeTab="3" xr2:uid="{00000000-000D-0000-FFFF-FFFF00000000}"/>
  </bookViews>
  <sheets>
    <sheet name="入力" sheetId="1" r:id="rId1"/>
    <sheet name="明細" sheetId="2" r:id="rId2"/>
    <sheet name="見積書" sheetId="4" r:id="rId3"/>
    <sheet name="納品書" sheetId="5" r:id="rId4"/>
  </sheets>
  <definedNames>
    <definedName name="if">明細!$E$10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B38" i="5"/>
  <c r="B37" i="5"/>
  <c r="B35" i="5"/>
  <c r="B34" i="5"/>
  <c r="E33" i="5"/>
  <c r="B33" i="5"/>
  <c r="C23" i="5"/>
  <c r="B23" i="5"/>
  <c r="F22" i="5"/>
  <c r="C22" i="5"/>
  <c r="B22" i="5"/>
  <c r="A22" i="5"/>
  <c r="F21" i="5"/>
  <c r="C21" i="5"/>
  <c r="B21" i="5"/>
  <c r="A21" i="5"/>
  <c r="F20" i="5"/>
  <c r="C20" i="5"/>
  <c r="B20" i="5"/>
  <c r="A20" i="5"/>
  <c r="F19" i="5"/>
  <c r="C19" i="5"/>
  <c r="B19" i="5"/>
  <c r="A19" i="5"/>
  <c r="F18" i="5"/>
  <c r="C18" i="5"/>
  <c r="B18" i="5"/>
  <c r="A18" i="5"/>
  <c r="F17" i="5"/>
  <c r="C17" i="5"/>
  <c r="B17" i="5"/>
  <c r="A17" i="5"/>
  <c r="F16" i="5"/>
  <c r="C16" i="5"/>
  <c r="B16" i="5"/>
  <c r="A16" i="5"/>
  <c r="F15" i="5"/>
  <c r="C15" i="5"/>
  <c r="B15" i="5"/>
  <c r="A15" i="5"/>
  <c r="F14" i="5"/>
  <c r="E14" i="5"/>
  <c r="D14" i="5"/>
  <c r="C14" i="5"/>
  <c r="B14" i="5"/>
  <c r="A14" i="5"/>
  <c r="B11" i="5"/>
  <c r="B10" i="5"/>
  <c r="B9" i="5"/>
  <c r="B8" i="5"/>
  <c r="A7" i="5"/>
  <c r="A4" i="5"/>
  <c r="E3" i="5"/>
  <c r="A3" i="5"/>
  <c r="E2" i="5"/>
  <c r="B39" i="4"/>
  <c r="B38" i="4"/>
  <c r="B37" i="4"/>
  <c r="B35" i="4"/>
  <c r="B34" i="4"/>
  <c r="E33" i="4"/>
  <c r="B33" i="4"/>
  <c r="E24" i="4"/>
  <c r="E25" i="4" s="1"/>
  <c r="E26" i="4" s="1"/>
  <c r="C23" i="4"/>
  <c r="B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B11" i="4"/>
  <c r="B10" i="4"/>
  <c r="B9" i="4"/>
  <c r="B8" i="4"/>
  <c r="A7" i="4"/>
  <c r="A4" i="4"/>
  <c r="E3" i="4"/>
  <c r="A3" i="4"/>
  <c r="E2" i="4"/>
  <c r="E11" i="2"/>
  <c r="E10" i="2"/>
  <c r="E9" i="2"/>
  <c r="F8" i="2"/>
  <c r="E8" i="2"/>
  <c r="E7" i="2"/>
  <c r="E6" i="2"/>
  <c r="E5" i="2"/>
  <c r="D5" i="2"/>
  <c r="E4" i="2"/>
  <c r="D3" i="2"/>
  <c r="E2" i="2"/>
  <c r="B24" i="1"/>
  <c r="B22" i="1"/>
  <c r="E3" i="2" l="1"/>
</calcChain>
</file>

<file path=xl/sharedStrings.xml><?xml version="1.0" encoding="utf-8"?>
<sst xmlns="http://schemas.openxmlformats.org/spreadsheetml/2006/main" count="133" uniqueCount="91">
  <si>
    <t>市町村名</t>
  </si>
  <si>
    <t>群馬県高崎市</t>
  </si>
  <si>
    <t>案件名（自動生成に利用）</t>
  </si>
  <si>
    <t>デモ機操作・講習 見積書</t>
  </si>
  <si>
    <t>宛先（会社名）</t>
  </si>
  <si>
    <t>大塚刷毛製造株式会社 様</t>
  </si>
  <si>
    <t>宛先（住所）</t>
  </si>
  <si>
    <t>〒160-8511 東京都新宿区四谷4-1</t>
  </si>
  <si>
    <t>見積番号</t>
  </si>
  <si>
    <t>FL2511056</t>
  </si>
  <si>
    <t>見積日</t>
  </si>
  <si>
    <t>実施日(期日)</t>
  </si>
  <si>
    <t>実施場所</t>
  </si>
  <si>
    <t>群馬県高崎市内（会場未定）</t>
  </si>
  <si>
    <t>支払条件</t>
  </si>
  <si>
    <t>末締め末現金払い</t>
  </si>
  <si>
    <t>見積有効期限</t>
  </si>
  <si>
    <t>振込先（銀行名）</t>
  </si>
  <si>
    <t>十六銀行 柳ヶ瀬支店</t>
  </si>
  <si>
    <t>口座種別・番号</t>
  </si>
  <si>
    <t>普通 0777577</t>
  </si>
  <si>
    <t>名義</t>
  </si>
  <si>
    <t>カ)リンシュンドウ</t>
  </si>
  <si>
    <t>登録番号（適格請求書）</t>
  </si>
  <si>
    <t>T6200001005823</t>
  </si>
  <si>
    <t>発行元：会社名</t>
  </si>
  <si>
    <t>株式会社リンシュンドウ / サンマックスレーザー</t>
  </si>
  <si>
    <t>発行元：住所</t>
  </si>
  <si>
    <t>〒502-0013 岐阜市中川原 サンマックスビル</t>
  </si>
  <si>
    <t>発行元：メール</t>
  </si>
  <si>
    <t>MAIL:lasermachine.com@gmail.com</t>
  </si>
  <si>
    <t>出発IC（例：岐阜 各IC）</t>
  </si>
  <si>
    <t>岐阜 各IC</t>
  </si>
  <si>
    <t>到着IC（マスタ連動）</t>
  </si>
  <si>
    <t>高崎IC</t>
  </si>
  <si>
    <t>片道ETC概算(円)</t>
  </si>
  <si>
    <t>往復ETC（自動計算）</t>
  </si>
  <si>
    <t>片道距離(km)</t>
  </si>
  <si>
    <t>往復距離(km)</t>
  </si>
  <si>
    <t>車両距離単価(円/km)</t>
  </si>
  <si>
    <t>人数（日当・宿泊人数）</t>
  </si>
  <si>
    <t>作業日数（日）</t>
  </si>
  <si>
    <t>宿泊数（泊）</t>
  </si>
  <si>
    <t>宿泊単価（円/泊・人）</t>
  </si>
  <si>
    <t>日当単価（円/日・人）</t>
  </si>
  <si>
    <t>窒素使用（あり/なし）</t>
  </si>
  <si>
    <t>あり</t>
  </si>
  <si>
    <t>窒素単価（円/日）</t>
  </si>
  <si>
    <t>品名</t>
  </si>
  <si>
    <t>数量</t>
  </si>
  <si>
    <t>単位</t>
  </si>
  <si>
    <t>税別単価</t>
  </si>
  <si>
    <t>金額</t>
  </si>
  <si>
    <t>備考</t>
  </si>
  <si>
    <t>出張デモ</t>
  </si>
  <si>
    <t>一式</t>
  </si>
  <si>
    <t>交通費 往復（岐阜-高崎）社用車使用＠150</t>
  </si>
  <si>
    <t>距離×単価（往復）／社用車使用</t>
  </si>
  <si>
    <t>日当 1日1名分（平日）</t>
  </si>
  <si>
    <t>式</t>
  </si>
  <si>
    <t>平日／人数×日数×日当単価</t>
  </si>
  <si>
    <t>宿泊費（1泊2日×人数）</t>
  </si>
  <si>
    <t>人数×泊数×宿泊単価（1泊）</t>
  </si>
  <si>
    <t>LCWデモ機展示設置費用（1.5kW相当）</t>
  </si>
  <si>
    <t>設置費</t>
  </si>
  <si>
    <t>デモ用消耗品費</t>
  </si>
  <si>
    <t>ワイヤ・試材・</t>
  </si>
  <si>
    <t>窒素</t>
  </si>
  <si>
    <t>日</t>
  </si>
  <si>
    <t>パーテーション</t>
  </si>
  <si>
    <t>展示会やデモ会場用の簡易遮光パネル</t>
  </si>
  <si>
    <t>保護メガネ　手袋　溶接台</t>
  </si>
  <si>
    <t>デモ時に使用する専用作業台</t>
  </si>
  <si>
    <t>値引き</t>
  </si>
  <si>
    <t>御　見　積　書</t>
  </si>
  <si>
    <t>期日</t>
  </si>
  <si>
    <t>場所</t>
  </si>
  <si>
    <t>小計</t>
  </si>
  <si>
    <t>消費税(10%)</t>
  </si>
  <si>
    <t>税込合計</t>
  </si>
  <si>
    <t>摘要（注意事項）</t>
  </si>
  <si>
    <t>振込先</t>
  </si>
  <si>
    <t>登録番号</t>
  </si>
  <si>
    <t>口座</t>
  </si>
  <si>
    <t>発行元</t>
  </si>
  <si>
    <t>所在地</t>
  </si>
  <si>
    <t>連絡先</t>
  </si>
  <si>
    <t>発行後30日</t>
    <phoneticPr fontId="2"/>
  </si>
  <si>
    <t>※値引き税別単価を負の金額</t>
    <phoneticPr fontId="2"/>
  </si>
  <si>
    <t>デモ機の搬入・撤収時は男性のお手伝いを要します。
電源御社手配をお願いします。
※交通費等は自動計算に基づく概算です。実費精算時に差額調整する場合があります。</t>
    <phoneticPr fontId="2"/>
  </si>
  <si>
    <t>納　品　書</t>
    <rPh sb="0" eb="1">
      <t>オサメ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</si>
</sst>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5" fillId="3" borderId="2" xfId="0" applyFont="1" applyFill="1" applyBorder="1" applyAlignment="1">
      <alignment horizontal="center" vertical="center"/>
    </xf>
    <xf numFmtId="0" fontId="0" fillId="0" borderId="2" xfId="0" applyBorder="1"/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0" fillId="0" borderId="2" xfId="0" applyNumberFormat="1" applyBorder="1"/>
    <xf numFmtId="14" fontId="6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34</xdr:row>
      <xdr:rowOff>66675</xdr:rowOff>
    </xdr:from>
    <xdr:to>
      <xdr:col>5</xdr:col>
      <xdr:colOff>28697</xdr:colOff>
      <xdr:row>39</xdr:row>
      <xdr:rowOff>85847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6E23DE-6303-44F5-9AA0-0870E46E4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6000750"/>
          <a:ext cx="876422" cy="876422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33</xdr:row>
      <xdr:rowOff>104775</xdr:rowOff>
    </xdr:from>
    <xdr:to>
      <xdr:col>3</xdr:col>
      <xdr:colOff>857250</xdr:colOff>
      <xdr:row>36</xdr:row>
      <xdr:rowOff>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1D83873-764E-41D2-B191-8C5A73C06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867400"/>
          <a:ext cx="438150" cy="43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34</xdr:row>
      <xdr:rowOff>66675</xdr:rowOff>
    </xdr:from>
    <xdr:to>
      <xdr:col>5</xdr:col>
      <xdr:colOff>28697</xdr:colOff>
      <xdr:row>39</xdr:row>
      <xdr:rowOff>85847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5A88DB-EE4C-4267-AB68-1758855F4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6000750"/>
          <a:ext cx="876422" cy="876422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33</xdr:row>
      <xdr:rowOff>104775</xdr:rowOff>
    </xdr:from>
    <xdr:to>
      <xdr:col>3</xdr:col>
      <xdr:colOff>857250</xdr:colOff>
      <xdr:row>36</xdr:row>
      <xdr:rowOff>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559AFB-C7D6-4092-BB09-91F479EC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867400"/>
          <a:ext cx="4381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A5" sqref="A5"/>
    </sheetView>
  </sheetViews>
  <sheetFormatPr defaultRowHeight="13.5" x14ac:dyDescent="0.15"/>
  <cols>
    <col min="1" max="2" width="32" customWidth="1"/>
  </cols>
  <sheetData>
    <row r="1" spans="1:2" x14ac:dyDescent="0.15">
      <c r="A1" s="1" t="s">
        <v>0</v>
      </c>
      <c r="B1" t="s">
        <v>1</v>
      </c>
    </row>
    <row r="2" spans="1:2" x14ac:dyDescent="0.15">
      <c r="A2" s="1" t="s">
        <v>2</v>
      </c>
      <c r="B2" t="s">
        <v>3</v>
      </c>
    </row>
    <row r="3" spans="1:2" x14ac:dyDescent="0.15">
      <c r="A3" s="1" t="s">
        <v>4</v>
      </c>
      <c r="B3" t="s">
        <v>5</v>
      </c>
    </row>
    <row r="4" spans="1:2" x14ac:dyDescent="0.15">
      <c r="A4" s="1" t="s">
        <v>6</v>
      </c>
      <c r="B4" t="s">
        <v>7</v>
      </c>
    </row>
    <row r="5" spans="1:2" x14ac:dyDescent="0.15">
      <c r="A5" s="1"/>
    </row>
    <row r="6" spans="1:2" x14ac:dyDescent="0.15">
      <c r="A6" s="1" t="s">
        <v>8</v>
      </c>
      <c r="B6" t="s">
        <v>9</v>
      </c>
    </row>
    <row r="7" spans="1:2" x14ac:dyDescent="0.15">
      <c r="A7" s="1" t="s">
        <v>10</v>
      </c>
      <c r="B7" s="3">
        <v>45966</v>
      </c>
    </row>
    <row r="8" spans="1:2" x14ac:dyDescent="0.15">
      <c r="A8" s="1" t="s">
        <v>11</v>
      </c>
      <c r="B8" s="3">
        <v>45990</v>
      </c>
    </row>
    <row r="9" spans="1:2" x14ac:dyDescent="0.15">
      <c r="A9" s="1" t="s">
        <v>12</v>
      </c>
      <c r="B9" t="s">
        <v>13</v>
      </c>
    </row>
    <row r="10" spans="1:2" x14ac:dyDescent="0.15">
      <c r="A10" s="1" t="s">
        <v>14</v>
      </c>
      <c r="B10" t="s">
        <v>15</v>
      </c>
    </row>
    <row r="11" spans="1:2" x14ac:dyDescent="0.15">
      <c r="A11" s="1" t="s">
        <v>16</v>
      </c>
      <c r="B11" t="s">
        <v>87</v>
      </c>
    </row>
    <row r="12" spans="1:2" x14ac:dyDescent="0.15">
      <c r="A12" s="1" t="s">
        <v>17</v>
      </c>
      <c r="B12" t="s">
        <v>18</v>
      </c>
    </row>
    <row r="13" spans="1:2" x14ac:dyDescent="0.15">
      <c r="A13" s="1" t="s">
        <v>19</v>
      </c>
      <c r="B13" t="s">
        <v>20</v>
      </c>
    </row>
    <row r="14" spans="1:2" x14ac:dyDescent="0.15">
      <c r="A14" s="1" t="s">
        <v>21</v>
      </c>
      <c r="B14" t="s">
        <v>22</v>
      </c>
    </row>
    <row r="15" spans="1:2" x14ac:dyDescent="0.15">
      <c r="A15" s="1" t="s">
        <v>23</v>
      </c>
      <c r="B15" t="s">
        <v>24</v>
      </c>
    </row>
    <row r="16" spans="1:2" x14ac:dyDescent="0.15">
      <c r="A16" s="1" t="s">
        <v>25</v>
      </c>
      <c r="B16" t="s">
        <v>26</v>
      </c>
    </row>
    <row r="17" spans="1:2" x14ac:dyDescent="0.15">
      <c r="A17" s="1" t="s">
        <v>27</v>
      </c>
      <c r="B17" t="s">
        <v>28</v>
      </c>
    </row>
    <row r="18" spans="1:2" x14ac:dyDescent="0.15">
      <c r="A18" s="1" t="s">
        <v>29</v>
      </c>
      <c r="B18" t="s">
        <v>30</v>
      </c>
    </row>
    <row r="19" spans="1:2" x14ac:dyDescent="0.15">
      <c r="A19" s="1" t="s">
        <v>31</v>
      </c>
      <c r="B19" t="s">
        <v>32</v>
      </c>
    </row>
    <row r="20" spans="1:2" x14ac:dyDescent="0.15">
      <c r="A20" s="1" t="s">
        <v>33</v>
      </c>
      <c r="B20" t="s">
        <v>34</v>
      </c>
    </row>
    <row r="21" spans="1:2" x14ac:dyDescent="0.15">
      <c r="A21" s="1" t="s">
        <v>35</v>
      </c>
      <c r="B21">
        <v>9700</v>
      </c>
    </row>
    <row r="22" spans="1:2" x14ac:dyDescent="0.15">
      <c r="A22" s="1" t="s">
        <v>36</v>
      </c>
      <c r="B22">
        <f>B21*2</f>
        <v>19400</v>
      </c>
    </row>
    <row r="23" spans="1:2" x14ac:dyDescent="0.15">
      <c r="A23" s="1" t="s">
        <v>37</v>
      </c>
      <c r="B23">
        <v>360</v>
      </c>
    </row>
    <row r="24" spans="1:2" x14ac:dyDescent="0.15">
      <c r="A24" s="1" t="s">
        <v>38</v>
      </c>
      <c r="B24">
        <f>B23*2</f>
        <v>720</v>
      </c>
    </row>
    <row r="25" spans="1:2" x14ac:dyDescent="0.15">
      <c r="A25" s="1" t="s">
        <v>39</v>
      </c>
      <c r="B25">
        <v>150</v>
      </c>
    </row>
    <row r="26" spans="1:2" x14ac:dyDescent="0.15">
      <c r="A26" s="1" t="s">
        <v>40</v>
      </c>
      <c r="B26">
        <v>1</v>
      </c>
    </row>
    <row r="27" spans="1:2" x14ac:dyDescent="0.15">
      <c r="A27" s="1" t="s">
        <v>41</v>
      </c>
      <c r="B27">
        <v>1</v>
      </c>
    </row>
    <row r="28" spans="1:2" x14ac:dyDescent="0.15">
      <c r="A28" s="1" t="s">
        <v>42</v>
      </c>
      <c r="B28">
        <v>1</v>
      </c>
    </row>
    <row r="29" spans="1:2" x14ac:dyDescent="0.15">
      <c r="A29" s="1" t="s">
        <v>43</v>
      </c>
      <c r="B29">
        <v>10000</v>
      </c>
    </row>
    <row r="30" spans="1:2" x14ac:dyDescent="0.15">
      <c r="A30" s="1" t="s">
        <v>44</v>
      </c>
      <c r="B30">
        <v>50000</v>
      </c>
    </row>
    <row r="31" spans="1:2" x14ac:dyDescent="0.15">
      <c r="A31" t="s">
        <v>45</v>
      </c>
      <c r="B31" t="s">
        <v>46</v>
      </c>
    </row>
    <row r="32" spans="1:2" x14ac:dyDescent="0.15">
      <c r="A32" t="s">
        <v>47</v>
      </c>
      <c r="B32">
        <v>5000</v>
      </c>
    </row>
  </sheetData>
  <phoneticPr fontId="2"/>
  <dataValidations count="1">
    <dataValidation type="list" showInputMessage="1" showErrorMessage="1" sqref="B31" xr:uid="{00000000-0002-0000-0000-000000000000}">
      <formula1>"あり,なし"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28" sqref="D28"/>
    </sheetView>
  </sheetViews>
  <sheetFormatPr defaultRowHeight="13.5" x14ac:dyDescent="0.15"/>
  <cols>
    <col min="1" max="1" width="36" customWidth="1"/>
    <col min="2" max="3" width="10" customWidth="1"/>
    <col min="4" max="5" width="14" customWidth="1"/>
    <col min="6" max="6" width="30" customWidth="1"/>
  </cols>
  <sheetData>
    <row r="1" spans="1:6" x14ac:dyDescent="0.1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 x14ac:dyDescent="0.15">
      <c r="A2" t="s">
        <v>54</v>
      </c>
      <c r="B2">
        <v>1</v>
      </c>
      <c r="C2" t="s">
        <v>55</v>
      </c>
      <c r="E2">
        <f t="shared" ref="E2:E11" si="0">IF(B2="",1,B2)*D2</f>
        <v>0</v>
      </c>
    </row>
    <row r="3" spans="1:6" x14ac:dyDescent="0.15">
      <c r="A3" t="s">
        <v>56</v>
      </c>
      <c r="B3">
        <v>1</v>
      </c>
      <c r="C3" t="s">
        <v>55</v>
      </c>
      <c r="D3">
        <f>入力!B24*入力!B25</f>
        <v>108000</v>
      </c>
      <c r="E3">
        <f t="shared" si="0"/>
        <v>108000</v>
      </c>
      <c r="F3" t="s">
        <v>57</v>
      </c>
    </row>
    <row r="4" spans="1:6" x14ac:dyDescent="0.15">
      <c r="A4" t="s">
        <v>58</v>
      </c>
      <c r="B4">
        <v>1</v>
      </c>
      <c r="C4" t="s">
        <v>59</v>
      </c>
      <c r="D4">
        <v>50000</v>
      </c>
      <c r="E4">
        <f t="shared" si="0"/>
        <v>50000</v>
      </c>
      <c r="F4" t="s">
        <v>60</v>
      </c>
    </row>
    <row r="5" spans="1:6" x14ac:dyDescent="0.15">
      <c r="A5" t="s">
        <v>61</v>
      </c>
      <c r="B5">
        <v>1</v>
      </c>
      <c r="C5" t="s">
        <v>59</v>
      </c>
      <c r="D5">
        <f>入力!B26*入力!B28*入力!B29</f>
        <v>10000</v>
      </c>
      <c r="E5">
        <f t="shared" si="0"/>
        <v>10000</v>
      </c>
      <c r="F5" t="s">
        <v>62</v>
      </c>
    </row>
    <row r="6" spans="1:6" x14ac:dyDescent="0.15">
      <c r="A6" t="s">
        <v>63</v>
      </c>
      <c r="B6">
        <v>1</v>
      </c>
      <c r="C6" t="s">
        <v>55</v>
      </c>
      <c r="D6">
        <v>20000</v>
      </c>
      <c r="E6">
        <f t="shared" si="0"/>
        <v>20000</v>
      </c>
      <c r="F6" t="s">
        <v>64</v>
      </c>
    </row>
    <row r="7" spans="1:6" x14ac:dyDescent="0.15">
      <c r="A7" t="s">
        <v>65</v>
      </c>
      <c r="B7">
        <v>1</v>
      </c>
      <c r="C7" t="s">
        <v>55</v>
      </c>
      <c r="D7">
        <v>7500</v>
      </c>
      <c r="E7">
        <f t="shared" si="0"/>
        <v>7500</v>
      </c>
      <c r="F7" t="s">
        <v>66</v>
      </c>
    </row>
    <row r="8" spans="1:6" x14ac:dyDescent="0.15">
      <c r="A8" t="s">
        <v>67</v>
      </c>
      <c r="B8">
        <v>1</v>
      </c>
      <c r="C8" t="s">
        <v>68</v>
      </c>
      <c r="D8">
        <v>5000</v>
      </c>
      <c r="E8">
        <f t="shared" si="0"/>
        <v>5000</v>
      </c>
      <c r="F8" t="str">
        <f>"窒素使用（"&amp;入力!B27&amp;"日 × "&amp;入力!B32&amp;"円/日）"</f>
        <v>窒素使用（1日 × 5000円/日）</v>
      </c>
    </row>
    <row r="9" spans="1:6" x14ac:dyDescent="0.15">
      <c r="A9" t="s">
        <v>69</v>
      </c>
      <c r="B9">
        <v>1</v>
      </c>
      <c r="C9" t="s">
        <v>55</v>
      </c>
      <c r="D9">
        <v>5000</v>
      </c>
      <c r="E9">
        <f t="shared" si="0"/>
        <v>5000</v>
      </c>
      <c r="F9" t="s">
        <v>70</v>
      </c>
    </row>
    <row r="10" spans="1:6" x14ac:dyDescent="0.15">
      <c r="A10" t="s">
        <v>71</v>
      </c>
      <c r="B10">
        <v>1</v>
      </c>
      <c r="C10" t="s">
        <v>55</v>
      </c>
      <c r="D10">
        <v>5000</v>
      </c>
      <c r="E10">
        <f t="shared" si="0"/>
        <v>5000</v>
      </c>
      <c r="F10" t="s">
        <v>72</v>
      </c>
    </row>
    <row r="11" spans="1:6" x14ac:dyDescent="0.15">
      <c r="A11" t="s">
        <v>73</v>
      </c>
      <c r="C11" t="s">
        <v>55</v>
      </c>
      <c r="D11">
        <v>-10500</v>
      </c>
      <c r="E11">
        <f t="shared" si="0"/>
        <v>-10500</v>
      </c>
      <c r="F11" t="s">
        <v>88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4412-C112-4A56-8314-87F488A2B602}">
  <dimension ref="A1:F39"/>
  <sheetViews>
    <sheetView topLeftCell="A13" workbookViewId="0">
      <selection activeCell="B28" sqref="B28:F31"/>
    </sheetView>
  </sheetViews>
  <sheetFormatPr defaultRowHeight="13.5" x14ac:dyDescent="0.15"/>
  <cols>
    <col min="1" max="1" width="40" customWidth="1"/>
    <col min="2" max="2" width="9" customWidth="1"/>
    <col min="3" max="3" width="8" customWidth="1"/>
    <col min="4" max="4" width="14" customWidth="1"/>
    <col min="5" max="5" width="16" customWidth="1"/>
    <col min="6" max="6" width="30" customWidth="1"/>
  </cols>
  <sheetData>
    <row r="1" spans="1:6" ht="21" x14ac:dyDescent="0.2">
      <c r="A1" s="11" t="s">
        <v>74</v>
      </c>
      <c r="B1" s="12"/>
      <c r="C1" s="12"/>
      <c r="D1" s="12"/>
      <c r="E1" s="12"/>
      <c r="F1" s="12"/>
    </row>
    <row r="2" spans="1:6" x14ac:dyDescent="0.15">
      <c r="D2" s="4" t="s">
        <v>8</v>
      </c>
      <c r="E2" t="str">
        <f>入力!B6</f>
        <v>FL2511056</v>
      </c>
    </row>
    <row r="3" spans="1:6" x14ac:dyDescent="0.15">
      <c r="A3" t="str">
        <f>入力!B3</f>
        <v>大塚刷毛製造株式会社 様</v>
      </c>
      <c r="D3" s="4" t="s">
        <v>10</v>
      </c>
      <c r="E3" s="3">
        <f>入力!B7</f>
        <v>45966</v>
      </c>
    </row>
    <row r="4" spans="1:6" x14ac:dyDescent="0.15">
      <c r="A4" t="str">
        <f>入力!B4</f>
        <v>〒160-8511 東京都新宿区四谷4-1</v>
      </c>
    </row>
    <row r="5" spans="1:6" x14ac:dyDescent="0.15">
      <c r="A5" s="4"/>
    </row>
    <row r="7" spans="1:6" ht="14.25" x14ac:dyDescent="0.15">
      <c r="A7" s="13" t="str">
        <f>CONCATENATE(入力!B1," ",入力!B2,"（到着IC：",入力!B20,"）")</f>
        <v>群馬県高崎市 デモ機操作・講習 見積書（到着IC：高崎IC）</v>
      </c>
      <c r="B7" s="12"/>
      <c r="C7" s="12"/>
      <c r="D7" s="12"/>
      <c r="E7" s="12"/>
      <c r="F7" s="12"/>
    </row>
    <row r="8" spans="1:6" x14ac:dyDescent="0.15">
      <c r="A8" s="4" t="s">
        <v>14</v>
      </c>
      <c r="B8" t="str">
        <f>入力!B10</f>
        <v>末締め末現金払い</v>
      </c>
    </row>
    <row r="9" spans="1:6" x14ac:dyDescent="0.15">
      <c r="A9" s="4" t="s">
        <v>16</v>
      </c>
      <c r="B9" t="str">
        <f>入力!B11</f>
        <v>発行後30日</v>
      </c>
    </row>
    <row r="10" spans="1:6" x14ac:dyDescent="0.15">
      <c r="A10" s="4" t="s">
        <v>75</v>
      </c>
      <c r="B10" s="10">
        <f>入力!B8</f>
        <v>45990</v>
      </c>
    </row>
    <row r="11" spans="1:6" x14ac:dyDescent="0.15">
      <c r="A11" s="4" t="s">
        <v>76</v>
      </c>
      <c r="B11" t="str">
        <f>入力!B9</f>
        <v>群馬県高崎市内（会場未定）</v>
      </c>
    </row>
    <row r="13" spans="1:6" x14ac:dyDescent="0.15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53</v>
      </c>
    </row>
    <row r="14" spans="1:6" x14ac:dyDescent="0.15">
      <c r="A14" s="6" t="str">
        <f>明細!A2</f>
        <v>出張デモ</v>
      </c>
      <c r="B14" s="6">
        <f>明細!B2</f>
        <v>1</v>
      </c>
      <c r="C14" s="6" t="str">
        <f>明細!C2</f>
        <v>一式</v>
      </c>
      <c r="D14" s="9">
        <f>明細!D2</f>
        <v>0</v>
      </c>
      <c r="E14" s="9">
        <f>明細!E2</f>
        <v>0</v>
      </c>
      <c r="F14" s="6">
        <f>明細!F2</f>
        <v>0</v>
      </c>
    </row>
    <row r="15" spans="1:6" x14ac:dyDescent="0.15">
      <c r="A15" s="6" t="str">
        <f>明細!A3</f>
        <v>交通費 往復（岐阜-高崎）社用車使用＠150</v>
      </c>
      <c r="B15" s="6">
        <f>明細!B3</f>
        <v>1</v>
      </c>
      <c r="C15" s="6" t="str">
        <f>明細!C3</f>
        <v>一式</v>
      </c>
      <c r="D15" s="9">
        <f>明細!D3</f>
        <v>108000</v>
      </c>
      <c r="E15" s="9">
        <f>明細!E3</f>
        <v>108000</v>
      </c>
      <c r="F15" s="6" t="str">
        <f>明細!F3</f>
        <v>距離×単価（往復）／社用車使用</v>
      </c>
    </row>
    <row r="16" spans="1:6" x14ac:dyDescent="0.15">
      <c r="A16" s="6" t="str">
        <f>明細!A4</f>
        <v>日当 1日1名分（平日）</v>
      </c>
      <c r="B16" s="6">
        <f>明細!B4</f>
        <v>1</v>
      </c>
      <c r="C16" s="6" t="str">
        <f>明細!C4</f>
        <v>式</v>
      </c>
      <c r="D16" s="9">
        <f>明細!D4</f>
        <v>50000</v>
      </c>
      <c r="E16" s="9">
        <f>明細!E4</f>
        <v>50000</v>
      </c>
      <c r="F16" s="6" t="str">
        <f>明細!F4</f>
        <v>平日／人数×日数×日当単価</v>
      </c>
    </row>
    <row r="17" spans="1:6" x14ac:dyDescent="0.15">
      <c r="A17" s="6" t="str">
        <f>明細!A5</f>
        <v>宿泊費（1泊2日×人数）</v>
      </c>
      <c r="B17" s="6">
        <f>明細!B5</f>
        <v>1</v>
      </c>
      <c r="C17" s="6" t="str">
        <f>明細!C5</f>
        <v>式</v>
      </c>
      <c r="D17" s="9">
        <f>明細!D5</f>
        <v>10000</v>
      </c>
      <c r="E17" s="9">
        <f>明細!E5</f>
        <v>10000</v>
      </c>
      <c r="F17" s="6" t="str">
        <f>明細!F5</f>
        <v>人数×泊数×宿泊単価（1泊）</v>
      </c>
    </row>
    <row r="18" spans="1:6" x14ac:dyDescent="0.15">
      <c r="A18" s="6" t="str">
        <f>明細!A6</f>
        <v>LCWデモ機展示設置費用（1.5kW相当）</v>
      </c>
      <c r="B18" s="6">
        <f>明細!B6</f>
        <v>1</v>
      </c>
      <c r="C18" s="6" t="str">
        <f>明細!C6</f>
        <v>一式</v>
      </c>
      <c r="D18" s="9">
        <f>明細!D6</f>
        <v>20000</v>
      </c>
      <c r="E18" s="9">
        <f>明細!E6</f>
        <v>20000</v>
      </c>
      <c r="F18" s="6" t="str">
        <f>明細!F6</f>
        <v>設置費</v>
      </c>
    </row>
    <row r="19" spans="1:6" x14ac:dyDescent="0.15">
      <c r="A19" s="6" t="str">
        <f>明細!A7</f>
        <v>デモ用消耗品費</v>
      </c>
      <c r="B19" s="6">
        <f>明細!B7</f>
        <v>1</v>
      </c>
      <c r="C19" s="6" t="str">
        <f>明細!C7</f>
        <v>一式</v>
      </c>
      <c r="D19" s="9">
        <f>明細!D7</f>
        <v>7500</v>
      </c>
      <c r="E19" s="9">
        <f>明細!E7</f>
        <v>7500</v>
      </c>
      <c r="F19" s="6" t="str">
        <f>明細!F7</f>
        <v>ワイヤ・試材・</v>
      </c>
    </row>
    <row r="20" spans="1:6" x14ac:dyDescent="0.15">
      <c r="A20" s="6" t="str">
        <f>明細!A8</f>
        <v>窒素</v>
      </c>
      <c r="B20" s="6">
        <f>明細!B8</f>
        <v>1</v>
      </c>
      <c r="C20" s="6" t="str">
        <f>明細!C8</f>
        <v>日</v>
      </c>
      <c r="D20" s="9">
        <f>明細!D8</f>
        <v>5000</v>
      </c>
      <c r="E20" s="9">
        <f>明細!E8</f>
        <v>5000</v>
      </c>
      <c r="F20" s="6" t="str">
        <f>明細!F8</f>
        <v>窒素使用（1日 × 5000円/日）</v>
      </c>
    </row>
    <row r="21" spans="1:6" x14ac:dyDescent="0.15">
      <c r="A21" s="6" t="str">
        <f>明細!A9</f>
        <v>パーテーション</v>
      </c>
      <c r="B21" s="6">
        <f>明細!B9</f>
        <v>1</v>
      </c>
      <c r="C21" s="6" t="str">
        <f>明細!C9</f>
        <v>一式</v>
      </c>
      <c r="D21" s="9">
        <f>明細!D9</f>
        <v>5000</v>
      </c>
      <c r="E21" s="9">
        <f>明細!E9</f>
        <v>5000</v>
      </c>
      <c r="F21" s="6" t="str">
        <f>明細!F9</f>
        <v>展示会やデモ会場用の簡易遮光パネル</v>
      </c>
    </row>
    <row r="22" spans="1:6" x14ac:dyDescent="0.15">
      <c r="A22" s="6" t="str">
        <f>明細!A10</f>
        <v>保護メガネ　手袋　溶接台</v>
      </c>
      <c r="B22" s="6">
        <f>明細!B10</f>
        <v>1</v>
      </c>
      <c r="C22" s="6" t="str">
        <f>明細!C10</f>
        <v>一式</v>
      </c>
      <c r="D22" s="9">
        <f>明細!D10</f>
        <v>5000</v>
      </c>
      <c r="E22" s="9">
        <f>明細!E10</f>
        <v>5000</v>
      </c>
      <c r="F22" s="6" t="str">
        <f>明細!F10</f>
        <v>デモ時に使用する専用作業台</v>
      </c>
    </row>
    <row r="23" spans="1:6" x14ac:dyDescent="0.15">
      <c r="A23" s="6"/>
      <c r="B23" s="6">
        <f>明細!B11</f>
        <v>0</v>
      </c>
      <c r="C23" s="6" t="str">
        <f>明細!C11</f>
        <v>一式</v>
      </c>
      <c r="D23" s="9"/>
      <c r="E23" s="9"/>
      <c r="F23" s="6"/>
    </row>
    <row r="24" spans="1:6" x14ac:dyDescent="0.15">
      <c r="D24" s="7" t="s">
        <v>77</v>
      </c>
      <c r="E24" s="8">
        <f>SUM(E14:E23)</f>
        <v>210500</v>
      </c>
    </row>
    <row r="25" spans="1:6" x14ac:dyDescent="0.15">
      <c r="D25" s="7" t="s">
        <v>78</v>
      </c>
      <c r="E25" s="8">
        <f>ROUND(E24*0.1,0)</f>
        <v>21050</v>
      </c>
    </row>
    <row r="26" spans="1:6" x14ac:dyDescent="0.15">
      <c r="D26" s="7" t="s">
        <v>79</v>
      </c>
      <c r="E26" s="8">
        <f>E24+E25</f>
        <v>231550</v>
      </c>
    </row>
    <row r="28" spans="1:6" x14ac:dyDescent="0.15">
      <c r="A28" s="4" t="s">
        <v>80</v>
      </c>
      <c r="B28" s="14" t="s">
        <v>89</v>
      </c>
      <c r="C28" s="12"/>
      <c r="D28" s="12"/>
      <c r="E28" s="12"/>
      <c r="F28" s="12"/>
    </row>
    <row r="29" spans="1:6" x14ac:dyDescent="0.15">
      <c r="B29" s="12"/>
      <c r="C29" s="12"/>
      <c r="D29" s="12"/>
      <c r="E29" s="12"/>
      <c r="F29" s="12"/>
    </row>
    <row r="30" spans="1:6" x14ac:dyDescent="0.15">
      <c r="B30" s="12"/>
      <c r="C30" s="12"/>
      <c r="D30" s="12"/>
      <c r="E30" s="12"/>
      <c r="F30" s="12"/>
    </row>
    <row r="31" spans="1:6" x14ac:dyDescent="0.15">
      <c r="B31" s="12"/>
      <c r="C31" s="12"/>
      <c r="D31" s="12"/>
      <c r="E31" s="12"/>
      <c r="F31" s="12"/>
    </row>
    <row r="33" spans="1:5" x14ac:dyDescent="0.15">
      <c r="A33" s="4" t="s">
        <v>81</v>
      </c>
      <c r="B33" t="str">
        <f>入力!B12</f>
        <v>十六銀行 柳ヶ瀬支店</v>
      </c>
      <c r="D33" s="4" t="s">
        <v>82</v>
      </c>
      <c r="E33" t="str">
        <f>入力!B15</f>
        <v>T6200001005823</v>
      </c>
    </row>
    <row r="34" spans="1:5" x14ac:dyDescent="0.15">
      <c r="A34" s="4" t="s">
        <v>83</v>
      </c>
      <c r="B34" t="str">
        <f>入力!B13</f>
        <v>普通 0777577</v>
      </c>
    </row>
    <row r="35" spans="1:5" x14ac:dyDescent="0.15">
      <c r="A35" s="4" t="s">
        <v>21</v>
      </c>
      <c r="B35" t="str">
        <f>入力!B14</f>
        <v>カ)リンシュンドウ</v>
      </c>
    </row>
    <row r="37" spans="1:5" x14ac:dyDescent="0.15">
      <c r="A37" s="4" t="s">
        <v>84</v>
      </c>
      <c r="B37" t="str">
        <f>入力!B16</f>
        <v>株式会社リンシュンドウ / サンマックスレーザー</v>
      </c>
    </row>
    <row r="38" spans="1:5" x14ac:dyDescent="0.15">
      <c r="A38" s="4" t="s">
        <v>85</v>
      </c>
      <c r="B38" t="str">
        <f>入力!B17</f>
        <v>〒502-0013 岐阜市中川原 サンマックスビル</v>
      </c>
    </row>
    <row r="39" spans="1:5" x14ac:dyDescent="0.15">
      <c r="A39" s="4" t="s">
        <v>86</v>
      </c>
      <c r="B39" t="str">
        <f>入力!B18</f>
        <v>MAIL:lasermachine.com@gmail.com</v>
      </c>
    </row>
  </sheetData>
  <mergeCells count="3">
    <mergeCell ref="A1:F1"/>
    <mergeCell ref="A7:F7"/>
    <mergeCell ref="B28:F31"/>
  </mergeCells>
  <phoneticPr fontId="2"/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AAF-5F14-474C-8680-664D192033FB}">
  <dimension ref="A1:F39"/>
  <sheetViews>
    <sheetView tabSelected="1" workbookViewId="0">
      <selection activeCell="A15" sqref="A15"/>
    </sheetView>
  </sheetViews>
  <sheetFormatPr defaultRowHeight="13.5" x14ac:dyDescent="0.15"/>
  <cols>
    <col min="1" max="1" width="40" customWidth="1"/>
    <col min="2" max="2" width="9" customWidth="1"/>
    <col min="3" max="3" width="8" customWidth="1"/>
    <col min="4" max="4" width="14" customWidth="1"/>
    <col min="5" max="5" width="16" customWidth="1"/>
    <col min="6" max="6" width="30" customWidth="1"/>
  </cols>
  <sheetData>
    <row r="1" spans="1:6" ht="21" x14ac:dyDescent="0.2">
      <c r="A1" s="11" t="s">
        <v>90</v>
      </c>
      <c r="B1" s="12"/>
      <c r="C1" s="12"/>
      <c r="D1" s="12"/>
      <c r="E1" s="12"/>
      <c r="F1" s="12"/>
    </row>
    <row r="2" spans="1:6" x14ac:dyDescent="0.15">
      <c r="D2" s="4" t="s">
        <v>8</v>
      </c>
      <c r="E2" t="str">
        <f>入力!B6</f>
        <v>FL2511056</v>
      </c>
    </row>
    <row r="3" spans="1:6" x14ac:dyDescent="0.15">
      <c r="A3" t="str">
        <f>入力!B3</f>
        <v>大塚刷毛製造株式会社 様</v>
      </c>
      <c r="D3" s="4" t="s">
        <v>10</v>
      </c>
      <c r="E3" s="3">
        <f>入力!B7</f>
        <v>45966</v>
      </c>
    </row>
    <row r="4" spans="1:6" x14ac:dyDescent="0.15">
      <c r="A4" t="str">
        <f>入力!B4</f>
        <v>〒160-8511 東京都新宿区四谷4-1</v>
      </c>
    </row>
    <row r="5" spans="1:6" x14ac:dyDescent="0.15">
      <c r="A5" s="4"/>
    </row>
    <row r="7" spans="1:6" ht="14.25" x14ac:dyDescent="0.15">
      <c r="A7" s="13" t="str">
        <f>CONCATENATE(入力!B1," ",入力!B2,"（到着IC：",入力!B20,"）")</f>
        <v>群馬県高崎市 デモ機操作・講習 見積書（到着IC：高崎IC）</v>
      </c>
      <c r="B7" s="12"/>
      <c r="C7" s="12"/>
      <c r="D7" s="12"/>
      <c r="E7" s="12"/>
      <c r="F7" s="12"/>
    </row>
    <row r="8" spans="1:6" x14ac:dyDescent="0.15">
      <c r="A8" s="4" t="s">
        <v>14</v>
      </c>
      <c r="B8" t="str">
        <f>入力!B10</f>
        <v>末締め末現金払い</v>
      </c>
    </row>
    <row r="9" spans="1:6" x14ac:dyDescent="0.15">
      <c r="A9" s="4" t="s">
        <v>16</v>
      </c>
      <c r="B9" t="str">
        <f>入力!B11</f>
        <v>発行後30日</v>
      </c>
    </row>
    <row r="10" spans="1:6" x14ac:dyDescent="0.15">
      <c r="A10" s="4" t="s">
        <v>75</v>
      </c>
      <c r="B10" s="10">
        <f>入力!B8</f>
        <v>45990</v>
      </c>
    </row>
    <row r="11" spans="1:6" x14ac:dyDescent="0.15">
      <c r="A11" s="4" t="s">
        <v>76</v>
      </c>
      <c r="B11" t="str">
        <f>入力!B9</f>
        <v>群馬県高崎市内（会場未定）</v>
      </c>
    </row>
    <row r="13" spans="1:6" x14ac:dyDescent="0.15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53</v>
      </c>
    </row>
    <row r="14" spans="1:6" x14ac:dyDescent="0.15">
      <c r="A14" s="6" t="str">
        <f>明細!A2</f>
        <v>出張デモ</v>
      </c>
      <c r="B14" s="6">
        <f>明細!B2</f>
        <v>1</v>
      </c>
      <c r="C14" s="6" t="str">
        <f>明細!C2</f>
        <v>一式</v>
      </c>
      <c r="D14" s="9">
        <f>明細!D2</f>
        <v>0</v>
      </c>
      <c r="E14" s="9">
        <f>明細!E2</f>
        <v>0</v>
      </c>
      <c r="F14" s="6">
        <f>明細!F2</f>
        <v>0</v>
      </c>
    </row>
    <row r="15" spans="1:6" x14ac:dyDescent="0.15">
      <c r="A15" s="6" t="str">
        <f>明細!A3</f>
        <v>交通費 往復（岐阜-高崎）社用車使用＠150</v>
      </c>
      <c r="B15" s="6">
        <f>明細!B3</f>
        <v>1</v>
      </c>
      <c r="C15" s="6" t="str">
        <f>明細!C3</f>
        <v>一式</v>
      </c>
      <c r="D15" s="9"/>
      <c r="E15" s="9"/>
      <c r="F15" s="6" t="str">
        <f>明細!F3</f>
        <v>距離×単価（往復）／社用車使用</v>
      </c>
    </row>
    <row r="16" spans="1:6" x14ac:dyDescent="0.15">
      <c r="A16" s="6" t="str">
        <f>明細!A4</f>
        <v>日当 1日1名分（平日）</v>
      </c>
      <c r="B16" s="6">
        <f>明細!B4</f>
        <v>1</v>
      </c>
      <c r="C16" s="6" t="str">
        <f>明細!C4</f>
        <v>式</v>
      </c>
      <c r="D16" s="9"/>
      <c r="E16" s="9"/>
      <c r="F16" s="6" t="str">
        <f>明細!F4</f>
        <v>平日／人数×日数×日当単価</v>
      </c>
    </row>
    <row r="17" spans="1:6" x14ac:dyDescent="0.15">
      <c r="A17" s="6" t="str">
        <f>明細!A5</f>
        <v>宿泊費（1泊2日×人数）</v>
      </c>
      <c r="B17" s="6">
        <f>明細!B5</f>
        <v>1</v>
      </c>
      <c r="C17" s="6" t="str">
        <f>明細!C5</f>
        <v>式</v>
      </c>
      <c r="D17" s="9"/>
      <c r="E17" s="9"/>
      <c r="F17" s="6" t="str">
        <f>明細!F5</f>
        <v>人数×泊数×宿泊単価（1泊）</v>
      </c>
    </row>
    <row r="18" spans="1:6" x14ac:dyDescent="0.15">
      <c r="A18" s="6" t="str">
        <f>明細!A6</f>
        <v>LCWデモ機展示設置費用（1.5kW相当）</v>
      </c>
      <c r="B18" s="6">
        <f>明細!B6</f>
        <v>1</v>
      </c>
      <c r="C18" s="6" t="str">
        <f>明細!C6</f>
        <v>一式</v>
      </c>
      <c r="D18" s="9"/>
      <c r="E18" s="9"/>
      <c r="F18" s="6" t="str">
        <f>明細!F6</f>
        <v>設置費</v>
      </c>
    </row>
    <row r="19" spans="1:6" x14ac:dyDescent="0.15">
      <c r="A19" s="6" t="str">
        <f>明細!A7</f>
        <v>デモ用消耗品費</v>
      </c>
      <c r="B19" s="6">
        <f>明細!B7</f>
        <v>1</v>
      </c>
      <c r="C19" s="6" t="str">
        <f>明細!C7</f>
        <v>一式</v>
      </c>
      <c r="D19" s="9"/>
      <c r="E19" s="9"/>
      <c r="F19" s="6" t="str">
        <f>明細!F7</f>
        <v>ワイヤ・試材・</v>
      </c>
    </row>
    <row r="20" spans="1:6" x14ac:dyDescent="0.15">
      <c r="A20" s="6" t="str">
        <f>明細!A8</f>
        <v>窒素</v>
      </c>
      <c r="B20" s="6">
        <f>明細!B8</f>
        <v>1</v>
      </c>
      <c r="C20" s="6" t="str">
        <f>明細!C8</f>
        <v>日</v>
      </c>
      <c r="D20" s="9"/>
      <c r="E20" s="9"/>
      <c r="F20" s="6" t="str">
        <f>明細!F8</f>
        <v>窒素使用（1日 × 5000円/日）</v>
      </c>
    </row>
    <row r="21" spans="1:6" x14ac:dyDescent="0.15">
      <c r="A21" s="6" t="str">
        <f>明細!A9</f>
        <v>パーテーション</v>
      </c>
      <c r="B21" s="6">
        <f>明細!B9</f>
        <v>1</v>
      </c>
      <c r="C21" s="6" t="str">
        <f>明細!C9</f>
        <v>一式</v>
      </c>
      <c r="D21" s="9"/>
      <c r="E21" s="9"/>
      <c r="F21" s="6" t="str">
        <f>明細!F9</f>
        <v>展示会やデモ会場用の簡易遮光パネル</v>
      </c>
    </row>
    <row r="22" spans="1:6" x14ac:dyDescent="0.15">
      <c r="A22" s="6" t="str">
        <f>明細!A10</f>
        <v>保護メガネ　手袋　溶接台</v>
      </c>
      <c r="B22" s="6">
        <f>明細!B10</f>
        <v>1</v>
      </c>
      <c r="C22" s="6" t="str">
        <f>明細!C10</f>
        <v>一式</v>
      </c>
      <c r="D22" s="9"/>
      <c r="E22" s="9"/>
      <c r="F22" s="6" t="str">
        <f>明細!F10</f>
        <v>デモ時に使用する専用作業台</v>
      </c>
    </row>
    <row r="23" spans="1:6" x14ac:dyDescent="0.15">
      <c r="A23" s="6"/>
      <c r="B23" s="6">
        <f>明細!B11</f>
        <v>0</v>
      </c>
      <c r="C23" s="6" t="str">
        <f>明細!C11</f>
        <v>一式</v>
      </c>
      <c r="D23" s="9"/>
      <c r="E23" s="9"/>
      <c r="F23" s="6"/>
    </row>
    <row r="24" spans="1:6" x14ac:dyDescent="0.15">
      <c r="D24" s="7" t="s">
        <v>77</v>
      </c>
      <c r="E24" s="8"/>
    </row>
    <row r="25" spans="1:6" x14ac:dyDescent="0.15">
      <c r="D25" s="7" t="s">
        <v>78</v>
      </c>
      <c r="E25" s="8"/>
    </row>
    <row r="26" spans="1:6" x14ac:dyDescent="0.15">
      <c r="D26" s="7" t="s">
        <v>79</v>
      </c>
      <c r="E26" s="8"/>
    </row>
    <row r="28" spans="1:6" x14ac:dyDescent="0.15">
      <c r="A28" s="4" t="s">
        <v>80</v>
      </c>
      <c r="B28" s="14" t="s">
        <v>89</v>
      </c>
      <c r="C28" s="12"/>
      <c r="D28" s="12"/>
      <c r="E28" s="12"/>
      <c r="F28" s="12"/>
    </row>
    <row r="29" spans="1:6" x14ac:dyDescent="0.15">
      <c r="B29" s="12"/>
      <c r="C29" s="12"/>
      <c r="D29" s="12"/>
      <c r="E29" s="12"/>
      <c r="F29" s="12"/>
    </row>
    <row r="30" spans="1:6" x14ac:dyDescent="0.15">
      <c r="B30" s="12"/>
      <c r="C30" s="12"/>
      <c r="D30" s="12"/>
      <c r="E30" s="12"/>
      <c r="F30" s="12"/>
    </row>
    <row r="31" spans="1:6" x14ac:dyDescent="0.15">
      <c r="B31" s="12"/>
      <c r="C31" s="12"/>
      <c r="D31" s="12"/>
      <c r="E31" s="12"/>
      <c r="F31" s="12"/>
    </row>
    <row r="33" spans="1:5" x14ac:dyDescent="0.15">
      <c r="A33" s="4" t="s">
        <v>81</v>
      </c>
      <c r="B33" t="str">
        <f>入力!B12</f>
        <v>十六銀行 柳ヶ瀬支店</v>
      </c>
      <c r="D33" s="4" t="s">
        <v>82</v>
      </c>
      <c r="E33" t="str">
        <f>入力!B15</f>
        <v>T6200001005823</v>
      </c>
    </row>
    <row r="34" spans="1:5" x14ac:dyDescent="0.15">
      <c r="A34" s="4" t="s">
        <v>83</v>
      </c>
      <c r="B34" t="str">
        <f>入力!B13</f>
        <v>普通 0777577</v>
      </c>
    </row>
    <row r="35" spans="1:5" x14ac:dyDescent="0.15">
      <c r="A35" s="4" t="s">
        <v>21</v>
      </c>
      <c r="B35" t="str">
        <f>入力!B14</f>
        <v>カ)リンシュンドウ</v>
      </c>
    </row>
    <row r="37" spans="1:5" x14ac:dyDescent="0.15">
      <c r="A37" s="4" t="s">
        <v>84</v>
      </c>
      <c r="B37" t="str">
        <f>入力!B16</f>
        <v>株式会社リンシュンドウ / サンマックスレーザー</v>
      </c>
    </row>
    <row r="38" spans="1:5" x14ac:dyDescent="0.15">
      <c r="A38" s="4" t="s">
        <v>85</v>
      </c>
      <c r="B38" t="str">
        <f>入力!B17</f>
        <v>〒502-0013 岐阜市中川原 サンマックスビル</v>
      </c>
    </row>
    <row r="39" spans="1:5" x14ac:dyDescent="0.15">
      <c r="A39" s="4" t="s">
        <v>86</v>
      </c>
      <c r="B39" t="str">
        <f>入力!B18</f>
        <v>MAIL:lasermachine.com@gmail.com</v>
      </c>
    </row>
  </sheetData>
  <mergeCells count="3">
    <mergeCell ref="A1:F1"/>
    <mergeCell ref="A7:F7"/>
    <mergeCell ref="B28:F31"/>
  </mergeCells>
  <phoneticPr fontId="2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入力</vt:lpstr>
      <vt:lpstr>明細</vt:lpstr>
      <vt:lpstr>見積書</vt:lpstr>
      <vt:lpstr>納品書</vt:lpstr>
      <vt:lpstr>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a58</cp:lastModifiedBy>
  <cp:lastPrinted>2025-11-06T07:44:50Z</cp:lastPrinted>
  <dcterms:created xsi:type="dcterms:W3CDTF">2025-11-05T04:42:30Z</dcterms:created>
  <dcterms:modified xsi:type="dcterms:W3CDTF">2025-11-06T07:44:53Z</dcterms:modified>
</cp:coreProperties>
</file>