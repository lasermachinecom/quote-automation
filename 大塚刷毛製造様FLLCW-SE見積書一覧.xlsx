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drawings/drawing3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drawings/drawing4.xml" ContentType="application/vnd.openxmlformats-officedocument.drawing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drawings/drawing5.xml" ContentType="application/vnd.openxmlformats-officedocument.drawing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drawings/drawing6.xml" ContentType="application/vnd.openxmlformats-officedocument.drawing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14_{8B9A1C53-9F80-4848-900D-F9A326CB9961}" xr6:coauthVersionLast="47" xr6:coauthVersionMax="47" xr10:uidLastSave="{00000000-0000-0000-0000-000000000000}"/>
  <bookViews>
    <workbookView xWindow="14685" yWindow="150" windowWidth="21135" windowHeight="20370" tabRatio="657" xr2:uid="{00000000-000D-0000-FFFF-FFFF00000000}"/>
  </bookViews>
  <sheets>
    <sheet name="見積書A4" sheetId="1" r:id="rId1"/>
    <sheet name="見積書A4 (2)" sheetId="6" r:id="rId2"/>
    <sheet name="工具箱内一覧" sheetId="4" r:id="rId3"/>
    <sheet name="CLC付属品" sheetId="5" r:id="rId4"/>
    <sheet name="購入おすすめ品" sheetId="2" r:id="rId5"/>
    <sheet name="USBフラッシュメモリ内一覧" sheetId="3" r:id="rId6"/>
  </sheets>
  <definedNames>
    <definedName name="_xlnm.Print_Area" localSheetId="3">CLC付属品!$B$3:$AU$30</definedName>
    <definedName name="_xlnm.Print_Area" localSheetId="5">USBフラッシュメモリ内一覧!$B$3:$AU$30</definedName>
    <definedName name="_xlnm.Print_Area" localSheetId="0">見積書A4!$B$2:$AT$42</definedName>
    <definedName name="_xlnm.Print_Area" localSheetId="1">'見積書A4 (2)'!$B$2:$AT$42</definedName>
    <definedName name="_xlnm.Print_Area" localSheetId="2">工具箱内一覧!$B$3:$AU$30</definedName>
    <definedName name="_xlnm.Print_Area" localSheetId="4">購入おすすめ品!$B$3:$AU$30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I181" i="6" l="1"/>
  <c r="FH181" i="6"/>
  <c r="FG181" i="6"/>
  <c r="FF181" i="6"/>
  <c r="FE181" i="6"/>
  <c r="FD181" i="6"/>
  <c r="FI180" i="6"/>
  <c r="FH180" i="6"/>
  <c r="FG180" i="6"/>
  <c r="FF180" i="6"/>
  <c r="FE180" i="6"/>
  <c r="FD180" i="6"/>
  <c r="FI179" i="6"/>
  <c r="FH179" i="6"/>
  <c r="FG179" i="6"/>
  <c r="FF179" i="6"/>
  <c r="FE179" i="6"/>
  <c r="FD179" i="6"/>
  <c r="FI178" i="6"/>
  <c r="FH178" i="6"/>
  <c r="FG178" i="6"/>
  <c r="FF178" i="6"/>
  <c r="FE178" i="6"/>
  <c r="FD178" i="6"/>
  <c r="FI177" i="6"/>
  <c r="FH177" i="6"/>
  <c r="FG177" i="6"/>
  <c r="FF177" i="6"/>
  <c r="FE177" i="6"/>
  <c r="FD177" i="6"/>
  <c r="FI176" i="6"/>
  <c r="FH176" i="6"/>
  <c r="FG176" i="6"/>
  <c r="FF176" i="6"/>
  <c r="FE176" i="6"/>
  <c r="FD176" i="6"/>
  <c r="FI175" i="6"/>
  <c r="FH175" i="6"/>
  <c r="FG175" i="6"/>
  <c r="FF175" i="6"/>
  <c r="FE175" i="6"/>
  <c r="FD175" i="6"/>
  <c r="FI174" i="6"/>
  <c r="FH174" i="6"/>
  <c r="FG174" i="6"/>
  <c r="FF174" i="6"/>
  <c r="FE174" i="6"/>
  <c r="FD174" i="6"/>
  <c r="FI173" i="6"/>
  <c r="FH173" i="6"/>
  <c r="FG173" i="6"/>
  <c r="FF173" i="6"/>
  <c r="FE173" i="6"/>
  <c r="FD173" i="6"/>
  <c r="FI172" i="6"/>
  <c r="FH172" i="6"/>
  <c r="FG172" i="6"/>
  <c r="FF172" i="6"/>
  <c r="FE172" i="6"/>
  <c r="FD172" i="6"/>
  <c r="FI171" i="6"/>
  <c r="FH171" i="6"/>
  <c r="FG171" i="6"/>
  <c r="FF171" i="6"/>
  <c r="FE171" i="6"/>
  <c r="FD171" i="6"/>
  <c r="FI170" i="6"/>
  <c r="FH170" i="6"/>
  <c r="FG170" i="6"/>
  <c r="FF170" i="6"/>
  <c r="FE170" i="6"/>
  <c r="FD170" i="6"/>
  <c r="FI169" i="6"/>
  <c r="FH169" i="6"/>
  <c r="FG169" i="6"/>
  <c r="FF169" i="6"/>
  <c r="FE169" i="6"/>
  <c r="FD169" i="6"/>
  <c r="FI168" i="6"/>
  <c r="FH168" i="6"/>
  <c r="FG168" i="6"/>
  <c r="FF168" i="6"/>
  <c r="FE168" i="6"/>
  <c r="FD168" i="6"/>
  <c r="FI167" i="6"/>
  <c r="FH167" i="6"/>
  <c r="FG167" i="6"/>
  <c r="FF167" i="6"/>
  <c r="FE167" i="6"/>
  <c r="FD167" i="6"/>
  <c r="FI166" i="6"/>
  <c r="FH166" i="6"/>
  <c r="FG166" i="6"/>
  <c r="FF166" i="6"/>
  <c r="FE166" i="6"/>
  <c r="FD166" i="6"/>
  <c r="FI165" i="6"/>
  <c r="FH165" i="6"/>
  <c r="FG165" i="6"/>
  <c r="FF165" i="6"/>
  <c r="FE165" i="6"/>
  <c r="FD165" i="6"/>
  <c r="FI164" i="6"/>
  <c r="FH164" i="6"/>
  <c r="FG164" i="6"/>
  <c r="FF164" i="6"/>
  <c r="FE164" i="6"/>
  <c r="FD164" i="6"/>
  <c r="FI163" i="6"/>
  <c r="FH163" i="6"/>
  <c r="FG163" i="6"/>
  <c r="FF163" i="6"/>
  <c r="FE163" i="6"/>
  <c r="FD163" i="6"/>
  <c r="FI162" i="6"/>
  <c r="FH162" i="6"/>
  <c r="FG162" i="6"/>
  <c r="FF162" i="6"/>
  <c r="FE162" i="6"/>
  <c r="FD162" i="6"/>
  <c r="FI161" i="6"/>
  <c r="FH161" i="6"/>
  <c r="FG161" i="6"/>
  <c r="FF161" i="6"/>
  <c r="FE161" i="6"/>
  <c r="FD161" i="6"/>
  <c r="FI160" i="6"/>
  <c r="FH160" i="6"/>
  <c r="FG160" i="6"/>
  <c r="FF160" i="6"/>
  <c r="FE160" i="6"/>
  <c r="FD160" i="6"/>
  <c r="FI159" i="6"/>
  <c r="FH159" i="6"/>
  <c r="FG159" i="6"/>
  <c r="FF159" i="6"/>
  <c r="FE159" i="6"/>
  <c r="FD159" i="6"/>
  <c r="FI158" i="6"/>
  <c r="FH158" i="6"/>
  <c r="FG158" i="6"/>
  <c r="FF158" i="6"/>
  <c r="FE158" i="6"/>
  <c r="FD158" i="6"/>
  <c r="FI157" i="6"/>
  <c r="FH157" i="6"/>
  <c r="FG157" i="6"/>
  <c r="FF157" i="6"/>
  <c r="FE157" i="6"/>
  <c r="FD157" i="6"/>
  <c r="FI156" i="6"/>
  <c r="FH156" i="6"/>
  <c r="FG156" i="6"/>
  <c r="FF156" i="6"/>
  <c r="FE156" i="6"/>
  <c r="FD156" i="6"/>
  <c r="FI155" i="6"/>
  <c r="FH155" i="6"/>
  <c r="FG155" i="6"/>
  <c r="FF155" i="6"/>
  <c r="FE155" i="6"/>
  <c r="FD155" i="6"/>
  <c r="FI154" i="6"/>
  <c r="FH154" i="6"/>
  <c r="FG154" i="6"/>
  <c r="FF154" i="6"/>
  <c r="FE154" i="6"/>
  <c r="FD154" i="6"/>
  <c r="FI153" i="6"/>
  <c r="FH153" i="6"/>
  <c r="FG153" i="6"/>
  <c r="FF153" i="6"/>
  <c r="FE153" i="6"/>
  <c r="FD153" i="6"/>
  <c r="FI152" i="6"/>
  <c r="FH152" i="6"/>
  <c r="FG152" i="6"/>
  <c r="FF152" i="6"/>
  <c r="FE152" i="6"/>
  <c r="FD152" i="6"/>
  <c r="FI151" i="6"/>
  <c r="FH151" i="6"/>
  <c r="FG151" i="6"/>
  <c r="FF151" i="6"/>
  <c r="FE151" i="6"/>
  <c r="FD151" i="6"/>
  <c r="FI150" i="6"/>
  <c r="FH150" i="6"/>
  <c r="FG150" i="6"/>
  <c r="FF150" i="6"/>
  <c r="FE150" i="6"/>
  <c r="FD150" i="6"/>
  <c r="FI149" i="6"/>
  <c r="FH149" i="6"/>
  <c r="FG149" i="6"/>
  <c r="FF149" i="6"/>
  <c r="FE149" i="6"/>
  <c r="FD149" i="6"/>
  <c r="FI148" i="6"/>
  <c r="FH148" i="6"/>
  <c r="FG148" i="6"/>
  <c r="FF148" i="6"/>
  <c r="FE148" i="6"/>
  <c r="FD148" i="6"/>
  <c r="FI147" i="6"/>
  <c r="FH147" i="6"/>
  <c r="FG147" i="6"/>
  <c r="FF147" i="6"/>
  <c r="FE147" i="6"/>
  <c r="FD147" i="6"/>
  <c r="FI146" i="6"/>
  <c r="FH146" i="6"/>
  <c r="FG146" i="6"/>
  <c r="FF146" i="6"/>
  <c r="FE146" i="6"/>
  <c r="FD146" i="6"/>
  <c r="FI145" i="6"/>
  <c r="FH145" i="6"/>
  <c r="FG145" i="6"/>
  <c r="FF145" i="6"/>
  <c r="FE145" i="6"/>
  <c r="FD145" i="6"/>
  <c r="FI144" i="6"/>
  <c r="FH144" i="6"/>
  <c r="FG144" i="6"/>
  <c r="FF144" i="6"/>
  <c r="FE144" i="6"/>
  <c r="FD144" i="6"/>
  <c r="FI143" i="6"/>
  <c r="FH143" i="6"/>
  <c r="FG143" i="6"/>
  <c r="FF143" i="6"/>
  <c r="FE143" i="6"/>
  <c r="FD143" i="6"/>
  <c r="FI142" i="6"/>
  <c r="FH142" i="6"/>
  <c r="FG142" i="6"/>
  <c r="FF142" i="6"/>
  <c r="FE142" i="6"/>
  <c r="FD142" i="6"/>
  <c r="FI141" i="6"/>
  <c r="FH141" i="6"/>
  <c r="FG141" i="6"/>
  <c r="FF141" i="6"/>
  <c r="FE141" i="6"/>
  <c r="FD141" i="6"/>
  <c r="FI140" i="6"/>
  <c r="FH140" i="6"/>
  <c r="FG140" i="6"/>
  <c r="FF140" i="6"/>
  <c r="FE140" i="6"/>
  <c r="FD140" i="6"/>
  <c r="FI139" i="6"/>
  <c r="FH139" i="6"/>
  <c r="FG139" i="6"/>
  <c r="FF139" i="6"/>
  <c r="FE139" i="6"/>
  <c r="FD139" i="6"/>
  <c r="FI138" i="6"/>
  <c r="FH138" i="6"/>
  <c r="FG138" i="6"/>
  <c r="FF138" i="6"/>
  <c r="FE138" i="6"/>
  <c r="FD138" i="6"/>
  <c r="FI137" i="6"/>
  <c r="FH137" i="6"/>
  <c r="FG137" i="6"/>
  <c r="FF137" i="6"/>
  <c r="FE137" i="6"/>
  <c r="FD137" i="6"/>
  <c r="FI136" i="6"/>
  <c r="FH136" i="6"/>
  <c r="FG136" i="6"/>
  <c r="FF136" i="6"/>
  <c r="FE136" i="6"/>
  <c r="FD136" i="6"/>
  <c r="FI135" i="6"/>
  <c r="FH135" i="6"/>
  <c r="FG135" i="6"/>
  <c r="FF135" i="6"/>
  <c r="FE135" i="6"/>
  <c r="FD135" i="6"/>
  <c r="FI134" i="6"/>
  <c r="FH134" i="6"/>
  <c r="FG134" i="6"/>
  <c r="FF134" i="6"/>
  <c r="FE134" i="6"/>
  <c r="FD134" i="6"/>
  <c r="FI133" i="6"/>
  <c r="FH133" i="6"/>
  <c r="FG133" i="6"/>
  <c r="FF133" i="6"/>
  <c r="FE133" i="6"/>
  <c r="FD133" i="6"/>
  <c r="FI132" i="6"/>
  <c r="FH132" i="6"/>
  <c r="FG132" i="6"/>
  <c r="FF132" i="6"/>
  <c r="FE132" i="6"/>
  <c r="FD132" i="6"/>
  <c r="FI131" i="6"/>
  <c r="FH131" i="6"/>
  <c r="FG131" i="6"/>
  <c r="FF131" i="6"/>
  <c r="FE131" i="6"/>
  <c r="FD131" i="6"/>
  <c r="FI130" i="6"/>
  <c r="FH130" i="6"/>
  <c r="FG130" i="6"/>
  <c r="FF130" i="6"/>
  <c r="FE130" i="6"/>
  <c r="FD130" i="6"/>
  <c r="FI129" i="6"/>
  <c r="FH129" i="6"/>
  <c r="FG129" i="6"/>
  <c r="FF129" i="6"/>
  <c r="FE129" i="6"/>
  <c r="FD129" i="6"/>
  <c r="FI128" i="6"/>
  <c r="FH128" i="6"/>
  <c r="FG128" i="6"/>
  <c r="FF128" i="6"/>
  <c r="FE128" i="6"/>
  <c r="FD128" i="6"/>
  <c r="FI127" i="6"/>
  <c r="FH127" i="6"/>
  <c r="FG127" i="6"/>
  <c r="FF127" i="6"/>
  <c r="FE127" i="6"/>
  <c r="FD127" i="6"/>
  <c r="FI126" i="6"/>
  <c r="FH126" i="6"/>
  <c r="FG126" i="6"/>
  <c r="FF126" i="6"/>
  <c r="FE126" i="6"/>
  <c r="FD126" i="6"/>
  <c r="FI125" i="6"/>
  <c r="FH125" i="6"/>
  <c r="FG125" i="6"/>
  <c r="FF125" i="6"/>
  <c r="FE125" i="6"/>
  <c r="FD125" i="6"/>
  <c r="FI124" i="6"/>
  <c r="FH124" i="6"/>
  <c r="FG124" i="6"/>
  <c r="FF124" i="6"/>
  <c r="FE124" i="6"/>
  <c r="FD124" i="6"/>
  <c r="FI123" i="6"/>
  <c r="FH123" i="6"/>
  <c r="FG123" i="6"/>
  <c r="FF123" i="6"/>
  <c r="FE123" i="6"/>
  <c r="FD123" i="6"/>
  <c r="FI122" i="6"/>
  <c r="FH122" i="6"/>
  <c r="FG122" i="6"/>
  <c r="FF122" i="6"/>
  <c r="FE122" i="6"/>
  <c r="FD122" i="6"/>
  <c r="FI121" i="6"/>
  <c r="FH121" i="6"/>
  <c r="FG121" i="6"/>
  <c r="FF121" i="6"/>
  <c r="FE121" i="6"/>
  <c r="FD121" i="6"/>
  <c r="FI120" i="6"/>
  <c r="FH120" i="6"/>
  <c r="FG120" i="6"/>
  <c r="FF120" i="6"/>
  <c r="FE120" i="6"/>
  <c r="FD120" i="6"/>
  <c r="FI119" i="6"/>
  <c r="FH119" i="6"/>
  <c r="FG119" i="6"/>
  <c r="FF119" i="6"/>
  <c r="FE119" i="6"/>
  <c r="FD119" i="6"/>
  <c r="FI118" i="6"/>
  <c r="FH118" i="6"/>
  <c r="FG118" i="6"/>
  <c r="FF118" i="6"/>
  <c r="FE118" i="6"/>
  <c r="FD118" i="6"/>
  <c r="FI117" i="6"/>
  <c r="FH117" i="6"/>
  <c r="FG117" i="6"/>
  <c r="FF117" i="6"/>
  <c r="FE117" i="6"/>
  <c r="FD117" i="6"/>
  <c r="FI116" i="6"/>
  <c r="FH116" i="6"/>
  <c r="FG116" i="6"/>
  <c r="FF116" i="6"/>
  <c r="FE116" i="6"/>
  <c r="FD116" i="6"/>
  <c r="FI115" i="6"/>
  <c r="FH115" i="6"/>
  <c r="FG115" i="6"/>
  <c r="FF115" i="6"/>
  <c r="FE115" i="6"/>
  <c r="FD115" i="6"/>
  <c r="FI114" i="6"/>
  <c r="FH114" i="6"/>
  <c r="FG114" i="6"/>
  <c r="FF114" i="6"/>
  <c r="FE114" i="6"/>
  <c r="FD114" i="6"/>
  <c r="FI113" i="6"/>
  <c r="FH113" i="6"/>
  <c r="FG113" i="6"/>
  <c r="FF113" i="6"/>
  <c r="FE113" i="6"/>
  <c r="FD113" i="6"/>
  <c r="FI112" i="6"/>
  <c r="FG112" i="6"/>
  <c r="FF112" i="6"/>
  <c r="FE112" i="6"/>
  <c r="FD112" i="6"/>
  <c r="FI111" i="6"/>
  <c r="FH111" i="6"/>
  <c r="FG111" i="6"/>
  <c r="FF111" i="6"/>
  <c r="FE111" i="6"/>
  <c r="FD111" i="6"/>
  <c r="FI110" i="6"/>
  <c r="FG110" i="6"/>
  <c r="FF110" i="6"/>
  <c r="FE110" i="6"/>
  <c r="FD110" i="6"/>
  <c r="FI109" i="6"/>
  <c r="FG109" i="6"/>
  <c r="FF109" i="6"/>
  <c r="FE109" i="6"/>
  <c r="FD109" i="6"/>
  <c r="FI108" i="6"/>
  <c r="FH108" i="6"/>
  <c r="FG108" i="6"/>
  <c r="FF108" i="6"/>
  <c r="FE108" i="6"/>
  <c r="FD108" i="6"/>
  <c r="FI107" i="6"/>
  <c r="FG107" i="6"/>
  <c r="FF107" i="6"/>
  <c r="FE107" i="6"/>
  <c r="FD107" i="6"/>
  <c r="CK107" i="6"/>
  <c r="FI106" i="6"/>
  <c r="FG106" i="6"/>
  <c r="FF106" i="6"/>
  <c r="FE106" i="6"/>
  <c r="FD106" i="6"/>
  <c r="CK106" i="6"/>
  <c r="FI105" i="6"/>
  <c r="FH105" i="6"/>
  <c r="FG105" i="6"/>
  <c r="FF105" i="6"/>
  <c r="FE105" i="6"/>
  <c r="FD105" i="6"/>
  <c r="CK105" i="6"/>
  <c r="CE105" i="6"/>
  <c r="FI104" i="6"/>
  <c r="FH104" i="6"/>
  <c r="FG104" i="6"/>
  <c r="FF104" i="6"/>
  <c r="FE104" i="6"/>
  <c r="FD104" i="6"/>
  <c r="FI103" i="6"/>
  <c r="FH103" i="6"/>
  <c r="FG103" i="6"/>
  <c r="FF103" i="6"/>
  <c r="FE103" i="6"/>
  <c r="FD103" i="6"/>
  <c r="FI102" i="6"/>
  <c r="FH102" i="6"/>
  <c r="FG102" i="6"/>
  <c r="FF102" i="6"/>
  <c r="FE102" i="6"/>
  <c r="FD102" i="6"/>
  <c r="FI101" i="6"/>
  <c r="FH101" i="6"/>
  <c r="FG101" i="6"/>
  <c r="FF101" i="6"/>
  <c r="FE101" i="6"/>
  <c r="FD101" i="6"/>
  <c r="AF37" i="6"/>
  <c r="FH112" i="6" s="1"/>
  <c r="AF36" i="6"/>
  <c r="AF35" i="6"/>
  <c r="AA38" i="6" s="1"/>
  <c r="AF34" i="6"/>
  <c r="FH109" i="6" s="1"/>
  <c r="AF33" i="6"/>
  <c r="AF32" i="6"/>
  <c r="FH107" i="6" s="1"/>
  <c r="AF31" i="6"/>
  <c r="FH106" i="6" s="1"/>
  <c r="AF30" i="6"/>
  <c r="AF29" i="6"/>
  <c r="AF28" i="6"/>
  <c r="AF27" i="6"/>
  <c r="AF26" i="6"/>
  <c r="AB7" i="2"/>
  <c r="AF29" i="1"/>
  <c r="AF30" i="1"/>
  <c r="CK104" i="6" l="1"/>
  <c r="CK115" i="6" s="1"/>
  <c r="H38" i="6"/>
  <c r="FH110" i="6"/>
  <c r="AF28" i="1"/>
  <c r="H39" i="6" l="1"/>
  <c r="P56" i="6"/>
  <c r="AF32" i="1"/>
  <c r="AF31" i="1"/>
  <c r="AF27" i="1"/>
  <c r="J20" i="6" l="1"/>
  <c r="J19" i="6"/>
  <c r="AF33" i="1"/>
  <c r="P178" i="4" l="1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F35" i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FH128" i="1" s="1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 s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P56" i="1" l="1"/>
  <c r="J19" i="1"/>
  <c r="J20" i="1"/>
</calcChain>
</file>

<file path=xl/sharedStrings.xml><?xml version="1.0" encoding="utf-8"?>
<sst xmlns="http://schemas.openxmlformats.org/spreadsheetml/2006/main" count="318" uniqueCount="137">
  <si>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</si>
  <si>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</si>
  <si>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</si>
  <si>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</si>
  <si>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</si>
  <si>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</si>
  <si>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取引方法</t>
    <rPh sb="0" eb="2">
      <t>トリヒキ</t>
    </rPh>
    <rPh sb="2" eb="4">
      <t>ホウホウ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</si>
  <si>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</si>
  <si>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</si>
  <si>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</si>
  <si>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</si>
  <si>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</si>
  <si>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</si>
  <si>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</si>
  <si>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</si>
  <si>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</si>
  <si>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</si>
  <si>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</si>
  <si>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</si>
  <si>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</si>
  <si>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</si>
  <si>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</si>
  <si>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</si>
  <si>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</si>
  <si>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</si>
  <si>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</si>
  <si>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</si>
  <si>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</si>
  <si>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</si>
  <si>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</si>
  <si>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</si>
  <si>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</si>
  <si>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</si>
  <si>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</si>
  <si>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</si>
  <si>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</si>
  <si>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</si>
  <si>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</si>
  <si>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</si>
  <si>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</si>
  <si>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</si>
  <si>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</si>
  <si>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</si>
  <si>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</si>
  <si>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</si>
  <si>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</si>
  <si>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</si>
  <si>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</si>
  <si>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</si>
  <si>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</si>
  <si>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</si>
  <si>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</si>
  <si>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</si>
  <si>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</si>
  <si>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</si>
  <si>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</si>
  <si>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</si>
  <si>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</si>
  <si>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</si>
  <si>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</si>
  <si>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</si>
  <si>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</si>
  <si>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</si>
  <si>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</si>
  <si>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</si>
  <si>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</si>
  <si>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</si>
  <si>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</si>
  <si>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</si>
  <si>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</si>
  <si>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</si>
  <si>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</si>
  <si>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</si>
  <si>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</si>
  <si>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</si>
  <si>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</si>
  <si>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</si>
  <si>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</si>
  <si>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</si>
  <si>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</si>
  <si>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</si>
  <si>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</si>
  <si>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</si>
  <si>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</si>
  <si>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</si>
  <si>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</si>
  <si>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</si>
  <si>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</si>
  <si>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</si>
  <si>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</si>
  <si>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</si>
  <si>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</si>
  <si>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送 料</t>
    <rPh sb="0" eb="1">
      <t>ソウ</t>
    </rPh>
    <rPh sb="2" eb="3">
      <t>リョウ</t>
    </rPh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</si>
  <si>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</si>
  <si>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日</t>
    <rPh sb="0" eb="1">
      <t>ニチ</t>
    </rPh>
    <phoneticPr fontId="4"/>
  </si>
  <si>
    <t>渡し</t>
    <rPh sb="0" eb="1">
      <t>ワタ</t>
    </rPh>
    <phoneticPr fontId="4"/>
  </si>
  <si>
    <t>車上</t>
    <rPh sb="0" eb="2">
      <t>シャジョウ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</si>
  <si>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</si>
  <si>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</si>
  <si>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</si>
  <si>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別</t>
    <rPh sb="0" eb="1">
      <t>ベツ</t>
    </rPh>
    <phoneticPr fontId="4"/>
  </si>
  <si>
    <t>令和</t>
    <rPh sb="0" eb="2">
      <t>レイワ</t>
    </rPh>
    <phoneticPr fontId="4"/>
  </si>
  <si>
    <t>消費税10%</t>
    <phoneticPr fontId="4"/>
  </si>
  <si>
    <t>USBメモリー(取説・設定表・レンズ清掃方法
など)</t>
    <phoneticPr fontId="4"/>
  </si>
  <si>
    <t>一式</t>
  </si>
  <si>
    <t>見積書有効期限発効後９０日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</si>
  <si>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</si>
  <si>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新品1年保証　　　</t>
    <rPh sb="0" eb="2">
      <t>シンピン</t>
    </rPh>
    <rPh sb="3" eb="6">
      <t>ネンホショウ</t>
    </rPh>
    <phoneticPr fontId="4"/>
  </si>
  <si>
    <t>出張セットアップ　操作講習</t>
    <rPh sb="0" eb="2">
      <t>シュッチョウ</t>
    </rPh>
    <phoneticPr fontId="4"/>
  </si>
  <si>
    <t>送料　地域別　　車上渡し</t>
    <rPh sb="5" eb="6">
      <t>ベツ</t>
    </rPh>
    <phoneticPr fontId="4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</si>
  <si>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4"/>
  </si>
  <si>
    <t>〒160-8511　東京都新宿区四谷４－１</t>
    <phoneticPr fontId="4"/>
  </si>
  <si>
    <t>オートアフターマーケット課</t>
    <phoneticPr fontId="4"/>
  </si>
  <si>
    <t>マーケティング一部　</t>
    <phoneticPr fontId="4"/>
  </si>
  <si>
    <t>相談</t>
    <rPh sb="0" eb="2">
      <t>ソウダン</t>
    </rPh>
    <phoneticPr fontId="4"/>
  </si>
  <si>
    <t>貴社住所車上渡し</t>
    <rPh sb="0" eb="2">
      <t>キシャ</t>
    </rPh>
    <rPh sb="2" eb="4">
      <t>ジュウショ</t>
    </rPh>
    <rPh sb="4" eb="7">
      <t>シャジョウワタ</t>
    </rPh>
    <phoneticPr fontId="4"/>
  </si>
  <si>
    <t>末締め末払い</t>
    <rPh sb="0" eb="2">
      <t>マツジ</t>
    </rPh>
    <rPh sb="3" eb="5">
      <t>マツバラ</t>
    </rPh>
    <phoneticPr fontId="4"/>
  </si>
  <si>
    <t>1台購入時</t>
    <rPh sb="1" eb="2">
      <t>ダイ</t>
    </rPh>
    <rPh sb="2" eb="4">
      <t>コウニュウ</t>
    </rPh>
    <rPh sb="4" eb="5">
      <t>ジ</t>
    </rPh>
    <phoneticPr fontId="4"/>
  </si>
  <si>
    <t>3台購入時</t>
    <rPh sb="1" eb="2">
      <t>ダイ</t>
    </rPh>
    <rPh sb="2" eb="4">
      <t>コウニュウ</t>
    </rPh>
    <rPh sb="4" eb="5">
      <t>ジ</t>
    </rPh>
    <phoneticPr fontId="4"/>
  </si>
  <si>
    <t>5台購入時</t>
    <rPh sb="1" eb="2">
      <t>ダイ</t>
    </rPh>
    <rPh sb="2" eb="4">
      <t>コウニュウ</t>
    </rPh>
    <rPh sb="4" eb="5">
      <t>ジ</t>
    </rPh>
    <phoneticPr fontId="4"/>
  </si>
  <si>
    <t>保護メガネ</t>
    <rPh sb="0" eb="2">
      <t>ホゴ</t>
    </rPh>
    <phoneticPr fontId="4"/>
  </si>
  <si>
    <t>個</t>
    <rPh sb="0" eb="1">
      <t>コ</t>
    </rPh>
    <phoneticPr fontId="4"/>
  </si>
  <si>
    <t>六角レンチ</t>
    <rPh sb="0" eb="2">
      <t>ロッカク</t>
    </rPh>
    <phoneticPr fontId="4"/>
  </si>
  <si>
    <t>保護レンズ</t>
    <rPh sb="0" eb="2">
      <t>ホゴ</t>
    </rPh>
    <phoneticPr fontId="4"/>
  </si>
  <si>
    <t>エアホース</t>
    <phoneticPr fontId="4"/>
  </si>
  <si>
    <t>レンズ清掃用綿棒</t>
    <rPh sb="3" eb="8">
      <t>セイソウヨウメンボウ</t>
    </rPh>
    <phoneticPr fontId="4"/>
  </si>
  <si>
    <t>本</t>
    <rPh sb="0" eb="1">
      <t>ポン</t>
    </rPh>
    <phoneticPr fontId="4"/>
  </si>
  <si>
    <t>レンズ清掃用クリーナー</t>
    <rPh sb="3" eb="6">
      <t>セイソウヨウ</t>
    </rPh>
    <phoneticPr fontId="4"/>
  </si>
  <si>
    <t>発振器接続用ケーブル</t>
    <rPh sb="0" eb="3">
      <t>ハッシンキ</t>
    </rPh>
    <rPh sb="3" eb="6">
      <t>セツゾクヨウ</t>
    </rPh>
    <phoneticPr fontId="4"/>
  </si>
  <si>
    <t>最初の納品から1ヵ月以内に全量納品</t>
    <rPh sb="0" eb="2">
      <t>サイショ</t>
    </rPh>
    <rPh sb="3" eb="5">
      <t>ノウヒン</t>
    </rPh>
    <rPh sb="9" eb="12">
      <t>ガツイナイ</t>
    </rPh>
    <rPh sb="13" eb="15">
      <t>ゼンリョウ</t>
    </rPh>
    <rPh sb="15" eb="17">
      <t>ノウヒン</t>
    </rPh>
    <phoneticPr fontId="4"/>
  </si>
  <si>
    <t>FL2507245</t>
    <phoneticPr fontId="4"/>
  </si>
  <si>
    <t>RSD-SUNMAX-FL-LCW-SE　1500w</t>
    <phoneticPr fontId="4"/>
  </si>
  <si>
    <t>SEは、ガス圧検知センサー、パトライト　無し</t>
    <rPh sb="20" eb="21">
      <t>ナ</t>
    </rPh>
    <phoneticPr fontId="4"/>
  </si>
  <si>
    <t>洗浄用レンズ無し</t>
    <rPh sb="0" eb="3">
      <t>センジョウヨウ</t>
    </rPh>
    <rPh sb="6" eb="7">
      <t>ナ</t>
    </rPh>
    <phoneticPr fontId="4"/>
  </si>
  <si>
    <t>〒063-0849　北海道札幌市西区八軒9条西11-2-22</t>
    <rPh sb="10" eb="23">
      <t>063-0849</t>
    </rPh>
    <phoneticPr fontId="4"/>
  </si>
  <si>
    <t>サンワ機器販売株式会社</t>
    <rPh sb="3" eb="5">
      <t>キキ</t>
    </rPh>
    <rPh sb="5" eb="7">
      <t>ハンバイ</t>
    </rPh>
    <rPh sb="7" eb="11">
      <t>カブシキガイシャ</t>
    </rPh>
    <phoneticPr fontId="4"/>
  </si>
  <si>
    <t>定価208万円</t>
    <rPh sb="0" eb="2">
      <t>テイカ</t>
    </rPh>
    <rPh sb="5" eb="6">
      <t>マン</t>
    </rPh>
    <rPh sb="9" eb="10">
      <t>エン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</si>
</sst>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4"/>
      <color theme="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176" fontId="29" fillId="0" borderId="0" xfId="0" applyNumberFormat="1" applyFont="1" applyAlignment="1">
      <alignment horizontal="right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11" fillId="0" borderId="0" xfId="1" applyFont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9" fillId="0" borderId="9" xfId="0" applyNumberFormat="1" applyFont="1" applyBorder="1" applyAlignment="1">
      <alignment horizontal="right" vertical="center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30" fillId="0" borderId="20" xfId="0" applyNumberFormat="1" applyFont="1" applyBorder="1" applyAlignment="1">
      <alignment horizontal="right" vertical="center"/>
    </xf>
    <xf numFmtId="178" fontId="30" fillId="0" borderId="21" xfId="0" applyNumberFormat="1" applyFont="1" applyBorder="1" applyAlignment="1">
      <alignment horizontal="right" vertical="center"/>
    </xf>
    <xf numFmtId="178" fontId="30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31" fillId="0" borderId="7" xfId="0" applyNumberFormat="1" applyFont="1" applyBorder="1" applyAlignment="1">
      <alignment horizontal="right" vertical="center"/>
    </xf>
    <xf numFmtId="176" fontId="31" fillId="0" borderId="8" xfId="0" applyNumberFormat="1" applyFont="1" applyBorder="1" applyAlignment="1">
      <alignment horizontal="right" vertical="center"/>
    </xf>
    <xf numFmtId="176" fontId="31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31" fillId="0" borderId="7" xfId="0" applyNumberFormat="1" applyFont="1" applyBorder="1" applyAlignment="1">
      <alignment horizontal="right" vertical="center"/>
    </xf>
    <xf numFmtId="181" fontId="31" fillId="0" borderId="8" xfId="0" applyNumberFormat="1" applyFont="1" applyBorder="1" applyAlignment="1">
      <alignment horizontal="right" vertical="center"/>
    </xf>
    <xf numFmtId="181" fontId="31" fillId="0" borderId="9" xfId="0" applyNumberFormat="1" applyFont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ctrlProps/ctrlProp179.xml><?xml version="1.0" encoding="utf-8"?>
<formControlPr xmlns="http://schemas.microsoft.com/office/spreadsheetml/2009/9/main" objectType="Button" lockText="1"/>
</file>

<file path=xl/ctrlProps/ctrlProp180.xml><?xml version="1.0" encoding="utf-8"?>
<formControlPr xmlns="http://schemas.microsoft.com/office/spreadsheetml/2009/9/main" objectType="Button" lockText="1"/>
</file>

<file path=xl/ctrlProps/ctrlProp181.xml><?xml version="1.0" encoding="utf-8"?>
<formControlPr xmlns="http://schemas.microsoft.com/office/spreadsheetml/2009/9/main" objectType="Button" lockText="1"/>
</file>

<file path=xl/ctrlProps/ctrlProp182.xml><?xml version="1.0" encoding="utf-8"?>
<formControlPr xmlns="http://schemas.microsoft.com/office/spreadsheetml/2009/9/main" objectType="Button" lockText="1"/>
</file>

<file path=xl/ctrlProps/ctrlProp183.xml><?xml version="1.0" encoding="utf-8"?>
<formControlPr xmlns="http://schemas.microsoft.com/office/spreadsheetml/2009/9/main" objectType="Button" lockText="1"/>
</file>

<file path=xl/ctrlProps/ctrlProp184.xml><?xml version="1.0" encoding="utf-8"?>
<formControlPr xmlns="http://schemas.microsoft.com/office/spreadsheetml/2009/9/main" objectType="Button" lockText="1"/>
</file>

<file path=xl/ctrlProps/ctrlProp185.xml><?xml version="1.0" encoding="utf-8"?>
<formControlPr xmlns="http://schemas.microsoft.com/office/spreadsheetml/2009/9/main" objectType="Button" lockText="1"/>
</file>

<file path=xl/ctrlProps/ctrlProp186.xml><?xml version="1.0" encoding="utf-8"?>
<formControlPr xmlns="http://schemas.microsoft.com/office/spreadsheetml/2009/9/main" objectType="Button" lockText="1"/>
</file>

<file path=xl/ctrlProps/ctrlProp187.xml><?xml version="1.0" encoding="utf-8"?>
<formControlPr xmlns="http://schemas.microsoft.com/office/spreadsheetml/2009/9/main" objectType="Button" lockText="1"/>
</file>

<file path=xl/ctrlProps/ctrlProp188.xml><?xml version="1.0" encoding="utf-8"?>
<formControlPr xmlns="http://schemas.microsoft.com/office/spreadsheetml/2009/9/main" objectType="Button" lockText="1"/>
</file>

<file path=xl/ctrlProps/ctrlProp189.xml><?xml version="1.0" encoding="utf-8"?>
<formControlPr xmlns="http://schemas.microsoft.com/office/spreadsheetml/2009/9/main" objectType="Button" lockText="1"/>
</file>

<file path=xl/ctrlProps/ctrlProp190.xml><?xml version="1.0" encoding="utf-8"?>
<formControlPr xmlns="http://schemas.microsoft.com/office/spreadsheetml/2009/9/main" objectType="Button" lockText="1"/>
</file>

<file path=xl/ctrlProps/ctrlProp191.xml><?xml version="1.0" encoding="utf-8"?>
<formControlPr xmlns="http://schemas.microsoft.com/office/spreadsheetml/2009/9/main" objectType="Button" lockText="1"/>
</file>

<file path=xl/ctrlProps/ctrlProp192.xml><?xml version="1.0" encoding="utf-8"?>
<formControlPr xmlns="http://schemas.microsoft.com/office/spreadsheetml/2009/9/main" objectType="Button" lockText="1"/>
</file>

<file path=xl/ctrlProps/ctrlProp193.xml><?xml version="1.0" encoding="utf-8"?>
<formControlPr xmlns="http://schemas.microsoft.com/office/spreadsheetml/2009/9/main" objectType="Button" lockText="1"/>
</file>

<file path=xl/ctrlProps/ctrlProp194.xml><?xml version="1.0" encoding="utf-8"?>
<formControlPr xmlns="http://schemas.microsoft.com/office/spreadsheetml/2009/9/main" objectType="Button" lockText="1"/>
</file>

<file path=xl/ctrlProps/ctrlProp195.xml><?xml version="1.0" encoding="utf-8"?>
<formControlPr xmlns="http://schemas.microsoft.com/office/spreadsheetml/2009/9/main" objectType="Button" lockText="1"/>
</file>

<file path=xl/ctrlProps/ctrlProp196.xml><?xml version="1.0" encoding="utf-8"?>
<formControlPr xmlns="http://schemas.microsoft.com/office/spreadsheetml/2009/9/main" objectType="Button" lockText="1"/>
</file>

<file path=xl/ctrlProps/ctrlProp197.xml><?xml version="1.0" encoding="utf-8"?>
<formControlPr xmlns="http://schemas.microsoft.com/office/spreadsheetml/2009/9/main" objectType="Button" lockText="1"/>
</file>

<file path=xl/ctrlProps/ctrlProp198.xml><?xml version="1.0" encoding="utf-8"?>
<formControlPr xmlns="http://schemas.microsoft.com/office/spreadsheetml/2009/9/main" objectType="Button" lockText="1"/>
</file>

<file path=xl/ctrlProps/ctrlProp199.xml><?xml version="1.0" encoding="utf-8"?>
<formControlPr xmlns="http://schemas.microsoft.com/office/spreadsheetml/2009/9/main" objectType="Button" lockText="1"/>
</file>

<file path=xl/ctrlProps/ctrlProp200.xml><?xml version="1.0" encoding="utf-8"?>
<formControlPr xmlns="http://schemas.microsoft.com/office/spreadsheetml/2009/9/main" objectType="Button" lockText="1"/>
</file>

<file path=xl/ctrlProps/ctrlProp201.xml><?xml version="1.0" encoding="utf-8"?>
<formControlPr xmlns="http://schemas.microsoft.com/office/spreadsheetml/2009/9/main" objectType="Button" lockText="1"/>
</file>

<file path=xl/ctrlProps/ctrlProp202.xml><?xml version="1.0" encoding="utf-8"?>
<formControlPr xmlns="http://schemas.microsoft.com/office/spreadsheetml/2009/9/main" objectType="Button" lockText="1"/>
</file>

<file path=xl/ctrlProps/ctrlProp203.xml><?xml version="1.0" encoding="utf-8"?>
<formControlPr xmlns="http://schemas.microsoft.com/office/spreadsheetml/2009/9/main" objectType="Button" lockText="1"/>
</file>

<file path=xl/ctrlProps/ctrlProp204.xml><?xml version="1.0" encoding="utf-8"?>
<formControlPr xmlns="http://schemas.microsoft.com/office/spreadsheetml/2009/9/main" objectType="Button" lockText="1"/>
</file>

<file path=xl/ctrlProps/ctrlProp205.xml><?xml version="1.0" encoding="utf-8"?>
<formControlPr xmlns="http://schemas.microsoft.com/office/spreadsheetml/2009/9/main" objectType="Button" lockText="1"/>
</file>

<file path=xl/ctrlProps/ctrlProp206.xml><?xml version="1.0" encoding="utf-8"?>
<formControlPr xmlns="http://schemas.microsoft.com/office/spreadsheetml/2009/9/main" objectType="Button" lockText="1"/>
</file>

<file path=xl/ctrlProps/ctrlProp207.xml><?xml version="1.0" encoding="utf-8"?>
<formControlPr xmlns="http://schemas.microsoft.com/office/spreadsheetml/2009/9/main" objectType="Button" lockText="1"/>
</file>

<file path=xl/ctrlProps/ctrlProp208.xml><?xml version="1.0" encoding="utf-8"?>
<formControlPr xmlns="http://schemas.microsoft.com/office/spreadsheetml/2009/9/main" objectType="Button" lockText="1"/>
</file>

<file path=xl/ctrlProps/ctrlProp209.xml><?xml version="1.0" encoding="utf-8"?>
<formControlPr xmlns="http://schemas.microsoft.com/office/spreadsheetml/2009/9/main" objectType="Button" lockText="1"/>
</file>

<file path=xl/ctrlProps/ctrlProp210.xml><?xml version="1.0" encoding="utf-8"?>
<formControlPr xmlns="http://schemas.microsoft.com/office/spreadsheetml/2009/9/main" objectType="Button" lockText="1"/>
</file>

<file path=xl/ctrlProps/ctrlProp211.xml><?xml version="1.0" encoding="utf-8"?>
<formControlPr xmlns="http://schemas.microsoft.com/office/spreadsheetml/2009/9/main" objectType="Button" lockText="1"/>
</file>

<file path=xl/ctrlProps/ctrlProp212.xml><?xml version="1.0" encoding="utf-8"?>
<formControlPr xmlns="http://schemas.microsoft.com/office/spreadsheetml/2009/9/main" objectType="Button" lockText="1"/>
</file>

<file path=xl/ctrlProps/ctrlProp213.xml><?xml version="1.0" encoding="utf-8"?>
<formControlPr xmlns="http://schemas.microsoft.com/office/spreadsheetml/2009/9/main" objectType="Button" lockText="1"/>
</file>

<file path=xl/ctrlProps/ctrlProp214.xml><?xml version="1.0" encoding="utf-8"?>
<formControlPr xmlns="http://schemas.microsoft.com/office/spreadsheetml/2009/9/main" objectType="Button" lockText="1"/>
</file>

<file path=xl/ctrlProps/ctrlProp215.xml><?xml version="1.0" encoding="utf-8"?>
<formControlPr xmlns="http://schemas.microsoft.com/office/spreadsheetml/2009/9/main" objectType="Button" lockText="1"/>
</file>

<file path=xl/ctrlProps/ctrlProp216.xml><?xml version="1.0" encoding="utf-8"?>
<formControlPr xmlns="http://schemas.microsoft.com/office/spreadsheetml/2009/9/main" objectType="Button" lockText="1"/>
</file>

<file path=xl/ctrlProps/ctrlProp217.xml><?xml version="1.0" encoding="utf-8"?>
<formControlPr xmlns="http://schemas.microsoft.com/office/spreadsheetml/2009/9/main" objectType="Button" lockText="1"/>
</file>

<file path=xl/ctrlProps/ctrlProp218.xml><?xml version="1.0" encoding="utf-8"?>
<formControlPr xmlns="http://schemas.microsoft.com/office/spreadsheetml/2009/9/main" objectType="Button" lockText="1"/>
</file>

<file path=xl/ctrlProps/ctrlProp219.xml><?xml version="1.0" encoding="utf-8"?>
<formControlPr xmlns="http://schemas.microsoft.com/office/spreadsheetml/2009/9/main" objectType="Button" lockText="1"/>
</file>

<file path=xl/ctrlProps/ctrlProp220.xml><?xml version="1.0" encoding="utf-8"?>
<formControlPr xmlns="http://schemas.microsoft.com/office/spreadsheetml/2009/9/main" objectType="Button" lockText="1"/>
</file>

<file path=xl/ctrlProps/ctrlProp221.xml><?xml version="1.0" encoding="utf-8"?>
<formControlPr xmlns="http://schemas.microsoft.com/office/spreadsheetml/2009/9/main" objectType="Button" lockText="1"/>
</file>

<file path=xl/ctrlProps/ctrlProp222.xml><?xml version="1.0" encoding="utf-8"?>
<formControlPr xmlns="http://schemas.microsoft.com/office/spreadsheetml/2009/9/main" objectType="Button" lockText="1"/>
</file>

<file path=xl/ctrlProps/ctrlProp223.xml><?xml version="1.0" encoding="utf-8"?>
<formControlPr xmlns="http://schemas.microsoft.com/office/spreadsheetml/2009/9/main" objectType="Button" lockText="1"/>
</file>

<file path=xl/ctrlProps/ctrlProp22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29</xdr:col>
      <xdr:colOff>47625</xdr:colOff>
      <xdr:row>8</xdr:row>
      <xdr:rowOff>9525</xdr:rowOff>
    </xdr:from>
    <xdr:to>
      <xdr:col>45</xdr:col>
      <xdr:colOff>19050</xdr:colOff>
      <xdr:row>9</xdr:row>
      <xdr:rowOff>0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5038725" y="2076450"/>
          <a:ext cx="25717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8193" name="表示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2675EAF1-D406-4252-9A13-6A95F62098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8194" name="表示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BD64502A-CF8A-48DF-9B3B-76FA2C0CCE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8195" name="呼出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FAD3CA3-D402-4F18-975A-77DB873590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8196" name="保存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ADC0FF2F-7D49-4144-97E1-4377E4A751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8197" name="終了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2C2FBF27-6824-479A-AB1D-3E07118C5B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8198" name="印刷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5EDB2354-A72D-4343-AAE4-65C5910375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8199" name="入力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C265FE62-DED0-4D0C-AD03-C8E1D761FD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8200" name="削除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45CAEB70-FBC1-40B9-9F02-297EE12F2A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8201" name="合計無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17526FB-E170-4D9C-BDE7-B8D80FA24C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8202" name="ヘルプ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31293599-6941-4B8B-8E9D-9ED93836A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8203" name="税無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263F00E-184A-4E68-80F8-BE0CD92919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8204" name="画像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52812DEE-6AF5-47EB-8256-0C3ECD5029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8205" name="画像PW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64932373-59D0-4726-8A4B-0F3BA16F7F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8206" name="明細入力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8A3D0992-8529-4C13-98A8-297AB420EB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8207" name="明細書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A7E05C0F-A236-4134-8F4F-D4D1980A8F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29</xdr:col>
      <xdr:colOff>47625</xdr:colOff>
      <xdr:row>8</xdr:row>
      <xdr:rowOff>9525</xdr:rowOff>
    </xdr:from>
    <xdr:to>
      <xdr:col>45</xdr:col>
      <xdr:colOff>19050</xdr:colOff>
      <xdr:row>9</xdr:row>
      <xdr:rowOff>0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5AC9598E-4B87-46C6-83FD-561E79E33545}"/>
            </a:ext>
          </a:extLst>
        </xdr:cNvPr>
        <xdr:cNvSpPr>
          <a:spLocks noChangeArrowheads="1"/>
        </xdr:cNvSpPr>
      </xdr:nvSpPr>
      <xdr:spPr bwMode="auto">
        <a:xfrm>
          <a:off x="5038725" y="2076450"/>
          <a:ext cx="25717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E05AA631-C191-499D-9B02-F4C00C0764B6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C0FC9519-B255-4A24-B23C-F0C4DC9C34EE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E574E6BA-9228-4D0C-934B-8EE446C454BF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8208" name="客呼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AEA3B9BF-3D5B-4BB5-A71B-2CA955CCB3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8209" name="Button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F4A6062-C7AA-4FCF-8103-03E5CB7AB1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8210" name="担当呼出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D331176B-8B17-4A48-B430-7738DC1488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8211" name="品名呼出01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EF4DAD4-59A5-404A-B674-14059220A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8212" name="品名呼出02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5B68DC19-772B-45B5-B0D8-A68E31A4EF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8213" name="品名呼出03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1B1C2431-98D1-48B3-8378-5B0F7BABA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8214" name="品名呼出04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C706D651-045D-4E56-B98A-51FB091A6C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8215" name="品名呼出05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BE77FE15-1988-46BF-8491-047B835A59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8216" name="品名呼出06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A8234113-9C89-4D6E-9DB6-BB6804014D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8217" name="品名呼出07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C8B8FD03-A4C7-496F-8F17-DEF76A486E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8218" name="品名呼出08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7853A6C1-793C-4388-AB3A-E8E56E3CBE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8219" name="品名呼出09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31E8EEA6-9C8B-40FC-87E7-5A0E2F8BCF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8220" name="品名呼出10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887786BB-494B-403C-96BA-7C2BEA644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8221" name="品名呼出11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7BBE52BE-20D0-440E-BEF0-131A246364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8222" name="品名呼出12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9A54A0E9-8DC0-4B08-B1E7-B36193ECD5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8223" name="更新" hidden="1">
              <a:extLst>
                <a:ext uri="{63B3BB69-23CF-44E3-9099-C40C66FF867C}">
                  <a14:compatExt spid="_x0000_s8223"/>
                </a:ext>
                <a:ext uri="{FF2B5EF4-FFF2-40B4-BE49-F238E27FC236}">
                  <a16:creationId xmlns:a16="http://schemas.microsoft.com/office/drawing/2014/main" id="{F0B0190E-6FA2-4DAC-957F-84300B3DBB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8224" name="プレビュー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ACE34FEB-F971-4602-AA94-7FEEEAFEFF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8225" name="環境設定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4454DDE0-B286-4777-8563-F556E43726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8226" name="詳細無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672180A8-8107-49E1-AB5F-2E855A0EE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8227" name="電卓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C008E86D-A27D-4F6D-B487-65116B044C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8228" name="データ更新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518D7B2B-03C5-49EC-960F-846B5A908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8229" name="並替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F1BAA3C1-D460-4CDF-B04A-3B11204856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8230" name="戻る2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6C421A83-0598-4BE7-B2BC-18D875DECD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8231" name="環境設定2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D09D57F9-F278-447F-A6BB-90E3A9BE9C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8232" name="再選択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8282FA53-C5E0-4D01-9A5F-0364651AB1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8233" name="ﾃﾞｰﾀ処理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FF9981BA-47C2-4E01-9B7E-C5EB5303D7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8234" name="Button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1C3A1A81-49FD-49AC-97FE-BB328C477D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8235" name="参照1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3974B7AF-B77A-4D9D-9749-47DBEA480F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8236" name="参照2" hidden="1">
              <a:extLst>
                <a:ext uri="{63B3BB69-23CF-44E3-9099-C40C66FF867C}">
                  <a14:compatExt spid="_x0000_s8236"/>
                </a:ext>
                <a:ext uri="{FF2B5EF4-FFF2-40B4-BE49-F238E27FC236}">
                  <a16:creationId xmlns:a16="http://schemas.microsoft.com/office/drawing/2014/main" id="{3890BF7C-1E11-49C6-B711-9C83E3B7A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8237" name="Button 45" hidden="1">
              <a:extLst>
                <a:ext uri="{63B3BB69-23CF-44E3-9099-C40C66FF867C}">
                  <a14:compatExt spid="_x0000_s8237"/>
                </a:ext>
                <a:ext uri="{FF2B5EF4-FFF2-40B4-BE49-F238E27FC236}">
                  <a16:creationId xmlns:a16="http://schemas.microsoft.com/office/drawing/2014/main" id="{EE140E8B-EC58-435F-B6C1-89F9B071EE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8238" name="Button 46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16DA4F42-A120-48ED-A07E-D54B403B8D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FAF3D1AD-733D-4323-AB64-8094ABBA275B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DC1B80DC-E583-41EE-92E0-A3EDAE9F9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66E37AE8-CD6E-4E3E-91A8-2B3983956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1A8CB54-729E-4B60-BC97-07D4BE2A4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743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1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1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1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1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1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1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1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1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1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1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1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1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1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1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1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1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1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1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1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2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2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2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2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2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2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2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2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2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2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2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2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2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2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2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2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2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2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2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2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2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2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2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2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2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2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2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2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2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2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3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3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3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3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3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3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3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3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3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3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3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3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3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3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3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3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3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3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3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3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3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3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3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3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3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3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3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3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3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3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3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3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4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4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4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4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4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4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4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4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4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4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4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4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4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4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4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4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4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4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4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4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4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4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4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4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4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4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4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4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4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4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4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9" Type="http://schemas.openxmlformats.org/officeDocument/2006/relationships/ctrlProp" Target="../ctrlProps/ctrlProp82.x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42" Type="http://schemas.openxmlformats.org/officeDocument/2006/relationships/ctrlProp" Target="../ctrlProps/ctrlProp85.xml"/><Relationship Id="rId47" Type="http://schemas.openxmlformats.org/officeDocument/2006/relationships/ctrlProp" Target="../ctrlProps/ctrlProp90.xml"/><Relationship Id="rId7" Type="http://schemas.openxmlformats.org/officeDocument/2006/relationships/ctrlProp" Target="../ctrlProps/ctrlProp5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9" Type="http://schemas.openxmlformats.org/officeDocument/2006/relationships/ctrlProp" Target="../ctrlProps/ctrlProp72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37" Type="http://schemas.openxmlformats.org/officeDocument/2006/relationships/ctrlProp" Target="../ctrlProps/ctrlProp80.xml"/><Relationship Id="rId40" Type="http://schemas.openxmlformats.org/officeDocument/2006/relationships/ctrlProp" Target="../ctrlProps/ctrlProp83.xml"/><Relationship Id="rId45" Type="http://schemas.openxmlformats.org/officeDocument/2006/relationships/ctrlProp" Target="../ctrlProps/ctrlProp88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49" Type="http://schemas.openxmlformats.org/officeDocument/2006/relationships/ctrlProp" Target="../ctrlProps/ctrlProp92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4" Type="http://schemas.openxmlformats.org/officeDocument/2006/relationships/ctrlProp" Target="../ctrlProps/ctrlProp87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43" Type="http://schemas.openxmlformats.org/officeDocument/2006/relationships/ctrlProp" Target="../ctrlProps/ctrlProp86.xml"/><Relationship Id="rId48" Type="http://schemas.openxmlformats.org/officeDocument/2006/relationships/ctrlProp" Target="../ctrlProps/ctrlProp91.xml"/><Relationship Id="rId8" Type="http://schemas.openxmlformats.org/officeDocument/2006/relationships/ctrlProp" Target="../ctrlProps/ctrlProp51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38" Type="http://schemas.openxmlformats.org/officeDocument/2006/relationships/ctrlProp" Target="../ctrlProps/ctrlProp81.xml"/><Relationship Id="rId46" Type="http://schemas.openxmlformats.org/officeDocument/2006/relationships/ctrlProp" Target="../ctrlProps/ctrlProp89.xml"/><Relationship Id="rId20" Type="http://schemas.openxmlformats.org/officeDocument/2006/relationships/ctrlProp" Target="../ctrlProps/ctrlProp63.xml"/><Relationship Id="rId41" Type="http://schemas.openxmlformats.org/officeDocument/2006/relationships/ctrlProp" Target="../ctrlProps/ctrlProp8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2.xml"/><Relationship Id="rId18" Type="http://schemas.openxmlformats.org/officeDocument/2006/relationships/ctrlProp" Target="../ctrlProps/ctrlProp107.xml"/><Relationship Id="rId26" Type="http://schemas.openxmlformats.org/officeDocument/2006/relationships/ctrlProp" Target="../ctrlProps/ctrlProp11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110.xml"/><Relationship Id="rId34" Type="http://schemas.openxmlformats.org/officeDocument/2006/relationships/ctrlProp" Target="../ctrlProps/ctrlProp123.xml"/><Relationship Id="rId7" Type="http://schemas.openxmlformats.org/officeDocument/2006/relationships/ctrlProp" Target="../ctrlProps/ctrlProp96.xml"/><Relationship Id="rId12" Type="http://schemas.openxmlformats.org/officeDocument/2006/relationships/ctrlProp" Target="../ctrlProps/ctrlProp101.xml"/><Relationship Id="rId17" Type="http://schemas.openxmlformats.org/officeDocument/2006/relationships/ctrlProp" Target="../ctrlProps/ctrlProp106.xml"/><Relationship Id="rId25" Type="http://schemas.openxmlformats.org/officeDocument/2006/relationships/ctrlProp" Target="../ctrlProps/ctrlProp114.xml"/><Relationship Id="rId33" Type="http://schemas.openxmlformats.org/officeDocument/2006/relationships/ctrlProp" Target="../ctrlProps/ctrlProp122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05.xml"/><Relationship Id="rId20" Type="http://schemas.openxmlformats.org/officeDocument/2006/relationships/ctrlProp" Target="../ctrlProps/ctrlProp109.xml"/><Relationship Id="rId29" Type="http://schemas.openxmlformats.org/officeDocument/2006/relationships/ctrlProp" Target="../ctrlProps/ctrlProp11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5.xml"/><Relationship Id="rId11" Type="http://schemas.openxmlformats.org/officeDocument/2006/relationships/ctrlProp" Target="../ctrlProps/ctrlProp100.xml"/><Relationship Id="rId24" Type="http://schemas.openxmlformats.org/officeDocument/2006/relationships/ctrlProp" Target="../ctrlProps/ctrlProp113.xml"/><Relationship Id="rId32" Type="http://schemas.openxmlformats.org/officeDocument/2006/relationships/ctrlProp" Target="../ctrlProps/ctrlProp121.xml"/><Relationship Id="rId5" Type="http://schemas.openxmlformats.org/officeDocument/2006/relationships/ctrlProp" Target="../ctrlProps/ctrlProp94.xml"/><Relationship Id="rId15" Type="http://schemas.openxmlformats.org/officeDocument/2006/relationships/ctrlProp" Target="../ctrlProps/ctrlProp104.xml"/><Relationship Id="rId23" Type="http://schemas.openxmlformats.org/officeDocument/2006/relationships/ctrlProp" Target="../ctrlProps/ctrlProp112.xml"/><Relationship Id="rId28" Type="http://schemas.openxmlformats.org/officeDocument/2006/relationships/ctrlProp" Target="../ctrlProps/ctrlProp117.xml"/><Relationship Id="rId36" Type="http://schemas.openxmlformats.org/officeDocument/2006/relationships/ctrlProp" Target="../ctrlProps/ctrlProp125.xml"/><Relationship Id="rId10" Type="http://schemas.openxmlformats.org/officeDocument/2006/relationships/ctrlProp" Target="../ctrlProps/ctrlProp99.xml"/><Relationship Id="rId19" Type="http://schemas.openxmlformats.org/officeDocument/2006/relationships/ctrlProp" Target="../ctrlProps/ctrlProp108.xml"/><Relationship Id="rId31" Type="http://schemas.openxmlformats.org/officeDocument/2006/relationships/ctrlProp" Target="../ctrlProps/ctrlProp120.xml"/><Relationship Id="rId4" Type="http://schemas.openxmlformats.org/officeDocument/2006/relationships/ctrlProp" Target="../ctrlProps/ctrlProp93.xml"/><Relationship Id="rId9" Type="http://schemas.openxmlformats.org/officeDocument/2006/relationships/ctrlProp" Target="../ctrlProps/ctrlProp98.xml"/><Relationship Id="rId14" Type="http://schemas.openxmlformats.org/officeDocument/2006/relationships/ctrlProp" Target="../ctrlProps/ctrlProp103.xml"/><Relationship Id="rId22" Type="http://schemas.openxmlformats.org/officeDocument/2006/relationships/ctrlProp" Target="../ctrlProps/ctrlProp111.xml"/><Relationship Id="rId27" Type="http://schemas.openxmlformats.org/officeDocument/2006/relationships/ctrlProp" Target="../ctrlProps/ctrlProp116.xml"/><Relationship Id="rId30" Type="http://schemas.openxmlformats.org/officeDocument/2006/relationships/ctrlProp" Target="../ctrlProps/ctrlProp119.xml"/><Relationship Id="rId35" Type="http://schemas.openxmlformats.org/officeDocument/2006/relationships/ctrlProp" Target="../ctrlProps/ctrlProp124.xml"/><Relationship Id="rId8" Type="http://schemas.openxmlformats.org/officeDocument/2006/relationships/ctrlProp" Target="../ctrlProps/ctrlProp97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35.xml"/><Relationship Id="rId18" Type="http://schemas.openxmlformats.org/officeDocument/2006/relationships/ctrlProp" Target="../ctrlProps/ctrlProp140.xml"/><Relationship Id="rId26" Type="http://schemas.openxmlformats.org/officeDocument/2006/relationships/ctrlProp" Target="../ctrlProps/ctrlProp148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43.xml"/><Relationship Id="rId34" Type="http://schemas.openxmlformats.org/officeDocument/2006/relationships/ctrlProp" Target="../ctrlProps/ctrlProp156.xml"/><Relationship Id="rId7" Type="http://schemas.openxmlformats.org/officeDocument/2006/relationships/ctrlProp" Target="../ctrlProps/ctrlProp129.xml"/><Relationship Id="rId12" Type="http://schemas.openxmlformats.org/officeDocument/2006/relationships/ctrlProp" Target="../ctrlProps/ctrlProp134.xml"/><Relationship Id="rId17" Type="http://schemas.openxmlformats.org/officeDocument/2006/relationships/ctrlProp" Target="../ctrlProps/ctrlProp139.xml"/><Relationship Id="rId25" Type="http://schemas.openxmlformats.org/officeDocument/2006/relationships/ctrlProp" Target="../ctrlProps/ctrlProp147.xml"/><Relationship Id="rId33" Type="http://schemas.openxmlformats.org/officeDocument/2006/relationships/ctrlProp" Target="../ctrlProps/ctrlProp15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38.xml"/><Relationship Id="rId20" Type="http://schemas.openxmlformats.org/officeDocument/2006/relationships/ctrlProp" Target="../ctrlProps/ctrlProp142.xml"/><Relationship Id="rId29" Type="http://schemas.openxmlformats.org/officeDocument/2006/relationships/ctrlProp" Target="../ctrlProps/ctrlProp15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8.xml"/><Relationship Id="rId11" Type="http://schemas.openxmlformats.org/officeDocument/2006/relationships/ctrlProp" Target="../ctrlProps/ctrlProp133.xml"/><Relationship Id="rId24" Type="http://schemas.openxmlformats.org/officeDocument/2006/relationships/ctrlProp" Target="../ctrlProps/ctrlProp146.xml"/><Relationship Id="rId32" Type="http://schemas.openxmlformats.org/officeDocument/2006/relationships/ctrlProp" Target="../ctrlProps/ctrlProp154.xml"/><Relationship Id="rId5" Type="http://schemas.openxmlformats.org/officeDocument/2006/relationships/ctrlProp" Target="../ctrlProps/ctrlProp127.xml"/><Relationship Id="rId15" Type="http://schemas.openxmlformats.org/officeDocument/2006/relationships/ctrlProp" Target="../ctrlProps/ctrlProp137.xml"/><Relationship Id="rId23" Type="http://schemas.openxmlformats.org/officeDocument/2006/relationships/ctrlProp" Target="../ctrlProps/ctrlProp145.xml"/><Relationship Id="rId28" Type="http://schemas.openxmlformats.org/officeDocument/2006/relationships/ctrlProp" Target="../ctrlProps/ctrlProp150.xml"/><Relationship Id="rId36" Type="http://schemas.openxmlformats.org/officeDocument/2006/relationships/ctrlProp" Target="../ctrlProps/ctrlProp158.xml"/><Relationship Id="rId10" Type="http://schemas.openxmlformats.org/officeDocument/2006/relationships/ctrlProp" Target="../ctrlProps/ctrlProp132.xml"/><Relationship Id="rId19" Type="http://schemas.openxmlformats.org/officeDocument/2006/relationships/ctrlProp" Target="../ctrlProps/ctrlProp141.xml"/><Relationship Id="rId31" Type="http://schemas.openxmlformats.org/officeDocument/2006/relationships/ctrlProp" Target="../ctrlProps/ctrlProp153.xml"/><Relationship Id="rId4" Type="http://schemas.openxmlformats.org/officeDocument/2006/relationships/ctrlProp" Target="../ctrlProps/ctrlProp126.xml"/><Relationship Id="rId9" Type="http://schemas.openxmlformats.org/officeDocument/2006/relationships/ctrlProp" Target="../ctrlProps/ctrlProp131.xml"/><Relationship Id="rId14" Type="http://schemas.openxmlformats.org/officeDocument/2006/relationships/ctrlProp" Target="../ctrlProps/ctrlProp136.xml"/><Relationship Id="rId22" Type="http://schemas.openxmlformats.org/officeDocument/2006/relationships/ctrlProp" Target="../ctrlProps/ctrlProp144.xml"/><Relationship Id="rId27" Type="http://schemas.openxmlformats.org/officeDocument/2006/relationships/ctrlProp" Target="../ctrlProps/ctrlProp149.xml"/><Relationship Id="rId30" Type="http://schemas.openxmlformats.org/officeDocument/2006/relationships/ctrlProp" Target="../ctrlProps/ctrlProp152.xml"/><Relationship Id="rId35" Type="http://schemas.openxmlformats.org/officeDocument/2006/relationships/ctrlProp" Target="../ctrlProps/ctrlProp157.xml"/><Relationship Id="rId8" Type="http://schemas.openxmlformats.org/officeDocument/2006/relationships/ctrlProp" Target="../ctrlProps/ctrlProp130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68.xml"/><Relationship Id="rId18" Type="http://schemas.openxmlformats.org/officeDocument/2006/relationships/ctrlProp" Target="../ctrlProps/ctrlProp173.xml"/><Relationship Id="rId26" Type="http://schemas.openxmlformats.org/officeDocument/2006/relationships/ctrlProp" Target="../ctrlProps/ctrlProp181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76.xml"/><Relationship Id="rId34" Type="http://schemas.openxmlformats.org/officeDocument/2006/relationships/ctrlProp" Target="../ctrlProps/ctrlProp189.xml"/><Relationship Id="rId7" Type="http://schemas.openxmlformats.org/officeDocument/2006/relationships/ctrlProp" Target="../ctrlProps/ctrlProp162.xml"/><Relationship Id="rId12" Type="http://schemas.openxmlformats.org/officeDocument/2006/relationships/ctrlProp" Target="../ctrlProps/ctrlProp167.xml"/><Relationship Id="rId17" Type="http://schemas.openxmlformats.org/officeDocument/2006/relationships/ctrlProp" Target="../ctrlProps/ctrlProp172.xml"/><Relationship Id="rId25" Type="http://schemas.openxmlformats.org/officeDocument/2006/relationships/ctrlProp" Target="../ctrlProps/ctrlProp180.xml"/><Relationship Id="rId33" Type="http://schemas.openxmlformats.org/officeDocument/2006/relationships/ctrlProp" Target="../ctrlProps/ctrlProp188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71.xml"/><Relationship Id="rId20" Type="http://schemas.openxmlformats.org/officeDocument/2006/relationships/ctrlProp" Target="../ctrlProps/ctrlProp175.xml"/><Relationship Id="rId29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61.xml"/><Relationship Id="rId11" Type="http://schemas.openxmlformats.org/officeDocument/2006/relationships/ctrlProp" Target="../ctrlProps/ctrlProp166.xml"/><Relationship Id="rId24" Type="http://schemas.openxmlformats.org/officeDocument/2006/relationships/ctrlProp" Target="../ctrlProps/ctrlProp179.xml"/><Relationship Id="rId32" Type="http://schemas.openxmlformats.org/officeDocument/2006/relationships/ctrlProp" Target="../ctrlProps/ctrlProp187.xml"/><Relationship Id="rId5" Type="http://schemas.openxmlformats.org/officeDocument/2006/relationships/ctrlProp" Target="../ctrlProps/ctrlProp160.xml"/><Relationship Id="rId15" Type="http://schemas.openxmlformats.org/officeDocument/2006/relationships/ctrlProp" Target="../ctrlProps/ctrlProp170.xml"/><Relationship Id="rId23" Type="http://schemas.openxmlformats.org/officeDocument/2006/relationships/ctrlProp" Target="../ctrlProps/ctrlProp178.xml"/><Relationship Id="rId28" Type="http://schemas.openxmlformats.org/officeDocument/2006/relationships/ctrlProp" Target="../ctrlProps/ctrlProp183.xml"/><Relationship Id="rId36" Type="http://schemas.openxmlformats.org/officeDocument/2006/relationships/ctrlProp" Target="../ctrlProps/ctrlProp191.xml"/><Relationship Id="rId10" Type="http://schemas.openxmlformats.org/officeDocument/2006/relationships/ctrlProp" Target="../ctrlProps/ctrlProp165.xml"/><Relationship Id="rId19" Type="http://schemas.openxmlformats.org/officeDocument/2006/relationships/ctrlProp" Target="../ctrlProps/ctrlProp174.xml"/><Relationship Id="rId31" Type="http://schemas.openxmlformats.org/officeDocument/2006/relationships/ctrlProp" Target="../ctrlProps/ctrlProp186.xml"/><Relationship Id="rId4" Type="http://schemas.openxmlformats.org/officeDocument/2006/relationships/ctrlProp" Target="../ctrlProps/ctrlProp159.xml"/><Relationship Id="rId9" Type="http://schemas.openxmlformats.org/officeDocument/2006/relationships/ctrlProp" Target="../ctrlProps/ctrlProp164.xml"/><Relationship Id="rId14" Type="http://schemas.openxmlformats.org/officeDocument/2006/relationships/ctrlProp" Target="../ctrlProps/ctrlProp169.xml"/><Relationship Id="rId22" Type="http://schemas.openxmlformats.org/officeDocument/2006/relationships/ctrlProp" Target="../ctrlProps/ctrlProp177.xml"/><Relationship Id="rId27" Type="http://schemas.openxmlformats.org/officeDocument/2006/relationships/ctrlProp" Target="../ctrlProps/ctrlProp182.xml"/><Relationship Id="rId30" Type="http://schemas.openxmlformats.org/officeDocument/2006/relationships/ctrlProp" Target="../ctrlProps/ctrlProp185.xml"/><Relationship Id="rId35" Type="http://schemas.openxmlformats.org/officeDocument/2006/relationships/ctrlProp" Target="../ctrlProps/ctrlProp190.xml"/><Relationship Id="rId8" Type="http://schemas.openxmlformats.org/officeDocument/2006/relationships/ctrlProp" Target="../ctrlProps/ctrlProp163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01.xml"/><Relationship Id="rId18" Type="http://schemas.openxmlformats.org/officeDocument/2006/relationships/ctrlProp" Target="../ctrlProps/ctrlProp206.xml"/><Relationship Id="rId26" Type="http://schemas.openxmlformats.org/officeDocument/2006/relationships/ctrlProp" Target="../ctrlProps/ctrlProp214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209.xml"/><Relationship Id="rId34" Type="http://schemas.openxmlformats.org/officeDocument/2006/relationships/ctrlProp" Target="../ctrlProps/ctrlProp222.xml"/><Relationship Id="rId7" Type="http://schemas.openxmlformats.org/officeDocument/2006/relationships/ctrlProp" Target="../ctrlProps/ctrlProp195.xml"/><Relationship Id="rId12" Type="http://schemas.openxmlformats.org/officeDocument/2006/relationships/ctrlProp" Target="../ctrlProps/ctrlProp200.xml"/><Relationship Id="rId17" Type="http://schemas.openxmlformats.org/officeDocument/2006/relationships/ctrlProp" Target="../ctrlProps/ctrlProp205.xml"/><Relationship Id="rId25" Type="http://schemas.openxmlformats.org/officeDocument/2006/relationships/ctrlProp" Target="../ctrlProps/ctrlProp213.xml"/><Relationship Id="rId33" Type="http://schemas.openxmlformats.org/officeDocument/2006/relationships/ctrlProp" Target="../ctrlProps/ctrlProp221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204.xml"/><Relationship Id="rId20" Type="http://schemas.openxmlformats.org/officeDocument/2006/relationships/ctrlProp" Target="../ctrlProps/ctrlProp208.xml"/><Relationship Id="rId29" Type="http://schemas.openxmlformats.org/officeDocument/2006/relationships/ctrlProp" Target="../ctrlProps/ctrlProp217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94.xml"/><Relationship Id="rId11" Type="http://schemas.openxmlformats.org/officeDocument/2006/relationships/ctrlProp" Target="../ctrlProps/ctrlProp199.xml"/><Relationship Id="rId24" Type="http://schemas.openxmlformats.org/officeDocument/2006/relationships/ctrlProp" Target="../ctrlProps/ctrlProp212.xml"/><Relationship Id="rId32" Type="http://schemas.openxmlformats.org/officeDocument/2006/relationships/ctrlProp" Target="../ctrlProps/ctrlProp220.xml"/><Relationship Id="rId5" Type="http://schemas.openxmlformats.org/officeDocument/2006/relationships/ctrlProp" Target="../ctrlProps/ctrlProp193.xml"/><Relationship Id="rId15" Type="http://schemas.openxmlformats.org/officeDocument/2006/relationships/ctrlProp" Target="../ctrlProps/ctrlProp203.xml"/><Relationship Id="rId23" Type="http://schemas.openxmlformats.org/officeDocument/2006/relationships/ctrlProp" Target="../ctrlProps/ctrlProp211.xml"/><Relationship Id="rId28" Type="http://schemas.openxmlformats.org/officeDocument/2006/relationships/ctrlProp" Target="../ctrlProps/ctrlProp216.xml"/><Relationship Id="rId36" Type="http://schemas.openxmlformats.org/officeDocument/2006/relationships/ctrlProp" Target="../ctrlProps/ctrlProp224.xml"/><Relationship Id="rId10" Type="http://schemas.openxmlformats.org/officeDocument/2006/relationships/ctrlProp" Target="../ctrlProps/ctrlProp198.xml"/><Relationship Id="rId19" Type="http://schemas.openxmlformats.org/officeDocument/2006/relationships/ctrlProp" Target="../ctrlProps/ctrlProp207.xml"/><Relationship Id="rId31" Type="http://schemas.openxmlformats.org/officeDocument/2006/relationships/ctrlProp" Target="../ctrlProps/ctrlProp219.xml"/><Relationship Id="rId4" Type="http://schemas.openxmlformats.org/officeDocument/2006/relationships/ctrlProp" Target="../ctrlProps/ctrlProp192.xml"/><Relationship Id="rId9" Type="http://schemas.openxmlformats.org/officeDocument/2006/relationships/ctrlProp" Target="../ctrlProps/ctrlProp197.xml"/><Relationship Id="rId14" Type="http://schemas.openxmlformats.org/officeDocument/2006/relationships/ctrlProp" Target="../ctrlProps/ctrlProp202.xml"/><Relationship Id="rId22" Type="http://schemas.openxmlformats.org/officeDocument/2006/relationships/ctrlProp" Target="../ctrlProps/ctrlProp210.xml"/><Relationship Id="rId27" Type="http://schemas.openxmlformats.org/officeDocument/2006/relationships/ctrlProp" Target="../ctrlProps/ctrlProp215.xml"/><Relationship Id="rId30" Type="http://schemas.openxmlformats.org/officeDocument/2006/relationships/ctrlProp" Target="../ctrlProps/ctrlProp218.xml"/><Relationship Id="rId35" Type="http://schemas.openxmlformats.org/officeDocument/2006/relationships/ctrlProp" Target="../ctrlProps/ctrlProp223.xml"/><Relationship Id="rId8" Type="http://schemas.openxmlformats.org/officeDocument/2006/relationships/ctrlProp" Target="../ctrlProps/ctrlProp19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B32" sqref="B32:S32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4" t="s">
        <v>78</v>
      </c>
      <c r="N2" s="94"/>
      <c r="O2" s="94"/>
      <c r="P2" s="94"/>
      <c r="Q2" s="94"/>
      <c r="R2" s="94"/>
      <c r="W2" s="4"/>
      <c r="X2" s="4"/>
      <c r="Y2" s="4"/>
      <c r="Z2" s="4"/>
      <c r="AA2" s="120" t="s">
        <v>47</v>
      </c>
      <c r="AB2" s="120"/>
      <c r="AC2" s="120"/>
      <c r="AD2" s="120"/>
      <c r="AE2" s="120"/>
      <c r="AF2" s="120"/>
      <c r="AG2" s="120"/>
      <c r="AH2" s="120"/>
      <c r="AI2" s="120"/>
      <c r="AJ2" s="120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97"/>
      <c r="F3" s="97"/>
      <c r="G3" s="97"/>
      <c r="H3" s="97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L3" s="5" t="s">
        <v>0</v>
      </c>
      <c r="AM3" s="5"/>
      <c r="AN3" s="91" t="s">
        <v>130</v>
      </c>
      <c r="AO3" s="91"/>
      <c r="AP3" s="91"/>
      <c r="AQ3" s="91"/>
      <c r="AR3" s="91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95" t="s">
        <v>111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95" t="s">
        <v>113</v>
      </c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12" t="s">
        <v>112</v>
      </c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101</v>
      </c>
      <c r="AH6" s="12"/>
      <c r="AI6" s="116">
        <v>7</v>
      </c>
      <c r="AJ6" s="116"/>
      <c r="AK6" s="116"/>
      <c r="AL6" s="9" t="s">
        <v>1</v>
      </c>
      <c r="AM6" s="116">
        <v>7</v>
      </c>
      <c r="AN6" s="116"/>
      <c r="AO6" s="9" t="s">
        <v>2</v>
      </c>
      <c r="AP6" s="116">
        <v>24</v>
      </c>
      <c r="AQ6" s="116"/>
      <c r="AR6" s="31" t="s">
        <v>94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14" t="s">
        <v>110</v>
      </c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3" t="s">
        <v>55</v>
      </c>
      <c r="U7" s="113"/>
      <c r="V7" s="11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3"/>
      <c r="U8" s="113"/>
      <c r="V8" s="11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0" t="s">
        <v>114</v>
      </c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8" t="s">
        <v>115</v>
      </c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74"/>
      <c r="Z13" s="78"/>
      <c r="AA13" s="78"/>
      <c r="AB13" s="121" t="s">
        <v>57</v>
      </c>
      <c r="AC13" s="121"/>
      <c r="AD13" s="121"/>
      <c r="AE13" s="122" t="s">
        <v>81</v>
      </c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6</v>
      </c>
      <c r="E15" s="74"/>
      <c r="F15" s="74"/>
      <c r="G15" s="74"/>
      <c r="I15" s="81" t="s">
        <v>116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23" t="s">
        <v>58</v>
      </c>
      <c r="AC15" s="123"/>
      <c r="AD15" s="123"/>
      <c r="AE15" s="122" t="s">
        <v>82</v>
      </c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 t="s">
        <v>92</v>
      </c>
      <c r="F17" s="5"/>
      <c r="G17" s="5" t="s">
        <v>100</v>
      </c>
      <c r="H17" s="5"/>
      <c r="I17" s="5"/>
      <c r="J17" s="91" t="s">
        <v>96</v>
      </c>
      <c r="K17" s="91"/>
      <c r="L17" s="91"/>
      <c r="M17" s="5"/>
      <c r="N17" s="91" t="s">
        <v>95</v>
      </c>
      <c r="O17" s="91"/>
      <c r="P17" s="5"/>
      <c r="Q17" s="91"/>
      <c r="R17" s="91"/>
      <c r="S17" s="5"/>
      <c r="T17" s="5"/>
      <c r="U17" s="5"/>
      <c r="W17" s="78"/>
      <c r="X17" s="30"/>
      <c r="AB17" s="79" t="s">
        <v>7</v>
      </c>
      <c r="AC17" s="79"/>
      <c r="AD17" s="79"/>
      <c r="AE17" s="79"/>
      <c r="AF17" s="98" t="s">
        <v>97</v>
      </c>
      <c r="AG17" s="98"/>
      <c r="AH17" s="98"/>
      <c r="AI17" s="98"/>
      <c r="AJ17" s="98"/>
      <c r="AK17" s="98"/>
      <c r="AL17" s="9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78"/>
      <c r="D19" s="78"/>
      <c r="E19" s="78"/>
      <c r="F19" s="78"/>
      <c r="G19" s="78"/>
      <c r="H19" s="78"/>
      <c r="I19" s="78"/>
      <c r="J19" s="84">
        <f>H39</f>
        <v>4884000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78"/>
      <c r="W19" s="78"/>
      <c r="AB19" s="101"/>
      <c r="AC19" s="102"/>
      <c r="AD19" s="102"/>
      <c r="AE19" s="102"/>
      <c r="AF19" s="103"/>
      <c r="AG19" s="101"/>
      <c r="AH19" s="102"/>
      <c r="AI19" s="102"/>
      <c r="AJ19" s="102"/>
      <c r="AK19" s="103"/>
      <c r="AL19" s="101"/>
      <c r="AM19" s="102"/>
      <c r="AN19" s="102"/>
      <c r="AO19" s="102"/>
      <c r="AP19" s="103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78"/>
      <c r="D20" s="110" t="s">
        <v>98</v>
      </c>
      <c r="E20" s="110"/>
      <c r="F20" s="110"/>
      <c r="G20" s="110"/>
      <c r="H20" s="110"/>
      <c r="I20" s="110"/>
      <c r="J20" s="92">
        <f>H39</f>
        <v>4884000</v>
      </c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78"/>
      <c r="W20" s="78"/>
      <c r="AB20" s="104"/>
      <c r="AC20" s="105"/>
      <c r="AD20" s="105"/>
      <c r="AE20" s="105"/>
      <c r="AF20" s="106"/>
      <c r="AG20" s="104"/>
      <c r="AH20" s="105"/>
      <c r="AI20" s="105"/>
      <c r="AJ20" s="105"/>
      <c r="AK20" s="106"/>
      <c r="AL20" s="104"/>
      <c r="AM20" s="105"/>
      <c r="AN20" s="105"/>
      <c r="AO20" s="105"/>
      <c r="AP20" s="106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78"/>
      <c r="D21" s="111"/>
      <c r="E21" s="111"/>
      <c r="F21" s="111"/>
      <c r="G21" s="111"/>
      <c r="H21" s="111"/>
      <c r="I21" s="111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78"/>
      <c r="W21" s="78"/>
      <c r="AB21" s="104"/>
      <c r="AC21" s="105"/>
      <c r="AD21" s="105"/>
      <c r="AE21" s="105"/>
      <c r="AF21" s="106"/>
      <c r="AG21" s="104"/>
      <c r="AH21" s="105"/>
      <c r="AI21" s="105"/>
      <c r="AJ21" s="105"/>
      <c r="AK21" s="106"/>
      <c r="AL21" s="104"/>
      <c r="AM21" s="105"/>
      <c r="AN21" s="105"/>
      <c r="AO21" s="105"/>
      <c r="AP21" s="106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17" t="s">
        <v>105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78"/>
      <c r="AB22" s="107"/>
      <c r="AC22" s="108"/>
      <c r="AD22" s="108"/>
      <c r="AE22" s="108"/>
      <c r="AF22" s="109"/>
      <c r="AG22" s="107"/>
      <c r="AH22" s="108"/>
      <c r="AI22" s="108"/>
      <c r="AJ22" s="108"/>
      <c r="AK22" s="109"/>
      <c r="AL22" s="107"/>
      <c r="AM22" s="108"/>
      <c r="AN22" s="108"/>
      <c r="AO22" s="108"/>
      <c r="AP22" s="109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50" t="s">
        <v>9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2"/>
      <c r="T24" s="85" t="s">
        <v>10</v>
      </c>
      <c r="U24" s="86"/>
      <c r="V24" s="86"/>
      <c r="W24" s="86"/>
      <c r="X24" s="86"/>
      <c r="Y24" s="86"/>
      <c r="Z24" s="87"/>
      <c r="AA24" s="85" t="s">
        <v>99</v>
      </c>
      <c r="AB24" s="86"/>
      <c r="AC24" s="86"/>
      <c r="AD24" s="86"/>
      <c r="AE24" s="86"/>
      <c r="AF24" s="85" t="s">
        <v>12</v>
      </c>
      <c r="AG24" s="86"/>
      <c r="AH24" s="86"/>
      <c r="AI24" s="86"/>
      <c r="AJ24" s="86"/>
      <c r="AK24" s="86"/>
      <c r="AL24" s="87"/>
      <c r="AM24" s="85" t="s">
        <v>13</v>
      </c>
      <c r="AN24" s="86"/>
      <c r="AO24" s="86"/>
      <c r="AP24" s="86"/>
      <c r="AQ24" s="86"/>
      <c r="AR24" s="86"/>
      <c r="AS24" s="148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53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5"/>
      <c r="T25" s="88"/>
      <c r="U25" s="89"/>
      <c r="V25" s="89"/>
      <c r="W25" s="89"/>
      <c r="X25" s="89"/>
      <c r="Y25" s="89"/>
      <c r="Z25" s="90"/>
      <c r="AA25" s="88"/>
      <c r="AB25" s="89"/>
      <c r="AC25" s="89"/>
      <c r="AD25" s="89"/>
      <c r="AE25" s="89"/>
      <c r="AF25" s="88"/>
      <c r="AG25" s="89"/>
      <c r="AH25" s="89"/>
      <c r="AI25" s="89"/>
      <c r="AJ25" s="89"/>
      <c r="AK25" s="89"/>
      <c r="AL25" s="90"/>
      <c r="AM25" s="88"/>
      <c r="AN25" s="89"/>
      <c r="AO25" s="89"/>
      <c r="AP25" s="89"/>
      <c r="AQ25" s="89"/>
      <c r="AR25" s="89"/>
      <c r="AS25" s="149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3" t="s">
        <v>117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27"/>
      <c r="U26" s="128"/>
      <c r="V26" s="128"/>
      <c r="W26" s="128"/>
      <c r="X26" s="146"/>
      <c r="Y26" s="146"/>
      <c r="Z26" s="147"/>
      <c r="AA26" s="127"/>
      <c r="AB26" s="128"/>
      <c r="AC26" s="128"/>
      <c r="AD26" s="128"/>
      <c r="AE26" s="129"/>
      <c r="AF26" s="127">
        <f t="shared" ref="AF26:AF37" si="0">IF(T26="",1*AA26,T26*AA26)</f>
        <v>0</v>
      </c>
      <c r="AG26" s="128"/>
      <c r="AH26" s="128"/>
      <c r="AI26" s="128"/>
      <c r="AJ26" s="128"/>
      <c r="AK26" s="128"/>
      <c r="AL26" s="129"/>
      <c r="AM26" s="130"/>
      <c r="AN26" s="131"/>
      <c r="AO26" s="131"/>
      <c r="AP26" s="131"/>
      <c r="AQ26" s="131"/>
      <c r="AR26" s="131"/>
      <c r="AS26" s="13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3" t="s">
        <v>131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27"/>
      <c r="U27" s="128"/>
      <c r="V27" s="128"/>
      <c r="W27" s="128"/>
      <c r="X27" s="146" t="s">
        <v>22</v>
      </c>
      <c r="Y27" s="146"/>
      <c r="Z27" s="147"/>
      <c r="AA27" s="127">
        <v>1580000</v>
      </c>
      <c r="AB27" s="128"/>
      <c r="AC27" s="128"/>
      <c r="AD27" s="128"/>
      <c r="AE27" s="129"/>
      <c r="AF27" s="127">
        <f t="shared" ref="AF27" si="1">IF(T27="",1*AA27,T27*AA27)</f>
        <v>1580000</v>
      </c>
      <c r="AG27" s="128"/>
      <c r="AH27" s="128"/>
      <c r="AI27" s="128"/>
      <c r="AJ27" s="128"/>
      <c r="AK27" s="128"/>
      <c r="AL27" s="129"/>
      <c r="AM27" s="130" t="s">
        <v>136</v>
      </c>
      <c r="AN27" s="131"/>
      <c r="AO27" s="131"/>
      <c r="AP27" s="131"/>
      <c r="AQ27" s="131"/>
      <c r="AR27" s="131"/>
      <c r="AS27" s="132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3" t="s">
        <v>118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27"/>
      <c r="U28" s="128"/>
      <c r="V28" s="128"/>
      <c r="W28" s="128"/>
      <c r="X28" s="146"/>
      <c r="Y28" s="146"/>
      <c r="Z28" s="147"/>
      <c r="AA28" s="127"/>
      <c r="AB28" s="128"/>
      <c r="AC28" s="128"/>
      <c r="AD28" s="128"/>
      <c r="AE28" s="129"/>
      <c r="AF28" s="127">
        <f>IF(T28="",1*AA28,T28*AA28)</f>
        <v>0</v>
      </c>
      <c r="AG28" s="128"/>
      <c r="AH28" s="128"/>
      <c r="AI28" s="128"/>
      <c r="AJ28" s="128"/>
      <c r="AK28" s="128"/>
      <c r="AL28" s="129"/>
      <c r="AM28" s="130"/>
      <c r="AN28" s="131"/>
      <c r="AO28" s="131"/>
      <c r="AP28" s="131"/>
      <c r="AQ28" s="131"/>
      <c r="AR28" s="131"/>
      <c r="AS28" s="132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3" t="s">
        <v>131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27"/>
      <c r="U29" s="128"/>
      <c r="V29" s="128"/>
      <c r="W29" s="128"/>
      <c r="X29" s="146" t="s">
        <v>22</v>
      </c>
      <c r="Y29" s="146"/>
      <c r="Z29" s="147"/>
      <c r="AA29" s="127">
        <v>1480000</v>
      </c>
      <c r="AB29" s="128"/>
      <c r="AC29" s="128"/>
      <c r="AD29" s="128"/>
      <c r="AE29" s="129"/>
      <c r="AF29" s="127">
        <f t="shared" ref="AF29" si="2">IF(T29="",1*AA29,T29*AA29)</f>
        <v>1480000</v>
      </c>
      <c r="AG29" s="128"/>
      <c r="AH29" s="128"/>
      <c r="AI29" s="128"/>
      <c r="AJ29" s="128"/>
      <c r="AK29" s="128"/>
      <c r="AL29" s="129"/>
      <c r="AM29" s="130" t="s">
        <v>136</v>
      </c>
      <c r="AN29" s="131"/>
      <c r="AO29" s="131"/>
      <c r="AP29" s="131"/>
      <c r="AQ29" s="131"/>
      <c r="AR29" s="131"/>
      <c r="AS29" s="132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3" t="s">
        <v>119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27"/>
      <c r="U30" s="128"/>
      <c r="V30" s="128"/>
      <c r="W30" s="128"/>
      <c r="X30" s="146"/>
      <c r="Y30" s="146"/>
      <c r="Z30" s="147"/>
      <c r="AA30" s="127"/>
      <c r="AB30" s="128"/>
      <c r="AC30" s="128"/>
      <c r="AD30" s="128"/>
      <c r="AE30" s="129"/>
      <c r="AF30" s="127">
        <f t="shared" ref="AF30" si="3">IF(T30="",1*AA30,T30*AA30)</f>
        <v>0</v>
      </c>
      <c r="AG30" s="128"/>
      <c r="AH30" s="128"/>
      <c r="AI30" s="128"/>
      <c r="AJ30" s="128"/>
      <c r="AK30" s="128"/>
      <c r="AL30" s="129"/>
      <c r="AM30" s="130"/>
      <c r="AN30" s="131"/>
      <c r="AO30" s="131"/>
      <c r="AP30" s="131"/>
      <c r="AQ30" s="131"/>
      <c r="AR30" s="131"/>
      <c r="AS30" s="132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3" t="s">
        <v>131</v>
      </c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27"/>
      <c r="U31" s="128"/>
      <c r="V31" s="128"/>
      <c r="W31" s="128"/>
      <c r="X31" s="146" t="s">
        <v>22</v>
      </c>
      <c r="Y31" s="146"/>
      <c r="Z31" s="147"/>
      <c r="AA31" s="127">
        <v>1380000</v>
      </c>
      <c r="AB31" s="128"/>
      <c r="AC31" s="128"/>
      <c r="AD31" s="128"/>
      <c r="AE31" s="129"/>
      <c r="AF31" s="127">
        <f t="shared" ref="AF31:AF32" si="4">IF(T31="",1*AA31,T31*AA31)</f>
        <v>1380000</v>
      </c>
      <c r="AG31" s="128"/>
      <c r="AH31" s="128"/>
      <c r="AI31" s="128"/>
      <c r="AJ31" s="128"/>
      <c r="AK31" s="128"/>
      <c r="AL31" s="129"/>
      <c r="AM31" s="130" t="s">
        <v>136</v>
      </c>
      <c r="AN31" s="131"/>
      <c r="AO31" s="131"/>
      <c r="AP31" s="131"/>
      <c r="AQ31" s="131"/>
      <c r="AR31" s="131"/>
      <c r="AS31" s="132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27"/>
      <c r="U32" s="128"/>
      <c r="V32" s="128"/>
      <c r="W32" s="128"/>
      <c r="X32" s="146"/>
      <c r="Y32" s="146"/>
      <c r="Z32" s="147"/>
      <c r="AA32" s="127"/>
      <c r="AB32" s="128"/>
      <c r="AC32" s="128"/>
      <c r="AD32" s="128"/>
      <c r="AE32" s="129"/>
      <c r="AF32" s="127">
        <f t="shared" si="4"/>
        <v>0</v>
      </c>
      <c r="AG32" s="128"/>
      <c r="AH32" s="128"/>
      <c r="AI32" s="128"/>
      <c r="AJ32" s="128"/>
      <c r="AK32" s="128"/>
      <c r="AL32" s="129"/>
      <c r="AM32" s="124"/>
      <c r="AN32" s="125"/>
      <c r="AO32" s="125"/>
      <c r="AP32" s="125"/>
      <c r="AQ32" s="125"/>
      <c r="AR32" s="125"/>
      <c r="AS32" s="126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27"/>
      <c r="U33" s="128"/>
      <c r="V33" s="128"/>
      <c r="W33" s="128"/>
      <c r="X33" s="146"/>
      <c r="Y33" s="146"/>
      <c r="Z33" s="147"/>
      <c r="AA33" s="127"/>
      <c r="AB33" s="128"/>
      <c r="AC33" s="128"/>
      <c r="AD33" s="128"/>
      <c r="AE33" s="129"/>
      <c r="AF33" s="127">
        <f>IF(T33="",1*AA33,T33*AA33)</f>
        <v>0</v>
      </c>
      <c r="AG33" s="128"/>
      <c r="AH33" s="128"/>
      <c r="AI33" s="128"/>
      <c r="AJ33" s="128"/>
      <c r="AK33" s="128"/>
      <c r="AL33" s="129"/>
      <c r="AM33" s="130"/>
      <c r="AN33" s="131"/>
      <c r="AO33" s="131"/>
      <c r="AP33" s="131"/>
      <c r="AQ33" s="131"/>
      <c r="AR33" s="131"/>
      <c r="AS33" s="132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3" t="s">
        <v>132</v>
      </c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27"/>
      <c r="U34" s="128"/>
      <c r="V34" s="128"/>
      <c r="W34" s="128"/>
      <c r="X34" s="146"/>
      <c r="Y34" s="146"/>
      <c r="Z34" s="147"/>
      <c r="AA34" s="127"/>
      <c r="AB34" s="128"/>
      <c r="AC34" s="128"/>
      <c r="AD34" s="128"/>
      <c r="AE34" s="129"/>
      <c r="AF34" s="127">
        <f>IF(T34="",1*AA34,T34*AA34)</f>
        <v>0</v>
      </c>
      <c r="AG34" s="128"/>
      <c r="AH34" s="128"/>
      <c r="AI34" s="128"/>
      <c r="AJ34" s="128"/>
      <c r="AK34" s="128"/>
      <c r="AL34" s="129"/>
      <c r="AM34" s="124"/>
      <c r="AN34" s="125"/>
      <c r="AO34" s="125"/>
      <c r="AP34" s="125"/>
      <c r="AQ34" s="125"/>
      <c r="AR34" s="125"/>
      <c r="AS34" s="126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3" t="s">
        <v>133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27"/>
      <c r="U35" s="128"/>
      <c r="V35" s="128"/>
      <c r="W35" s="128"/>
      <c r="X35" s="146"/>
      <c r="Y35" s="146"/>
      <c r="Z35" s="147"/>
      <c r="AA35" s="127"/>
      <c r="AB35" s="128"/>
      <c r="AC35" s="128"/>
      <c r="AD35" s="128"/>
      <c r="AE35" s="129"/>
      <c r="AF35" s="127">
        <f>IF(T35="",1*AA35,T35*AA35)</f>
        <v>0</v>
      </c>
      <c r="AG35" s="128"/>
      <c r="AH35" s="128"/>
      <c r="AI35" s="128"/>
      <c r="AJ35" s="128"/>
      <c r="AK35" s="128"/>
      <c r="AL35" s="129"/>
      <c r="AM35" s="124"/>
      <c r="AN35" s="125"/>
      <c r="AO35" s="125"/>
      <c r="AP35" s="125"/>
      <c r="AQ35" s="125"/>
      <c r="AR35" s="125"/>
      <c r="AS35" s="126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3" t="s">
        <v>108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27">
        <v>1</v>
      </c>
      <c r="U36" s="128"/>
      <c r="V36" s="128"/>
      <c r="W36" s="128"/>
      <c r="X36" s="146" t="s">
        <v>22</v>
      </c>
      <c r="Y36" s="146"/>
      <c r="Z36" s="147"/>
      <c r="AA36" s="127"/>
      <c r="AB36" s="128"/>
      <c r="AC36" s="128"/>
      <c r="AD36" s="128"/>
      <c r="AE36" s="129"/>
      <c r="AF36" s="127">
        <f t="shared" si="0"/>
        <v>0</v>
      </c>
      <c r="AG36" s="128"/>
      <c r="AH36" s="128"/>
      <c r="AI36" s="128"/>
      <c r="AJ36" s="128"/>
      <c r="AK36" s="128"/>
      <c r="AL36" s="129"/>
      <c r="AM36" s="124"/>
      <c r="AN36" s="125"/>
      <c r="AO36" s="125"/>
      <c r="AP36" s="125"/>
      <c r="AQ36" s="125"/>
      <c r="AR36" s="125"/>
      <c r="AS36" s="126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3" t="s">
        <v>109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27">
        <v>1</v>
      </c>
      <c r="U37" s="128"/>
      <c r="V37" s="128"/>
      <c r="W37" s="128"/>
      <c r="X37" s="146" t="s">
        <v>22</v>
      </c>
      <c r="Y37" s="146"/>
      <c r="Z37" s="147"/>
      <c r="AA37" s="127"/>
      <c r="AB37" s="128"/>
      <c r="AC37" s="128"/>
      <c r="AD37" s="128"/>
      <c r="AE37" s="129"/>
      <c r="AF37" s="127">
        <f t="shared" si="0"/>
        <v>0</v>
      </c>
      <c r="AG37" s="128"/>
      <c r="AH37" s="128"/>
      <c r="AI37" s="128"/>
      <c r="AJ37" s="128"/>
      <c r="AK37" s="128"/>
      <c r="AL37" s="129"/>
      <c r="AM37" s="124"/>
      <c r="AN37" s="125"/>
      <c r="AO37" s="125"/>
      <c r="AP37" s="125"/>
      <c r="AQ37" s="125"/>
      <c r="AR37" s="125"/>
      <c r="AS37" s="126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72" t="s">
        <v>102</v>
      </c>
      <c r="C38" s="173"/>
      <c r="D38" s="173"/>
      <c r="E38" s="173"/>
      <c r="F38" s="173"/>
      <c r="G38" s="174"/>
      <c r="H38" s="175">
        <f>AA38*0.1</f>
        <v>444000</v>
      </c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7"/>
      <c r="T38" s="178" t="s">
        <v>15</v>
      </c>
      <c r="U38" s="173"/>
      <c r="V38" s="173"/>
      <c r="W38" s="173"/>
      <c r="X38" s="173"/>
      <c r="Y38" s="173"/>
      <c r="Z38" s="174"/>
      <c r="AA38" s="179">
        <f>SUM(AF26:AL37)</f>
        <v>4440000</v>
      </c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1"/>
      <c r="AM38" s="139"/>
      <c r="AN38" s="140"/>
      <c r="AO38" s="140"/>
      <c r="AP38" s="140"/>
      <c r="AQ38" s="140"/>
      <c r="AR38" s="140"/>
      <c r="AS38" s="14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56" t="s">
        <v>8</v>
      </c>
      <c r="C39" s="157"/>
      <c r="D39" s="157"/>
      <c r="E39" s="157"/>
      <c r="F39" s="157"/>
      <c r="G39" s="158"/>
      <c r="H39" s="159">
        <f>CK115+H38</f>
        <v>4884000</v>
      </c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1"/>
      <c r="AM39" s="133"/>
      <c r="AN39" s="134"/>
      <c r="AO39" s="134"/>
      <c r="AP39" s="134"/>
      <c r="AQ39" s="134"/>
      <c r="AR39" s="134"/>
      <c r="AS39" s="135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62" t="s">
        <v>16</v>
      </c>
      <c r="C40" s="163"/>
      <c r="D40" s="163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5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69" t="s">
        <v>129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66" t="s">
        <v>107</v>
      </c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8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6"/>
      <c r="O44" s="186"/>
      <c r="P44" s="186"/>
      <c r="Q44" s="186"/>
      <c r="R44" s="186"/>
      <c r="S44" s="186"/>
      <c r="T44" s="186"/>
      <c r="U44" s="186"/>
      <c r="V44" s="186"/>
      <c r="W44" s="1"/>
      <c r="X44" s="51"/>
      <c r="Y44" s="16"/>
      <c r="Z44" s="15"/>
      <c r="AA44" s="15"/>
      <c r="AB44" s="185"/>
      <c r="AC44" s="185"/>
      <c r="AD44" s="185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82"/>
      <c r="O45" s="182"/>
      <c r="P45" s="183"/>
      <c r="Q45" s="183"/>
      <c r="R45" s="183"/>
      <c r="S45" s="183"/>
      <c r="T45" s="183"/>
      <c r="U45" s="183"/>
      <c r="V45" s="183"/>
      <c r="W45" s="1"/>
      <c r="X45" s="53"/>
      <c r="Y45" s="54"/>
      <c r="Z45" s="15"/>
      <c r="AA45" s="15"/>
      <c r="AB45" s="184"/>
      <c r="AC45" s="184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82"/>
      <c r="O46" s="182"/>
      <c r="P46" s="183"/>
      <c r="Q46" s="183"/>
      <c r="R46" s="183"/>
      <c r="S46" s="183"/>
      <c r="T46" s="183"/>
      <c r="U46" s="183"/>
      <c r="V46" s="183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82"/>
      <c r="O47" s="182"/>
      <c r="P47" s="183"/>
      <c r="Q47" s="183"/>
      <c r="R47" s="183"/>
      <c r="S47" s="183"/>
      <c r="T47" s="183"/>
      <c r="U47" s="183"/>
      <c r="V47" s="183"/>
      <c r="W47" s="1"/>
      <c r="X47" s="53"/>
      <c r="Y47" s="54"/>
      <c r="Z47" s="15"/>
      <c r="AA47" s="185"/>
      <c r="AB47" s="185"/>
      <c r="AC47" s="185"/>
      <c r="AD47" s="185"/>
      <c r="AE47" s="18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82"/>
      <c r="O48" s="182"/>
      <c r="P48" s="183"/>
      <c r="Q48" s="183"/>
      <c r="R48" s="183"/>
      <c r="S48" s="183"/>
      <c r="T48" s="183"/>
      <c r="U48" s="183"/>
      <c r="V48" s="183"/>
      <c r="W48" s="1"/>
      <c r="X48" s="53"/>
      <c r="Y48" s="54"/>
      <c r="Z48" s="15"/>
      <c r="AA48" s="56"/>
      <c r="AB48" s="184"/>
      <c r="AC48" s="184"/>
      <c r="AD48" s="184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82"/>
      <c r="O49" s="182"/>
      <c r="P49" s="183"/>
      <c r="Q49" s="183"/>
      <c r="R49" s="183"/>
      <c r="S49" s="183"/>
      <c r="T49" s="183"/>
      <c r="U49" s="183"/>
      <c r="V49" s="183"/>
      <c r="W49" s="1"/>
      <c r="X49" s="53"/>
      <c r="Y49" s="54"/>
      <c r="Z49" s="15"/>
      <c r="AA49" s="56"/>
      <c r="AB49" s="184"/>
      <c r="AC49" s="184"/>
      <c r="AD49" s="184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82"/>
      <c r="O50" s="182"/>
      <c r="P50" s="183"/>
      <c r="Q50" s="183"/>
      <c r="R50" s="183"/>
      <c r="S50" s="183"/>
      <c r="T50" s="183"/>
      <c r="U50" s="183"/>
      <c r="V50" s="183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82"/>
      <c r="O51" s="182"/>
      <c r="P51" s="183"/>
      <c r="Q51" s="183"/>
      <c r="R51" s="183"/>
      <c r="S51" s="183"/>
      <c r="T51" s="183"/>
      <c r="U51" s="183"/>
      <c r="V51" s="183"/>
      <c r="W51" s="1"/>
      <c r="X51" s="53"/>
      <c r="Y51" s="53"/>
      <c r="Z51" s="15"/>
      <c r="AA51" s="138"/>
      <c r="AB51" s="138"/>
      <c r="AC51" s="138"/>
      <c r="AD51" s="138"/>
      <c r="AE51" s="138"/>
      <c r="AF51" s="138"/>
      <c r="AG51" s="138"/>
      <c r="AH51" s="138"/>
      <c r="AI51" s="138"/>
      <c r="AJ51" s="185"/>
      <c r="AK51" s="185"/>
      <c r="AL51" s="185"/>
      <c r="AM51" s="185"/>
      <c r="AN51" s="185"/>
      <c r="AO51" s="185"/>
      <c r="AP51" s="185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82"/>
      <c r="O52" s="182"/>
      <c r="P52" s="183"/>
      <c r="Q52" s="183"/>
      <c r="R52" s="183"/>
      <c r="S52" s="183"/>
      <c r="T52" s="183"/>
      <c r="U52" s="183"/>
      <c r="V52" s="183"/>
      <c r="W52" s="1"/>
      <c r="X52" s="53"/>
      <c r="Y52" s="54"/>
      <c r="Z52" s="15"/>
      <c r="AA52" s="5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"/>
      <c r="AR52" s="1"/>
      <c r="AS52" s="1"/>
      <c r="AT52" s="1"/>
      <c r="AU52" s="1"/>
      <c r="AV52" s="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2"/>
      <c r="O53" s="182"/>
      <c r="P53" s="183"/>
      <c r="Q53" s="183"/>
      <c r="R53" s="183"/>
      <c r="S53" s="183"/>
      <c r="T53" s="183"/>
      <c r="U53" s="183"/>
      <c r="V53" s="183"/>
      <c r="W53" s="1"/>
      <c r="X53" s="53"/>
      <c r="Y53" s="54"/>
      <c r="Z53" s="15"/>
      <c r="AA53" s="5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"/>
      <c r="AR53" s="1"/>
      <c r="AS53" s="1"/>
      <c r="AT53" s="1"/>
      <c r="AU53" s="1"/>
      <c r="AV53" s="1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82"/>
      <c r="O54" s="182"/>
      <c r="P54" s="183"/>
      <c r="Q54" s="183"/>
      <c r="R54" s="183"/>
      <c r="S54" s="183"/>
      <c r="T54" s="183"/>
      <c r="U54" s="183"/>
      <c r="V54" s="183"/>
      <c r="W54" s="1"/>
      <c r="X54" s="53"/>
      <c r="Y54" s="54"/>
      <c r="Z54" s="15"/>
      <c r="AA54" s="5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"/>
      <c r="AR54" s="1"/>
      <c r="AS54" s="1"/>
      <c r="AT54" s="1"/>
      <c r="AU54" s="1"/>
      <c r="AV54" s="1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82"/>
      <c r="O55" s="182"/>
      <c r="P55" s="183"/>
      <c r="Q55" s="183"/>
      <c r="R55" s="183"/>
      <c r="S55" s="183"/>
      <c r="T55" s="183"/>
      <c r="U55" s="183"/>
      <c r="V55" s="183"/>
      <c r="W55" s="1"/>
      <c r="X55" s="53"/>
      <c r="Y55" s="54"/>
      <c r="Z55" s="15"/>
      <c r="AA55" s="5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"/>
      <c r="AR55" s="1"/>
      <c r="AS55" s="1"/>
      <c r="AT55" s="1"/>
      <c r="AU55" s="1"/>
      <c r="AV55" s="1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6"/>
      <c r="O56" s="186"/>
      <c r="P56" s="183">
        <f>SUM(CK115:CQ115)</f>
        <v>4440000</v>
      </c>
      <c r="Q56" s="183"/>
      <c r="R56" s="183"/>
      <c r="S56" s="183"/>
      <c r="T56" s="183"/>
      <c r="U56" s="183"/>
      <c r="V56" s="183"/>
      <c r="W56" s="1"/>
      <c r="X56" s="53"/>
      <c r="Y56" s="54"/>
      <c r="Z56" s="15"/>
      <c r="AA56" s="5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"/>
      <c r="AR56" s="1"/>
      <c r="AS56" s="1"/>
      <c r="AT56" s="1"/>
      <c r="AU56" s="1"/>
      <c r="AV56" s="1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6"/>
      <c r="O60" s="196"/>
      <c r="P60" s="196"/>
      <c r="Q60" s="196"/>
      <c r="R60" s="194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"/>
      <c r="AR60" s="186"/>
      <c r="AS60" s="186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63</v>
      </c>
      <c r="FC100" s="62" t="s">
        <v>64</v>
      </c>
      <c r="FD100" s="62" t="s">
        <v>65</v>
      </c>
      <c r="FE100" s="62" t="s">
        <v>66</v>
      </c>
      <c r="FF100" s="62" t="s">
        <v>18</v>
      </c>
      <c r="FG100" s="62" t="s">
        <v>18</v>
      </c>
      <c r="FH100" s="62" t="s">
        <v>67</v>
      </c>
      <c r="FI100" s="62" t="s">
        <v>68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1台購入時</v>
      </c>
      <c r="FE101" s="64">
        <f>T26</f>
        <v>0</v>
      </c>
      <c r="FF101" s="64">
        <f>X26</f>
        <v>0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61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RSD-SUNMAX-FL-LCW-SE　1500w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1580000</v>
      </c>
      <c r="FH102" s="64">
        <f t="shared" ref="FH102:FH112" si="9">AF27</f>
        <v>1580000</v>
      </c>
      <c r="FI102" s="64" t="str">
        <f t="shared" ref="FI102:FI112" si="10">AM27</f>
        <v>定価208万円</v>
      </c>
    </row>
    <row r="103" spans="79:165" ht="15" customHeight="1" x14ac:dyDescent="0.15">
      <c r="CA103" s="44"/>
      <c r="CB103" s="1"/>
      <c r="CC103" s="1"/>
      <c r="CD103" s="1"/>
      <c r="CE103" s="50" t="s">
        <v>53</v>
      </c>
      <c r="CF103" s="1"/>
      <c r="CG103" s="1"/>
      <c r="CH103" s="1"/>
      <c r="CI103" s="190" t="s">
        <v>17</v>
      </c>
      <c r="CJ103" s="191"/>
      <c r="CK103" s="191"/>
      <c r="CL103" s="191"/>
      <c r="CM103" s="191"/>
      <c r="CN103" s="191"/>
      <c r="CO103" s="191"/>
      <c r="CP103" s="191"/>
      <c r="CQ103" s="192"/>
      <c r="CR103" s="1"/>
      <c r="CS103" s="27" t="s">
        <v>18</v>
      </c>
      <c r="CT103" s="14"/>
      <c r="CU103" s="15"/>
      <c r="CV103" s="15"/>
      <c r="CW103" s="193" t="s">
        <v>14</v>
      </c>
      <c r="CX103" s="193"/>
      <c r="CY103" s="193"/>
      <c r="CZ103" s="15"/>
      <c r="DA103" s="16"/>
      <c r="DB103" s="16"/>
      <c r="DC103" s="16"/>
      <c r="DD103" s="36" t="s">
        <v>52</v>
      </c>
      <c r="DE103" s="37"/>
      <c r="DF103" s="37"/>
      <c r="DG103" s="37"/>
      <c r="DH103" s="37"/>
      <c r="DI103" s="37"/>
      <c r="DJ103" s="38"/>
      <c r="DK103" s="15"/>
      <c r="DL103" s="1"/>
      <c r="DM103" s="198" t="s">
        <v>59</v>
      </c>
      <c r="DN103" s="198"/>
      <c r="DO103" s="198"/>
      <c r="DP103" s="198"/>
      <c r="DQ103" s="198"/>
      <c r="DR103" s="19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62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3台購入時</v>
      </c>
      <c r="FE103" s="64">
        <f t="shared" si="6"/>
        <v>0</v>
      </c>
      <c r="FF103" s="64">
        <f t="shared" si="7"/>
        <v>0</v>
      </c>
      <c r="FG103" s="64">
        <f t="shared" si="8"/>
        <v>0</v>
      </c>
      <c r="FH103" s="64">
        <f t="shared" si="9"/>
        <v>0</v>
      </c>
      <c r="FI103" s="64">
        <f t="shared" si="10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9">
        <v>0</v>
      </c>
      <c r="CJ104" s="189"/>
      <c r="CK104" s="197">
        <f>AA38</f>
        <v>4440000</v>
      </c>
      <c r="CL104" s="197"/>
      <c r="CM104" s="197"/>
      <c r="CN104" s="197"/>
      <c r="CO104" s="197"/>
      <c r="CP104" s="197"/>
      <c r="CQ104" s="197"/>
      <c r="CR104" s="1"/>
      <c r="CS104" s="17" t="s">
        <v>19</v>
      </c>
      <c r="CT104" s="18"/>
      <c r="CU104" s="15"/>
      <c r="CV104" s="15"/>
      <c r="CW104" s="187">
        <v>5</v>
      </c>
      <c r="CX104" s="188"/>
      <c r="CY104" s="19" t="s">
        <v>20</v>
      </c>
      <c r="CZ104" s="15"/>
      <c r="DA104" s="15"/>
      <c r="DB104" s="15"/>
      <c r="DC104" s="15"/>
      <c r="DD104" s="39" t="s">
        <v>47</v>
      </c>
      <c r="DE104" s="40"/>
      <c r="DF104" s="40"/>
      <c r="DG104" s="40"/>
      <c r="DH104" s="40"/>
      <c r="DI104" s="40"/>
      <c r="DJ104" s="22"/>
      <c r="DK104" s="15"/>
      <c r="DL104" s="1"/>
      <c r="DM104" s="199" t="s">
        <v>60</v>
      </c>
      <c r="DN104" s="200"/>
      <c r="DO104" s="200"/>
      <c r="DP104" s="200"/>
      <c r="DQ104" s="200"/>
      <c r="DR104" s="20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>RSD-SUNMAX-FL-LCW-SE　1500w</v>
      </c>
      <c r="FE104" s="64">
        <f t="shared" si="6"/>
        <v>0</v>
      </c>
      <c r="FF104" s="64" t="str">
        <f t="shared" si="7"/>
        <v>一式</v>
      </c>
      <c r="FG104" s="64">
        <f t="shared" si="8"/>
        <v>1480000</v>
      </c>
      <c r="FH104" s="64">
        <f t="shared" si="9"/>
        <v>1480000</v>
      </c>
      <c r="FI104" s="64" t="str">
        <f t="shared" si="10"/>
        <v>定価208万円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9">
        <v>1</v>
      </c>
      <c r="CJ105" s="189"/>
      <c r="CK105" s="197">
        <f>IF(ISERROR(購入おすすめ品!AB30),0,購入おすすめ品!AB30)</f>
        <v>0</v>
      </c>
      <c r="CL105" s="197"/>
      <c r="CM105" s="197"/>
      <c r="CN105" s="197"/>
      <c r="CO105" s="197"/>
      <c r="CP105" s="197"/>
      <c r="CQ105" s="197"/>
      <c r="CR105" s="1"/>
      <c r="CS105" s="17" t="s">
        <v>21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48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9">
        <v>2</v>
      </c>
      <c r="CJ106" s="189"/>
      <c r="CK106" s="197">
        <f>IF(ISERROR(#REF!),0,#REF!)</f>
        <v>0</v>
      </c>
      <c r="CL106" s="197"/>
      <c r="CM106" s="197"/>
      <c r="CN106" s="197"/>
      <c r="CO106" s="197"/>
      <c r="CP106" s="197"/>
      <c r="CQ106" s="197"/>
      <c r="CR106" s="1"/>
      <c r="CS106" s="20" t="s">
        <v>22</v>
      </c>
      <c r="CT106" s="21"/>
      <c r="CU106" s="15"/>
      <c r="CV106" s="193" t="s">
        <v>23</v>
      </c>
      <c r="CW106" s="193"/>
      <c r="CX106" s="193"/>
      <c r="CY106" s="193"/>
      <c r="CZ106" s="193"/>
      <c r="DA106" s="15"/>
      <c r="DB106" s="15"/>
      <c r="DC106" s="15"/>
      <c r="DD106" s="39" t="s">
        <v>49</v>
      </c>
      <c r="DE106" s="40"/>
      <c r="DF106" s="40"/>
      <c r="DG106" s="40"/>
      <c r="DH106" s="40"/>
      <c r="DI106" s="40"/>
      <c r="DJ106" s="22"/>
      <c r="DK106" s="15"/>
      <c r="DL106" s="1"/>
      <c r="DM106" s="198" t="s">
        <v>70</v>
      </c>
      <c r="DN106" s="198"/>
      <c r="DO106" s="198"/>
      <c r="DP106" s="198"/>
      <c r="DQ106" s="198"/>
      <c r="DR106" s="19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 t="str">
        <f t="shared" si="7"/>
        <v>一式</v>
      </c>
      <c r="FG106" s="64">
        <f t="shared" si="8"/>
        <v>1380000</v>
      </c>
      <c r="FH106" s="64">
        <f t="shared" si="9"/>
        <v>1380000</v>
      </c>
      <c r="FI106" s="64" t="str">
        <f t="shared" si="10"/>
        <v>定価208万円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9">
        <v>3</v>
      </c>
      <c r="CJ107" s="189"/>
      <c r="CK107" s="197">
        <f>IF(ISERROR(#REF!),0,#REF!)</f>
        <v>0</v>
      </c>
      <c r="CL107" s="197"/>
      <c r="CM107" s="197"/>
      <c r="CN107" s="197"/>
      <c r="CO107" s="197"/>
      <c r="CP107" s="197"/>
      <c r="CQ107" s="197"/>
      <c r="CR107" s="1"/>
      <c r="CS107" s="17" t="s">
        <v>24</v>
      </c>
      <c r="CT107" s="18"/>
      <c r="CU107" s="15"/>
      <c r="CV107" s="28" t="s">
        <v>25</v>
      </c>
      <c r="CW107" s="187">
        <v>100</v>
      </c>
      <c r="CX107" s="187"/>
      <c r="CY107" s="188"/>
      <c r="CZ107" s="22" t="s">
        <v>20</v>
      </c>
      <c r="DA107" s="15"/>
      <c r="DB107" s="15"/>
      <c r="DC107" s="15"/>
      <c r="DD107" s="39" t="s">
        <v>50</v>
      </c>
      <c r="DE107" s="40"/>
      <c r="DF107" s="40"/>
      <c r="DG107" s="40"/>
      <c r="DH107" s="40"/>
      <c r="DI107" s="40"/>
      <c r="DJ107" s="22"/>
      <c r="DK107" s="15"/>
      <c r="DL107" s="1"/>
      <c r="DM107" s="204" t="s">
        <v>79</v>
      </c>
      <c r="DN107" s="205"/>
      <c r="DO107" s="205"/>
      <c r="DP107" s="205"/>
      <c r="DQ107" s="205"/>
      <c r="DR107" s="206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54</v>
      </c>
      <c r="CF108" s="1"/>
      <c r="CG108" s="1"/>
      <c r="CH108" s="1"/>
      <c r="CI108" s="189">
        <v>4</v>
      </c>
      <c r="CJ108" s="189"/>
      <c r="CK108" s="197"/>
      <c r="CL108" s="197"/>
      <c r="CM108" s="197"/>
      <c r="CN108" s="197"/>
      <c r="CO108" s="197"/>
      <c r="CP108" s="197"/>
      <c r="CQ108" s="197"/>
      <c r="CR108" s="1"/>
      <c r="CS108" s="17" t="s">
        <v>26</v>
      </c>
      <c r="CT108" s="18"/>
      <c r="CU108" s="15"/>
      <c r="CV108" s="28" t="s">
        <v>27</v>
      </c>
      <c r="CW108" s="187">
        <v>80</v>
      </c>
      <c r="CX108" s="187"/>
      <c r="CY108" s="188"/>
      <c r="CZ108" s="22" t="s">
        <v>20</v>
      </c>
      <c r="DA108" s="15"/>
      <c r="DB108" s="15"/>
      <c r="DC108" s="15"/>
      <c r="DD108" s="39" t="s">
        <v>51</v>
      </c>
      <c r="DE108" s="40"/>
      <c r="DF108" s="40"/>
      <c r="DG108" s="40"/>
      <c r="DH108" s="40"/>
      <c r="DI108" s="40"/>
      <c r="DJ108" s="22"/>
      <c r="DK108" s="15"/>
      <c r="DL108" s="1"/>
      <c r="DM108" s="199" t="s">
        <v>71</v>
      </c>
      <c r="DN108" s="200"/>
      <c r="DO108" s="200"/>
      <c r="DP108" s="200"/>
      <c r="DQ108" s="200"/>
      <c r="DR108" s="20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 t="str">
        <f>B31</f>
        <v>RSD-SUNMAX-FL-LCW-SE　1500w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9">
        <v>5</v>
      </c>
      <c r="CJ109" s="189"/>
      <c r="CK109" s="197"/>
      <c r="CL109" s="197"/>
      <c r="CM109" s="197"/>
      <c r="CN109" s="197"/>
      <c r="CO109" s="197"/>
      <c r="CP109" s="197"/>
      <c r="CQ109" s="197"/>
      <c r="CR109" s="1"/>
      <c r="CS109" s="20" t="s">
        <v>28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99" t="s">
        <v>72</v>
      </c>
      <c r="DN109" s="200"/>
      <c r="DO109" s="200"/>
      <c r="DP109" s="200"/>
      <c r="DQ109" s="200"/>
      <c r="DR109" s="20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 t="str">
        <f t="shared" si="5"/>
        <v>SEは、ガス圧検知センサー、パトライト　無し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55</v>
      </c>
      <c r="CF110" s="1"/>
      <c r="CG110" s="1"/>
      <c r="CH110" s="1"/>
      <c r="CI110" s="189">
        <v>6</v>
      </c>
      <c r="CJ110" s="189"/>
      <c r="CK110" s="197"/>
      <c r="CL110" s="197"/>
      <c r="CM110" s="197"/>
      <c r="CN110" s="197"/>
      <c r="CO110" s="197"/>
      <c r="CP110" s="197"/>
      <c r="CQ110" s="197"/>
      <c r="CR110" s="1"/>
      <c r="CS110" s="20" t="s">
        <v>29</v>
      </c>
      <c r="CT110" s="20"/>
      <c r="CU110" s="15"/>
      <c r="CV110" s="203" t="s">
        <v>30</v>
      </c>
      <c r="CW110" s="203"/>
      <c r="CX110" s="203"/>
      <c r="CY110" s="203"/>
      <c r="CZ110" s="203"/>
      <c r="DA110" s="203"/>
      <c r="DB110" s="203"/>
      <c r="DC110" s="203"/>
      <c r="DD110" s="203"/>
      <c r="DE110" s="193" t="s">
        <v>31</v>
      </c>
      <c r="DF110" s="193"/>
      <c r="DG110" s="193"/>
      <c r="DH110" s="193"/>
      <c r="DI110" s="193"/>
      <c r="DJ110" s="193"/>
      <c r="DK110" s="193"/>
      <c r="DL110" s="1"/>
      <c r="DM110" s="1"/>
      <c r="DN110" s="1"/>
      <c r="DO110" s="1"/>
      <c r="DP110" s="1"/>
      <c r="DQ110" s="1"/>
      <c r="DR110" s="137"/>
      <c r="DS110" s="137"/>
      <c r="DT110" s="137"/>
      <c r="DU110" s="137"/>
      <c r="DV110" s="137"/>
      <c r="DW110" s="137"/>
      <c r="DX110" s="137"/>
      <c r="DY110" s="137"/>
      <c r="DZ110" s="137"/>
      <c r="EA110" s="137"/>
      <c r="EB110" s="137"/>
      <c r="EC110" s="137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 t="str">
        <f t="shared" si="5"/>
        <v>洗浄用レンズ無し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56</v>
      </c>
      <c r="CF111" s="1"/>
      <c r="CG111" s="1"/>
      <c r="CH111" s="1"/>
      <c r="CI111" s="189">
        <v>7</v>
      </c>
      <c r="CJ111" s="189"/>
      <c r="CK111" s="197"/>
      <c r="CL111" s="197"/>
      <c r="CM111" s="197"/>
      <c r="CN111" s="197"/>
      <c r="CO111" s="197"/>
      <c r="CP111" s="197"/>
      <c r="CQ111" s="197"/>
      <c r="CR111" s="1"/>
      <c r="CS111" s="17" t="s">
        <v>32</v>
      </c>
      <c r="CT111" s="18"/>
      <c r="CU111" s="15"/>
      <c r="CV111" s="28" t="s">
        <v>25</v>
      </c>
      <c r="CW111" s="202" t="s">
        <v>75</v>
      </c>
      <c r="CX111" s="202"/>
      <c r="CY111" s="202"/>
      <c r="CZ111" s="202"/>
      <c r="DA111" s="202"/>
      <c r="DB111" s="202"/>
      <c r="DC111" s="202"/>
      <c r="DD111" s="202"/>
      <c r="DE111" s="202" t="s">
        <v>33</v>
      </c>
      <c r="DF111" s="202"/>
      <c r="DG111" s="202"/>
      <c r="DH111" s="202"/>
      <c r="DI111" s="202"/>
      <c r="DJ111" s="202"/>
      <c r="DK111" s="202"/>
      <c r="DL111" s="1"/>
      <c r="DM111" s="1"/>
      <c r="DN111" s="1"/>
      <c r="DO111" s="1"/>
      <c r="DP111" s="1"/>
      <c r="DQ111" s="1"/>
      <c r="DR111" s="137"/>
      <c r="DS111" s="137"/>
      <c r="DT111" s="137"/>
      <c r="DU111" s="137"/>
      <c r="DV111" s="137"/>
      <c r="DW111" s="137"/>
      <c r="DX111" s="137"/>
      <c r="DY111" s="137"/>
      <c r="DZ111" s="137"/>
      <c r="EA111" s="137"/>
      <c r="EB111" s="137"/>
      <c r="EC111" s="137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5"/>
        <v>出張セットアップ　操作講習</v>
      </c>
      <c r="FE111" s="64">
        <f t="shared" si="6"/>
        <v>1</v>
      </c>
      <c r="FF111" s="64" t="str">
        <f t="shared" si="7"/>
        <v>一式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9">
        <v>8</v>
      </c>
      <c r="CJ112" s="189"/>
      <c r="CK112" s="197"/>
      <c r="CL112" s="197"/>
      <c r="CM112" s="197"/>
      <c r="CN112" s="197"/>
      <c r="CO112" s="197"/>
      <c r="CP112" s="197"/>
      <c r="CQ112" s="197"/>
      <c r="CR112" s="1"/>
      <c r="CS112" s="17" t="s">
        <v>34</v>
      </c>
      <c r="CT112" s="18"/>
      <c r="CU112" s="15"/>
      <c r="CV112" s="28" t="s">
        <v>27</v>
      </c>
      <c r="CW112" s="202" t="s">
        <v>83</v>
      </c>
      <c r="CX112" s="202"/>
      <c r="CY112" s="202"/>
      <c r="CZ112" s="202"/>
      <c r="DA112" s="202"/>
      <c r="DB112" s="202"/>
      <c r="DC112" s="202"/>
      <c r="DD112" s="202"/>
      <c r="DE112" s="202" t="s">
        <v>84</v>
      </c>
      <c r="DF112" s="202"/>
      <c r="DG112" s="202"/>
      <c r="DH112" s="202"/>
      <c r="DI112" s="202"/>
      <c r="DJ112" s="202"/>
      <c r="DK112" s="202"/>
      <c r="DL112" s="1"/>
      <c r="DM112" s="1"/>
      <c r="DN112" s="1"/>
      <c r="DO112" s="1"/>
      <c r="DP112" s="1"/>
      <c r="DQ112" s="1"/>
      <c r="DR112" s="137"/>
      <c r="DS112" s="137"/>
      <c r="DT112" s="137"/>
      <c r="DU112" s="137"/>
      <c r="DV112" s="137"/>
      <c r="DW112" s="137"/>
      <c r="DX112" s="137"/>
      <c r="DY112" s="137"/>
      <c r="DZ112" s="137"/>
      <c r="EA112" s="137"/>
      <c r="EB112" s="137"/>
      <c r="EC112" s="137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 t="str">
        <f t="shared" si="5"/>
        <v>送料　地域別　　車上渡し</v>
      </c>
      <c r="FE112" s="64">
        <f t="shared" si="6"/>
        <v>1</v>
      </c>
      <c r="FF112" s="64" t="str">
        <f t="shared" si="7"/>
        <v>一式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9">
        <v>9</v>
      </c>
      <c r="CJ113" s="189"/>
      <c r="CK113" s="197"/>
      <c r="CL113" s="197"/>
      <c r="CM113" s="197"/>
      <c r="CN113" s="197"/>
      <c r="CO113" s="197"/>
      <c r="CP113" s="197"/>
      <c r="CQ113" s="197"/>
      <c r="CR113" s="1"/>
      <c r="CS113" s="17" t="s">
        <v>35</v>
      </c>
      <c r="CT113" s="18"/>
      <c r="CU113" s="15"/>
      <c r="CV113" s="28" t="s">
        <v>36</v>
      </c>
      <c r="CW113" s="202" t="s">
        <v>86</v>
      </c>
      <c r="CX113" s="202"/>
      <c r="CY113" s="202"/>
      <c r="CZ113" s="202"/>
      <c r="DA113" s="202"/>
      <c r="DB113" s="202"/>
      <c r="DC113" s="202"/>
      <c r="DD113" s="202"/>
      <c r="DE113" s="202" t="s">
        <v>85</v>
      </c>
      <c r="DF113" s="202"/>
      <c r="DG113" s="202"/>
      <c r="DH113" s="202"/>
      <c r="DI113" s="202"/>
      <c r="DJ113" s="202"/>
      <c r="DK113" s="202"/>
      <c r="DL113" s="1"/>
      <c r="DM113" s="1"/>
      <c r="DN113" s="1"/>
      <c r="DO113" s="1"/>
      <c r="DP113" s="1"/>
      <c r="DQ113" s="1"/>
      <c r="DR113" s="137"/>
      <c r="DS113" s="137"/>
      <c r="DT113" s="137"/>
      <c r="DU113" s="137"/>
      <c r="DV113" s="137"/>
      <c r="DW113" s="137"/>
      <c r="DX113" s="137"/>
      <c r="DY113" s="137"/>
      <c r="DZ113" s="137"/>
      <c r="EA113" s="137"/>
      <c r="EB113" s="137"/>
      <c r="EC113" s="137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購入おすすめ品!$C$7</f>
        <v>0</v>
      </c>
      <c r="FE113" s="64">
        <f>購入おすすめ品!$U$7</f>
        <v>0</v>
      </c>
      <c r="FF113" s="64">
        <f>購入おすすめ品!$Y$7</f>
        <v>0</v>
      </c>
      <c r="FG113" s="64">
        <f>購入おすすめ品!$AB$7</f>
        <v>0</v>
      </c>
      <c r="FH113" s="64">
        <f>購入おすすめ品!$AG$7</f>
        <v>0</v>
      </c>
      <c r="FI113" s="64">
        <f>購入おすすめ品!$AN$7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9">
        <v>10</v>
      </c>
      <c r="CJ114" s="189"/>
      <c r="CK114" s="197"/>
      <c r="CL114" s="197"/>
      <c r="CM114" s="197"/>
      <c r="CN114" s="197"/>
      <c r="CO114" s="197"/>
      <c r="CP114" s="197"/>
      <c r="CQ114" s="197"/>
      <c r="CR114" s="1"/>
      <c r="CS114" s="20" t="s">
        <v>37</v>
      </c>
      <c r="CT114" s="21"/>
      <c r="CU114" s="15"/>
      <c r="CV114" s="28" t="s">
        <v>38</v>
      </c>
      <c r="CW114" s="202" t="s">
        <v>76</v>
      </c>
      <c r="CX114" s="202"/>
      <c r="CY114" s="202"/>
      <c r="CZ114" s="202"/>
      <c r="DA114" s="202"/>
      <c r="DB114" s="202"/>
      <c r="DC114" s="202"/>
      <c r="DD114" s="202"/>
      <c r="DE114" s="202" t="s">
        <v>39</v>
      </c>
      <c r="DF114" s="202"/>
      <c r="DG114" s="202"/>
      <c r="DH114" s="202"/>
      <c r="DI114" s="202"/>
      <c r="DJ114" s="202"/>
      <c r="DK114" s="202"/>
      <c r="DL114" s="1"/>
      <c r="DM114" s="1"/>
      <c r="DN114" s="1"/>
      <c r="DO114" s="1"/>
      <c r="DP114" s="1"/>
      <c r="DQ114" s="1"/>
      <c r="DR114" s="137"/>
      <c r="DS114" s="137"/>
      <c r="DT114" s="137"/>
      <c r="DU114" s="137"/>
      <c r="DV114" s="137"/>
      <c r="DW114" s="137"/>
      <c r="DX114" s="137"/>
      <c r="DY114" s="137"/>
      <c r="DZ114" s="137"/>
      <c r="EA114" s="137"/>
      <c r="EB114" s="137"/>
      <c r="EC114" s="137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購入おすすめ品!$C$8</f>
        <v>0</v>
      </c>
      <c r="FE114" s="64">
        <f>購入おすすめ品!$U$8</f>
        <v>0</v>
      </c>
      <c r="FF114" s="64">
        <f>購入おすすめ品!$Y$8</f>
        <v>0</v>
      </c>
      <c r="FG114" s="64">
        <f>購入おすすめ品!$AB$8</f>
        <v>0</v>
      </c>
      <c r="FH114" s="64">
        <f>購入おすすめ品!$AG$8</f>
        <v>0</v>
      </c>
      <c r="FI114" s="64">
        <f>購入おすすめ品!$AN$8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07" t="s">
        <v>40</v>
      </c>
      <c r="CJ115" s="207"/>
      <c r="CK115" s="197">
        <f>SUM(CK104:CQ114)</f>
        <v>4440000</v>
      </c>
      <c r="CL115" s="197"/>
      <c r="CM115" s="197"/>
      <c r="CN115" s="197"/>
      <c r="CO115" s="197"/>
      <c r="CP115" s="197"/>
      <c r="CQ115" s="197"/>
      <c r="CR115" s="1"/>
      <c r="CS115" s="17" t="s">
        <v>46</v>
      </c>
      <c r="CT115" s="18"/>
      <c r="CU115" s="15"/>
      <c r="CV115" s="28" t="s">
        <v>41</v>
      </c>
      <c r="CW115" s="202" t="s">
        <v>77</v>
      </c>
      <c r="CX115" s="202"/>
      <c r="CY115" s="202"/>
      <c r="CZ115" s="202"/>
      <c r="DA115" s="202"/>
      <c r="DB115" s="202"/>
      <c r="DC115" s="202"/>
      <c r="DD115" s="202"/>
      <c r="DE115" s="202" t="s">
        <v>42</v>
      </c>
      <c r="DF115" s="202"/>
      <c r="DG115" s="202"/>
      <c r="DH115" s="202"/>
      <c r="DI115" s="202"/>
      <c r="DJ115" s="202"/>
      <c r="DK115" s="202"/>
      <c r="DL115" s="1"/>
      <c r="DM115" s="1"/>
      <c r="DN115" s="1"/>
      <c r="DO115" s="1"/>
      <c r="DP115" s="1"/>
      <c r="DQ115" s="1"/>
      <c r="DR115" s="137"/>
      <c r="DS115" s="137"/>
      <c r="DT115" s="137"/>
      <c r="DU115" s="137"/>
      <c r="DV115" s="137"/>
      <c r="DW115" s="137"/>
      <c r="DX115" s="137"/>
      <c r="DY115" s="137"/>
      <c r="DZ115" s="137"/>
      <c r="EA115" s="137"/>
      <c r="EB115" s="137"/>
      <c r="EC115" s="137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購入おすすめ品!$C$9</f>
        <v>0</v>
      </c>
      <c r="FE115" s="64">
        <f>購入おすすめ品!$U$9</f>
        <v>0</v>
      </c>
      <c r="FF115" s="64">
        <f>購入おすすめ品!$Y$9</f>
        <v>0</v>
      </c>
      <c r="FG115" s="64">
        <f>購入おすすめ品!$AB$9</f>
        <v>0</v>
      </c>
      <c r="FH115" s="64">
        <f>購入おすすめ品!$AG$9</f>
        <v>0</v>
      </c>
      <c r="FI115" s="64">
        <f>購入おすすめ品!$AN$9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購入おすすめ品!$C$10</f>
        <v>0</v>
      </c>
      <c r="FE116" s="64">
        <f>購入おすすめ品!$U$10</f>
        <v>0</v>
      </c>
      <c r="FF116" s="64">
        <f>購入おすすめ品!$Y$10</f>
        <v>0</v>
      </c>
      <c r="FG116" s="64">
        <f>購入おすすめ品!$AB$10</f>
        <v>0</v>
      </c>
      <c r="FH116" s="64">
        <f>購入おすすめ品!$AG$10</f>
        <v>0</v>
      </c>
      <c r="FI116" s="64">
        <f>購入おすすめ品!$AN$10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購入おすすめ品!$C$11</f>
        <v>0</v>
      </c>
      <c r="FE117" s="64">
        <f>購入おすすめ品!$U$11</f>
        <v>0</v>
      </c>
      <c r="FF117" s="64">
        <f>購入おすすめ品!$Y$11</f>
        <v>0</v>
      </c>
      <c r="FG117" s="64">
        <f>購入おすすめ品!$AB$11</f>
        <v>0</v>
      </c>
      <c r="FH117" s="64">
        <f>購入おすすめ品!$AG$11</f>
        <v>0</v>
      </c>
      <c r="FI117" s="64">
        <f>購入おすすめ品!$AN$11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購入おすすめ品!$C$12</f>
        <v>0</v>
      </c>
      <c r="FE118" s="64">
        <f>購入おすすめ品!$U$12</f>
        <v>0</v>
      </c>
      <c r="FF118" s="64">
        <f>購入おすすめ品!$Y$12</f>
        <v>0</v>
      </c>
      <c r="FG118" s="64">
        <f>購入おすすめ品!$AB$12</f>
        <v>0</v>
      </c>
      <c r="FH118" s="64">
        <f>購入おすすめ品!$AG$12</f>
        <v>0</v>
      </c>
      <c r="FI118" s="64">
        <f>購入おすすめ品!$AN$12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142" t="s">
        <v>43</v>
      </c>
      <c r="CJ119" s="142"/>
      <c r="CK119" s="142"/>
      <c r="CL119" s="142"/>
      <c r="CM119" s="118" t="s">
        <v>87</v>
      </c>
      <c r="CN119" s="119"/>
      <c r="CO119" s="119"/>
      <c r="CP119" s="119"/>
      <c r="CQ119" s="119"/>
      <c r="CR119" s="119"/>
      <c r="CS119" s="119"/>
      <c r="CT119" s="119"/>
      <c r="CU119" s="119"/>
      <c r="CV119" s="119"/>
      <c r="CW119" s="119"/>
      <c r="CX119" s="119"/>
      <c r="CY119" s="119"/>
      <c r="CZ119" s="119"/>
      <c r="DA119" s="119"/>
      <c r="DB119" s="119"/>
      <c r="DC119" s="119"/>
      <c r="DD119" s="119"/>
      <c r="DE119" s="119"/>
      <c r="DF119" s="119"/>
      <c r="DG119" s="119"/>
      <c r="DH119" s="119"/>
      <c r="DI119" s="119"/>
      <c r="DJ119" s="119"/>
      <c r="DK119" s="119"/>
      <c r="DL119" s="1"/>
      <c r="DM119" s="190" t="s">
        <v>45</v>
      </c>
      <c r="DN119" s="192"/>
      <c r="DO119" s="204" t="s">
        <v>80</v>
      </c>
      <c r="DP119" s="205"/>
      <c r="DQ119" s="205"/>
      <c r="DR119" s="205"/>
      <c r="DS119" s="205"/>
      <c r="DT119" s="205"/>
      <c r="DU119" s="206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購入おすすめ品!$C$13</f>
        <v>0</v>
      </c>
      <c r="FE119" s="64">
        <f>購入おすすめ品!$U$13</f>
        <v>0</v>
      </c>
      <c r="FF119" s="64">
        <f>購入おすすめ品!$Y$13</f>
        <v>0</v>
      </c>
      <c r="FG119" s="64">
        <f>購入おすすめ品!$AB$13</f>
        <v>0</v>
      </c>
      <c r="FH119" s="64">
        <f>購入おすすめ品!$AG$13</f>
        <v>0</v>
      </c>
      <c r="FI119" s="64">
        <f>購入おすすめ品!$AN$13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142" t="s">
        <v>73</v>
      </c>
      <c r="CJ120" s="142"/>
      <c r="CK120" s="142"/>
      <c r="CL120" s="142"/>
      <c r="CM120" s="118"/>
      <c r="CN120" s="119"/>
      <c r="CO120" s="119"/>
      <c r="CP120" s="119"/>
      <c r="CQ120" s="119"/>
      <c r="CR120" s="119"/>
      <c r="CS120" s="119"/>
      <c r="CT120" s="119"/>
      <c r="CU120" s="119"/>
      <c r="CV120" s="119"/>
      <c r="CW120" s="119"/>
      <c r="CX120" s="119"/>
      <c r="CY120" s="119"/>
      <c r="CZ120" s="119"/>
      <c r="DA120" s="119"/>
      <c r="DB120" s="119"/>
      <c r="DC120" s="119"/>
      <c r="DD120" s="119"/>
      <c r="DE120" s="119"/>
      <c r="DF120" s="119"/>
      <c r="DG120" s="119"/>
      <c r="DH120" s="119"/>
      <c r="DI120" s="119"/>
      <c r="DJ120" s="119"/>
      <c r="DK120" s="119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購入おすすめ品!$C$14</f>
        <v>0</v>
      </c>
      <c r="FE120" s="64">
        <f>購入おすすめ品!$U$14</f>
        <v>0</v>
      </c>
      <c r="FF120" s="64">
        <f>購入おすすめ品!$Y$14</f>
        <v>0</v>
      </c>
      <c r="FG120" s="64">
        <f>購入おすすめ品!$AB$14</f>
        <v>0</v>
      </c>
      <c r="FH120" s="64">
        <f>購入おすすめ品!$AG$14</f>
        <v>0</v>
      </c>
      <c r="FI120" s="64">
        <f>購入おすすめ品!$AN$14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購入おすすめ品!$C$15</f>
        <v>0</v>
      </c>
      <c r="FE121" s="64">
        <f>購入おすすめ品!$U$15</f>
        <v>0</v>
      </c>
      <c r="FF121" s="64">
        <f>購入おすすめ品!$Y$15</f>
        <v>0</v>
      </c>
      <c r="FG121" s="64">
        <f>購入おすすめ品!$AB$15</f>
        <v>0</v>
      </c>
      <c r="FH121" s="64">
        <f>購入おすすめ品!$AG$15</f>
        <v>0</v>
      </c>
      <c r="FI121" s="64">
        <f>購入おすすめ品!$AN$15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購入おすすめ品!$C$16</f>
        <v>0</v>
      </c>
      <c r="FE122" s="64">
        <f>購入おすすめ品!$U$16</f>
        <v>0</v>
      </c>
      <c r="FF122" s="64">
        <f>購入おすすめ品!$Y$16</f>
        <v>0</v>
      </c>
      <c r="FG122" s="64">
        <f>購入おすすめ品!$AB$16</f>
        <v>0</v>
      </c>
      <c r="FH122" s="64">
        <f>購入おすすめ品!$AG$16</f>
        <v>0</v>
      </c>
      <c r="FI122" s="64">
        <f>購入おすすめ品!$AN$16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購入おすすめ品!$C$17</f>
        <v>0</v>
      </c>
      <c r="FE123" s="64">
        <f>購入おすすめ品!$U$17</f>
        <v>0</v>
      </c>
      <c r="FF123" s="64">
        <f>購入おすすめ品!$Y$17</f>
        <v>0</v>
      </c>
      <c r="FG123" s="64">
        <f>購入おすすめ品!$AB$17</f>
        <v>0</v>
      </c>
      <c r="FH123" s="64">
        <f>購入おすすめ品!$AG$17</f>
        <v>0</v>
      </c>
      <c r="FI123" s="64">
        <f>購入おすすめ品!$AN$17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購入おすすめ品!$C$18</f>
        <v>0</v>
      </c>
      <c r="FE124" s="64">
        <f>購入おすすめ品!$U$18</f>
        <v>0</v>
      </c>
      <c r="FF124" s="64">
        <f>購入おすすめ品!$Y$18</f>
        <v>0</v>
      </c>
      <c r="FG124" s="64">
        <f>購入おすすめ品!$AB$18</f>
        <v>0</v>
      </c>
      <c r="FH124" s="64">
        <f>購入おすすめ品!$AG$18</f>
        <v>0</v>
      </c>
      <c r="FI124" s="64">
        <f>購入おすすめ品!$AN$18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購入おすすめ品!$C$19</f>
        <v>0</v>
      </c>
      <c r="FE125" s="64">
        <f>購入おすすめ品!$U$19</f>
        <v>0</v>
      </c>
      <c r="FF125" s="64">
        <f>購入おすすめ品!$Y$19</f>
        <v>0</v>
      </c>
      <c r="FG125" s="64">
        <f>購入おすすめ品!$AB$19</f>
        <v>0</v>
      </c>
      <c r="FH125" s="64">
        <f>購入おすすめ品!$AG$19</f>
        <v>0</v>
      </c>
      <c r="FI125" s="64">
        <f>購入おすすめ品!$AN$19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購入おすすめ品!$C$20</f>
        <v>0</v>
      </c>
      <c r="FE126" s="64">
        <f>購入おすすめ品!$U$20</f>
        <v>0</v>
      </c>
      <c r="FF126" s="64">
        <f>購入おすすめ品!$Y$20</f>
        <v>0</v>
      </c>
      <c r="FG126" s="64">
        <f>購入おすすめ品!$AB$20</f>
        <v>0</v>
      </c>
      <c r="FH126" s="64">
        <f>購入おすすめ品!$AG$20</f>
        <v>0</v>
      </c>
      <c r="FI126" s="64">
        <f>購入おすすめ品!$AN$20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購入おすすめ品!$C$21</f>
        <v>0</v>
      </c>
      <c r="FE127" s="64">
        <f>購入おすすめ品!$U$21</f>
        <v>0</v>
      </c>
      <c r="FF127" s="64">
        <f>購入おすすめ品!$Y$21</f>
        <v>0</v>
      </c>
      <c r="FG127" s="64">
        <f>購入おすすめ品!$AB$21</f>
        <v>0</v>
      </c>
      <c r="FH127" s="64">
        <f>購入おすすめ品!$AG$21</f>
        <v>0</v>
      </c>
      <c r="FI127" s="64">
        <f>購入おすすめ品!$AN$21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購入おすすめ品!$C$22</f>
        <v>0</v>
      </c>
      <c r="FE128" s="64">
        <f>購入おすすめ品!$U$22</f>
        <v>0</v>
      </c>
      <c r="FF128" s="64">
        <f>購入おすすめ品!$Y$22</f>
        <v>0</v>
      </c>
      <c r="FG128" s="64">
        <f>購入おすすめ品!$AB$22</f>
        <v>0</v>
      </c>
      <c r="FH128" s="64">
        <f>購入おすすめ品!$AG$22</f>
        <v>0</v>
      </c>
      <c r="FI128" s="64">
        <f>購入おすすめ品!$AN$22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購入おすすめ品!$C$23</f>
        <v>0</v>
      </c>
      <c r="FE129" s="64">
        <f>購入おすすめ品!$U$23</f>
        <v>0</v>
      </c>
      <c r="FF129" s="64">
        <f>購入おすすめ品!$Y$23</f>
        <v>0</v>
      </c>
      <c r="FG129" s="64">
        <f>購入おすすめ品!$AB$23</f>
        <v>0</v>
      </c>
      <c r="FH129" s="64">
        <f>購入おすすめ品!$AG$23</f>
        <v>0</v>
      </c>
      <c r="FI129" s="64">
        <f>購入おすすめ品!$AN$23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購入おすすめ品!$C$24</f>
        <v>0</v>
      </c>
      <c r="FE130" s="64">
        <f>購入おすすめ品!$U$24</f>
        <v>0</v>
      </c>
      <c r="FF130" s="64">
        <f>購入おすすめ品!$Y$24</f>
        <v>0</v>
      </c>
      <c r="FG130" s="64">
        <f>購入おすすめ品!$AB$24</f>
        <v>0</v>
      </c>
      <c r="FH130" s="64">
        <f>購入おすすめ品!$AG$24</f>
        <v>0</v>
      </c>
      <c r="FI130" s="64">
        <f>購入おすすめ品!$AN$24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購入おすすめ品!$C$25</f>
        <v>0</v>
      </c>
      <c r="FE131" s="64">
        <f>購入おすすめ品!$U$25</f>
        <v>0</v>
      </c>
      <c r="FF131" s="64">
        <f>購入おすすめ品!$Y$25</f>
        <v>0</v>
      </c>
      <c r="FG131" s="64">
        <f>購入おすすめ品!$AB$25</f>
        <v>0</v>
      </c>
      <c r="FH131" s="64">
        <f>購入おすすめ品!$AG$25</f>
        <v>0</v>
      </c>
      <c r="FI131" s="64">
        <f>購入おすすめ品!$AN$25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購入おすすめ品!$C$26</f>
        <v>0</v>
      </c>
      <c r="FE132" s="64">
        <f>購入おすすめ品!$U$26</f>
        <v>0</v>
      </c>
      <c r="FF132" s="64">
        <f>購入おすすめ品!$Y$26</f>
        <v>0</v>
      </c>
      <c r="FG132" s="64">
        <f>購入おすすめ品!$AB$26</f>
        <v>0</v>
      </c>
      <c r="FH132" s="64">
        <f>購入おすすめ品!$AG$26</f>
        <v>0</v>
      </c>
      <c r="FI132" s="64">
        <f>購入おすすめ品!$AN$26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購入おすすめ品!$C$27</f>
        <v>0</v>
      </c>
      <c r="FE133" s="64">
        <f>購入おすすめ品!$U$27</f>
        <v>0</v>
      </c>
      <c r="FF133" s="64">
        <f>購入おすすめ品!$Y$27</f>
        <v>0</v>
      </c>
      <c r="FG133" s="64">
        <f>購入おすすめ品!$AB$27</f>
        <v>0</v>
      </c>
      <c r="FH133" s="64">
        <f>購入おすすめ品!$AG$27</f>
        <v>0</v>
      </c>
      <c r="FI133" s="64">
        <f>購入おすすめ品!$AN$27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購入おすすめ品!$C$28</f>
        <v>0</v>
      </c>
      <c r="FE134" s="64">
        <f>購入おすすめ品!$U$28</f>
        <v>0</v>
      </c>
      <c r="FF134" s="64">
        <f>購入おすすめ品!$Y$28</f>
        <v>0</v>
      </c>
      <c r="FG134" s="64">
        <f>購入おすすめ品!$AB$28</f>
        <v>0</v>
      </c>
      <c r="FH134" s="64">
        <f>購入おすすめ品!$AG$28</f>
        <v>0</v>
      </c>
      <c r="FI134" s="64">
        <f>購入おすすめ品!$AN$28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購入おすすめ品!$C$29</f>
        <v>0</v>
      </c>
      <c r="FE135" s="64">
        <f>購入おすすめ品!$U$29</f>
        <v>0</v>
      </c>
      <c r="FF135" s="64">
        <f>購入おすすめ品!$Y$29</f>
        <v>0</v>
      </c>
      <c r="FG135" s="64">
        <f>購入おすすめ品!$AB$29</f>
        <v>0</v>
      </c>
      <c r="FH135" s="64">
        <f>購入おすすめ品!$AG$29</f>
        <v>0</v>
      </c>
      <c r="FI135" s="64">
        <f>購入おすすめ品!$AN$29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63</v>
      </c>
      <c r="FC400" s="62" t="s">
        <v>64</v>
      </c>
      <c r="FD400" s="62" t="s">
        <v>65</v>
      </c>
      <c r="FE400" s="62" t="s">
        <v>66</v>
      </c>
      <c r="FF400" s="62" t="s">
        <v>18</v>
      </c>
      <c r="FG400" s="62" t="s">
        <v>69</v>
      </c>
      <c r="FH400" s="62" t="s">
        <v>67</v>
      </c>
      <c r="FI400" s="62" t="s">
        <v>68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T24:Z25"/>
    <mergeCell ref="J17:L17"/>
    <mergeCell ref="J20:U21"/>
    <mergeCell ref="P2:R2"/>
    <mergeCell ref="M2:O2"/>
    <mergeCell ref="D5:R5"/>
    <mergeCell ref="E3:H3"/>
    <mergeCell ref="H13:T13"/>
    <mergeCell ref="H11:S11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B000000}"/>
    <dataValidation imeMode="hiragana" allowBlank="1" showInputMessage="1" showErrorMessage="1" prompt="品名を入力" sqref="B26:S37" xr:uid="{00000000-0002-0000-0000-00000C000000}"/>
    <dataValidation imeMode="off" allowBlank="1" showInputMessage="1" showErrorMessage="1" prompt="数量を入力" sqref="T26:W37" xr:uid="{00000000-0002-0000-0000-00000D000000}"/>
    <dataValidation imeMode="off" allowBlank="1" showInputMessage="1" showErrorMessage="1" prompt="単価を入力" sqref="AA26:AE37" xr:uid="{00000000-0002-0000-0000-00000E000000}"/>
    <dataValidation imeMode="hiragana" allowBlank="1" showInputMessage="1" showErrorMessage="1" prompt="備考があれば入力" sqref="AN34:AS37 AM26:AM37" xr:uid="{00000000-0002-0000-0000-00000F000000}"/>
    <dataValidation type="list" allowBlank="1" showInputMessage="1" showErrorMessage="1" sqref="AA2:AJ3" xr:uid="{00000000-0002-0000-0000-000010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1000000}">
      <formula1>$CS$104:$CS$116</formula1>
    </dataValidation>
    <dataValidation type="list" allowBlank="1" showInputMessage="1" showErrorMessage="1" sqref="T7:V8" xr:uid="{00000000-0002-0000-0000-000012000000}">
      <formula1>$CE$109:$CE$111</formula1>
    </dataValidation>
    <dataValidation type="list" allowBlank="1" showInputMessage="1" showErrorMessage="1" sqref="DM104:DR104" xr:uid="{00000000-0002-0000-0000-000013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4000000}"/>
    <dataValidation allowBlank="1" showInputMessage="1" showErrorMessage="1" promptTitle="明細書01の状態" prompt="明細書01が表示されているときは 0_x000a_明細書01が非表示のときは 1" sqref="CE107" xr:uid="{00000000-0002-0000-0000-000015000000}"/>
    <dataValidation imeMode="hiragana" allowBlank="1" showInputMessage="1" showErrorMessage="1" prompt="取引方法を入力_x000a_例：従来通り" sqref="I15:T15" xr:uid="{00000000-0002-0000-0000-000016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Button 69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Button 328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Button 35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Button 357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8DBA-12B1-46D5-B519-0484D4B5D07C}">
  <sheetPr>
    <pageSetUpPr fitToPage="1"/>
  </sheetPr>
  <dimension ref="A1:FI642"/>
  <sheetViews>
    <sheetView showGridLines="0" showRowColHeaders="0" workbookViewId="0">
      <selection activeCell="BJ29" sqref="BJ29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4" t="s">
        <v>78</v>
      </c>
      <c r="N2" s="94"/>
      <c r="O2" s="94"/>
      <c r="P2" s="94"/>
      <c r="Q2" s="94"/>
      <c r="R2" s="94"/>
      <c r="W2" s="4"/>
      <c r="X2" s="4"/>
      <c r="Y2" s="4"/>
      <c r="Z2" s="4"/>
      <c r="AA2" s="120" t="s">
        <v>47</v>
      </c>
      <c r="AB2" s="120"/>
      <c r="AC2" s="120"/>
      <c r="AD2" s="120"/>
      <c r="AE2" s="120"/>
      <c r="AF2" s="120"/>
      <c r="AG2" s="120"/>
      <c r="AH2" s="120"/>
      <c r="AI2" s="120"/>
      <c r="AJ2" s="120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97"/>
      <c r="F3" s="97"/>
      <c r="G3" s="97"/>
      <c r="H3" s="97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L3" s="5" t="s">
        <v>0</v>
      </c>
      <c r="AM3" s="5"/>
      <c r="AN3" s="91" t="s">
        <v>130</v>
      </c>
      <c r="AO3" s="91"/>
      <c r="AP3" s="91"/>
      <c r="AQ3" s="91"/>
      <c r="AR3" s="91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95" t="s">
        <v>134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95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12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101</v>
      </c>
      <c r="AH6" s="12"/>
      <c r="AI6" s="116">
        <v>7</v>
      </c>
      <c r="AJ6" s="116"/>
      <c r="AK6" s="116"/>
      <c r="AL6" s="9" t="s">
        <v>1</v>
      </c>
      <c r="AM6" s="116">
        <v>7</v>
      </c>
      <c r="AN6" s="116"/>
      <c r="AO6" s="9" t="s">
        <v>2</v>
      </c>
      <c r="AP6" s="116">
        <v>24</v>
      </c>
      <c r="AQ6" s="116"/>
      <c r="AR6" s="31" t="s">
        <v>94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14" t="s">
        <v>135</v>
      </c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3" t="s">
        <v>55</v>
      </c>
      <c r="U7" s="113"/>
      <c r="V7" s="11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3"/>
      <c r="U8" s="113"/>
      <c r="V8" s="11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0" t="s">
        <v>114</v>
      </c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8" t="s">
        <v>115</v>
      </c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74"/>
      <c r="Z13" s="78"/>
      <c r="AA13" s="78"/>
      <c r="AB13" s="121" t="s">
        <v>57</v>
      </c>
      <c r="AC13" s="121"/>
      <c r="AD13" s="121"/>
      <c r="AE13" s="122" t="s">
        <v>81</v>
      </c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6</v>
      </c>
      <c r="E15" s="74"/>
      <c r="F15" s="74"/>
      <c r="G15" s="74"/>
      <c r="I15" s="81" t="s">
        <v>116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23" t="s">
        <v>58</v>
      </c>
      <c r="AC15" s="123"/>
      <c r="AD15" s="123"/>
      <c r="AE15" s="122" t="s">
        <v>82</v>
      </c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 t="s">
        <v>92</v>
      </c>
      <c r="F17" s="5"/>
      <c r="G17" s="5" t="s">
        <v>100</v>
      </c>
      <c r="H17" s="5"/>
      <c r="I17" s="5"/>
      <c r="J17" s="91" t="s">
        <v>96</v>
      </c>
      <c r="K17" s="91"/>
      <c r="L17" s="91"/>
      <c r="M17" s="5"/>
      <c r="N17" s="91" t="s">
        <v>95</v>
      </c>
      <c r="O17" s="91"/>
      <c r="P17" s="5"/>
      <c r="Q17" s="91"/>
      <c r="R17" s="91"/>
      <c r="S17" s="5"/>
      <c r="T17" s="5"/>
      <c r="U17" s="5"/>
      <c r="W17" s="78"/>
      <c r="X17" s="30"/>
      <c r="AB17" s="79" t="s">
        <v>7</v>
      </c>
      <c r="AC17" s="79"/>
      <c r="AD17" s="79"/>
      <c r="AE17" s="79"/>
      <c r="AF17" s="98" t="s">
        <v>97</v>
      </c>
      <c r="AG17" s="98"/>
      <c r="AH17" s="98"/>
      <c r="AI17" s="98"/>
      <c r="AJ17" s="98"/>
      <c r="AK17" s="98"/>
      <c r="AL17" s="9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78"/>
      <c r="D19" s="78"/>
      <c r="E19" s="78"/>
      <c r="F19" s="78"/>
      <c r="G19" s="78"/>
      <c r="H19" s="78"/>
      <c r="I19" s="78"/>
      <c r="J19" s="84">
        <f>H39</f>
        <v>4884000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78"/>
      <c r="W19" s="78"/>
      <c r="AB19" s="101"/>
      <c r="AC19" s="102"/>
      <c r="AD19" s="102"/>
      <c r="AE19" s="102"/>
      <c r="AF19" s="103"/>
      <c r="AG19" s="101"/>
      <c r="AH19" s="102"/>
      <c r="AI19" s="102"/>
      <c r="AJ19" s="102"/>
      <c r="AK19" s="103"/>
      <c r="AL19" s="101"/>
      <c r="AM19" s="102"/>
      <c r="AN19" s="102"/>
      <c r="AO19" s="102"/>
      <c r="AP19" s="103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78"/>
      <c r="D20" s="110" t="s">
        <v>98</v>
      </c>
      <c r="E20" s="110"/>
      <c r="F20" s="110"/>
      <c r="G20" s="110"/>
      <c r="H20" s="110"/>
      <c r="I20" s="110"/>
      <c r="J20" s="92">
        <f>H39</f>
        <v>4884000</v>
      </c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78"/>
      <c r="W20" s="78"/>
      <c r="AB20" s="104"/>
      <c r="AC20" s="105"/>
      <c r="AD20" s="105"/>
      <c r="AE20" s="105"/>
      <c r="AF20" s="106"/>
      <c r="AG20" s="104"/>
      <c r="AH20" s="105"/>
      <c r="AI20" s="105"/>
      <c r="AJ20" s="105"/>
      <c r="AK20" s="106"/>
      <c r="AL20" s="104"/>
      <c r="AM20" s="105"/>
      <c r="AN20" s="105"/>
      <c r="AO20" s="105"/>
      <c r="AP20" s="106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78"/>
      <c r="D21" s="111"/>
      <c r="E21" s="111"/>
      <c r="F21" s="111"/>
      <c r="G21" s="111"/>
      <c r="H21" s="111"/>
      <c r="I21" s="111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78"/>
      <c r="W21" s="78"/>
      <c r="AB21" s="104"/>
      <c r="AC21" s="105"/>
      <c r="AD21" s="105"/>
      <c r="AE21" s="105"/>
      <c r="AF21" s="106"/>
      <c r="AG21" s="104"/>
      <c r="AH21" s="105"/>
      <c r="AI21" s="105"/>
      <c r="AJ21" s="105"/>
      <c r="AK21" s="106"/>
      <c r="AL21" s="104"/>
      <c r="AM21" s="105"/>
      <c r="AN21" s="105"/>
      <c r="AO21" s="105"/>
      <c r="AP21" s="106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17" t="s">
        <v>105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78"/>
      <c r="AB22" s="107"/>
      <c r="AC22" s="108"/>
      <c r="AD22" s="108"/>
      <c r="AE22" s="108"/>
      <c r="AF22" s="109"/>
      <c r="AG22" s="107"/>
      <c r="AH22" s="108"/>
      <c r="AI22" s="108"/>
      <c r="AJ22" s="108"/>
      <c r="AK22" s="109"/>
      <c r="AL22" s="107"/>
      <c r="AM22" s="108"/>
      <c r="AN22" s="108"/>
      <c r="AO22" s="108"/>
      <c r="AP22" s="109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50" t="s">
        <v>9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2"/>
      <c r="T24" s="85" t="s">
        <v>10</v>
      </c>
      <c r="U24" s="86"/>
      <c r="V24" s="86"/>
      <c r="W24" s="86"/>
      <c r="X24" s="86"/>
      <c r="Y24" s="86"/>
      <c r="Z24" s="87"/>
      <c r="AA24" s="85" t="s">
        <v>99</v>
      </c>
      <c r="AB24" s="86"/>
      <c r="AC24" s="86"/>
      <c r="AD24" s="86"/>
      <c r="AE24" s="86"/>
      <c r="AF24" s="85" t="s">
        <v>12</v>
      </c>
      <c r="AG24" s="86"/>
      <c r="AH24" s="86"/>
      <c r="AI24" s="86"/>
      <c r="AJ24" s="86"/>
      <c r="AK24" s="86"/>
      <c r="AL24" s="87"/>
      <c r="AM24" s="85" t="s">
        <v>13</v>
      </c>
      <c r="AN24" s="86"/>
      <c r="AO24" s="86"/>
      <c r="AP24" s="86"/>
      <c r="AQ24" s="86"/>
      <c r="AR24" s="86"/>
      <c r="AS24" s="148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53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5"/>
      <c r="T25" s="88"/>
      <c r="U25" s="89"/>
      <c r="V25" s="89"/>
      <c r="W25" s="89"/>
      <c r="X25" s="89"/>
      <c r="Y25" s="89"/>
      <c r="Z25" s="90"/>
      <c r="AA25" s="88"/>
      <c r="AB25" s="89"/>
      <c r="AC25" s="89"/>
      <c r="AD25" s="89"/>
      <c r="AE25" s="89"/>
      <c r="AF25" s="88"/>
      <c r="AG25" s="89"/>
      <c r="AH25" s="89"/>
      <c r="AI25" s="89"/>
      <c r="AJ25" s="89"/>
      <c r="AK25" s="89"/>
      <c r="AL25" s="90"/>
      <c r="AM25" s="88"/>
      <c r="AN25" s="89"/>
      <c r="AO25" s="89"/>
      <c r="AP25" s="89"/>
      <c r="AQ25" s="89"/>
      <c r="AR25" s="89"/>
      <c r="AS25" s="149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3" t="s">
        <v>117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27"/>
      <c r="U26" s="128"/>
      <c r="V26" s="128"/>
      <c r="W26" s="128"/>
      <c r="X26" s="146"/>
      <c r="Y26" s="146"/>
      <c r="Z26" s="147"/>
      <c r="AA26" s="127"/>
      <c r="AB26" s="128"/>
      <c r="AC26" s="128"/>
      <c r="AD26" s="128"/>
      <c r="AE26" s="129"/>
      <c r="AF26" s="127">
        <f t="shared" ref="AF26:AF37" si="0">IF(T26="",1*AA26,T26*AA26)</f>
        <v>0</v>
      </c>
      <c r="AG26" s="128"/>
      <c r="AH26" s="128"/>
      <c r="AI26" s="128"/>
      <c r="AJ26" s="128"/>
      <c r="AK26" s="128"/>
      <c r="AL26" s="129"/>
      <c r="AM26" s="130"/>
      <c r="AN26" s="131"/>
      <c r="AO26" s="131"/>
      <c r="AP26" s="131"/>
      <c r="AQ26" s="131"/>
      <c r="AR26" s="131"/>
      <c r="AS26" s="13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3" t="s">
        <v>131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27"/>
      <c r="U27" s="128"/>
      <c r="V27" s="128"/>
      <c r="W27" s="128"/>
      <c r="X27" s="146" t="s">
        <v>22</v>
      </c>
      <c r="Y27" s="146"/>
      <c r="Z27" s="147"/>
      <c r="AA27" s="127">
        <v>1580000</v>
      </c>
      <c r="AB27" s="128"/>
      <c r="AC27" s="128"/>
      <c r="AD27" s="128"/>
      <c r="AE27" s="129"/>
      <c r="AF27" s="127">
        <f t="shared" si="0"/>
        <v>1580000</v>
      </c>
      <c r="AG27" s="128"/>
      <c r="AH27" s="128"/>
      <c r="AI27" s="128"/>
      <c r="AJ27" s="128"/>
      <c r="AK27" s="128"/>
      <c r="AL27" s="129"/>
      <c r="AM27" s="130" t="s">
        <v>136</v>
      </c>
      <c r="AN27" s="131"/>
      <c r="AO27" s="131"/>
      <c r="AP27" s="131"/>
      <c r="AQ27" s="131"/>
      <c r="AR27" s="131"/>
      <c r="AS27" s="132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3" t="s">
        <v>118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27"/>
      <c r="U28" s="128"/>
      <c r="V28" s="128"/>
      <c r="W28" s="128"/>
      <c r="X28" s="146"/>
      <c r="Y28" s="146"/>
      <c r="Z28" s="147"/>
      <c r="AA28" s="127"/>
      <c r="AB28" s="128"/>
      <c r="AC28" s="128"/>
      <c r="AD28" s="128"/>
      <c r="AE28" s="129"/>
      <c r="AF28" s="127">
        <f>IF(T28="",1*AA28,T28*AA28)</f>
        <v>0</v>
      </c>
      <c r="AG28" s="128"/>
      <c r="AH28" s="128"/>
      <c r="AI28" s="128"/>
      <c r="AJ28" s="128"/>
      <c r="AK28" s="128"/>
      <c r="AL28" s="129"/>
      <c r="AM28" s="130"/>
      <c r="AN28" s="131"/>
      <c r="AO28" s="131"/>
      <c r="AP28" s="131"/>
      <c r="AQ28" s="131"/>
      <c r="AR28" s="131"/>
      <c r="AS28" s="132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3" t="s">
        <v>131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27"/>
      <c r="U29" s="128"/>
      <c r="V29" s="128"/>
      <c r="W29" s="128"/>
      <c r="X29" s="146" t="s">
        <v>22</v>
      </c>
      <c r="Y29" s="146"/>
      <c r="Z29" s="147"/>
      <c r="AA29" s="127">
        <v>1480000</v>
      </c>
      <c r="AB29" s="128"/>
      <c r="AC29" s="128"/>
      <c r="AD29" s="128"/>
      <c r="AE29" s="129"/>
      <c r="AF29" s="127">
        <f t="shared" ref="AF29:AF32" si="1">IF(T29="",1*AA29,T29*AA29)</f>
        <v>1480000</v>
      </c>
      <c r="AG29" s="128"/>
      <c r="AH29" s="128"/>
      <c r="AI29" s="128"/>
      <c r="AJ29" s="128"/>
      <c r="AK29" s="128"/>
      <c r="AL29" s="129"/>
      <c r="AM29" s="130" t="s">
        <v>136</v>
      </c>
      <c r="AN29" s="131"/>
      <c r="AO29" s="131"/>
      <c r="AP29" s="131"/>
      <c r="AQ29" s="131"/>
      <c r="AR29" s="131"/>
      <c r="AS29" s="132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3" t="s">
        <v>119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27"/>
      <c r="U30" s="128"/>
      <c r="V30" s="128"/>
      <c r="W30" s="128"/>
      <c r="X30" s="146"/>
      <c r="Y30" s="146"/>
      <c r="Z30" s="147"/>
      <c r="AA30" s="127"/>
      <c r="AB30" s="128"/>
      <c r="AC30" s="128"/>
      <c r="AD30" s="128"/>
      <c r="AE30" s="129"/>
      <c r="AF30" s="127">
        <f t="shared" si="1"/>
        <v>0</v>
      </c>
      <c r="AG30" s="128"/>
      <c r="AH30" s="128"/>
      <c r="AI30" s="128"/>
      <c r="AJ30" s="128"/>
      <c r="AK30" s="128"/>
      <c r="AL30" s="129"/>
      <c r="AM30" s="130"/>
      <c r="AN30" s="131"/>
      <c r="AO30" s="131"/>
      <c r="AP30" s="131"/>
      <c r="AQ30" s="131"/>
      <c r="AR30" s="131"/>
      <c r="AS30" s="132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3" t="s">
        <v>131</v>
      </c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27"/>
      <c r="U31" s="128"/>
      <c r="V31" s="128"/>
      <c r="W31" s="128"/>
      <c r="X31" s="146" t="s">
        <v>22</v>
      </c>
      <c r="Y31" s="146"/>
      <c r="Z31" s="147"/>
      <c r="AA31" s="127">
        <v>1380000</v>
      </c>
      <c r="AB31" s="128"/>
      <c r="AC31" s="128"/>
      <c r="AD31" s="128"/>
      <c r="AE31" s="129"/>
      <c r="AF31" s="127">
        <f t="shared" si="1"/>
        <v>1380000</v>
      </c>
      <c r="AG31" s="128"/>
      <c r="AH31" s="128"/>
      <c r="AI31" s="128"/>
      <c r="AJ31" s="128"/>
      <c r="AK31" s="128"/>
      <c r="AL31" s="129"/>
      <c r="AM31" s="130" t="s">
        <v>136</v>
      </c>
      <c r="AN31" s="131"/>
      <c r="AO31" s="131"/>
      <c r="AP31" s="131"/>
      <c r="AQ31" s="131"/>
      <c r="AR31" s="131"/>
      <c r="AS31" s="132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27"/>
      <c r="U32" s="128"/>
      <c r="V32" s="128"/>
      <c r="W32" s="128"/>
      <c r="X32" s="146"/>
      <c r="Y32" s="146"/>
      <c r="Z32" s="147"/>
      <c r="AA32" s="127"/>
      <c r="AB32" s="128"/>
      <c r="AC32" s="128"/>
      <c r="AD32" s="128"/>
      <c r="AE32" s="129"/>
      <c r="AF32" s="127">
        <f t="shared" si="1"/>
        <v>0</v>
      </c>
      <c r="AG32" s="128"/>
      <c r="AH32" s="128"/>
      <c r="AI32" s="128"/>
      <c r="AJ32" s="128"/>
      <c r="AK32" s="128"/>
      <c r="AL32" s="129"/>
      <c r="AM32" s="124"/>
      <c r="AN32" s="125"/>
      <c r="AO32" s="125"/>
      <c r="AP32" s="125"/>
      <c r="AQ32" s="125"/>
      <c r="AR32" s="125"/>
      <c r="AS32" s="126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27"/>
      <c r="U33" s="128"/>
      <c r="V33" s="128"/>
      <c r="W33" s="128"/>
      <c r="X33" s="146"/>
      <c r="Y33" s="146"/>
      <c r="Z33" s="147"/>
      <c r="AA33" s="127"/>
      <c r="AB33" s="128"/>
      <c r="AC33" s="128"/>
      <c r="AD33" s="128"/>
      <c r="AE33" s="129"/>
      <c r="AF33" s="127">
        <f>IF(T33="",1*AA33,T33*AA33)</f>
        <v>0</v>
      </c>
      <c r="AG33" s="128"/>
      <c r="AH33" s="128"/>
      <c r="AI33" s="128"/>
      <c r="AJ33" s="128"/>
      <c r="AK33" s="128"/>
      <c r="AL33" s="129"/>
      <c r="AM33" s="130"/>
      <c r="AN33" s="131"/>
      <c r="AO33" s="131"/>
      <c r="AP33" s="131"/>
      <c r="AQ33" s="131"/>
      <c r="AR33" s="131"/>
      <c r="AS33" s="132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3" t="s">
        <v>132</v>
      </c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27"/>
      <c r="U34" s="128"/>
      <c r="V34" s="128"/>
      <c r="W34" s="128"/>
      <c r="X34" s="146"/>
      <c r="Y34" s="146"/>
      <c r="Z34" s="147"/>
      <c r="AA34" s="127"/>
      <c r="AB34" s="128"/>
      <c r="AC34" s="128"/>
      <c r="AD34" s="128"/>
      <c r="AE34" s="129"/>
      <c r="AF34" s="127">
        <f>IF(T34="",1*AA34,T34*AA34)</f>
        <v>0</v>
      </c>
      <c r="AG34" s="128"/>
      <c r="AH34" s="128"/>
      <c r="AI34" s="128"/>
      <c r="AJ34" s="128"/>
      <c r="AK34" s="128"/>
      <c r="AL34" s="129"/>
      <c r="AM34" s="124"/>
      <c r="AN34" s="125"/>
      <c r="AO34" s="125"/>
      <c r="AP34" s="125"/>
      <c r="AQ34" s="125"/>
      <c r="AR34" s="125"/>
      <c r="AS34" s="126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3" t="s">
        <v>133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27"/>
      <c r="U35" s="128"/>
      <c r="V35" s="128"/>
      <c r="W35" s="128"/>
      <c r="X35" s="146"/>
      <c r="Y35" s="146"/>
      <c r="Z35" s="147"/>
      <c r="AA35" s="127"/>
      <c r="AB35" s="128"/>
      <c r="AC35" s="128"/>
      <c r="AD35" s="128"/>
      <c r="AE35" s="129"/>
      <c r="AF35" s="127">
        <f>IF(T35="",1*AA35,T35*AA35)</f>
        <v>0</v>
      </c>
      <c r="AG35" s="128"/>
      <c r="AH35" s="128"/>
      <c r="AI35" s="128"/>
      <c r="AJ35" s="128"/>
      <c r="AK35" s="128"/>
      <c r="AL35" s="129"/>
      <c r="AM35" s="124"/>
      <c r="AN35" s="125"/>
      <c r="AO35" s="125"/>
      <c r="AP35" s="125"/>
      <c r="AQ35" s="125"/>
      <c r="AR35" s="125"/>
      <c r="AS35" s="126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3" t="s">
        <v>108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27">
        <v>1</v>
      </c>
      <c r="U36" s="128"/>
      <c r="V36" s="128"/>
      <c r="W36" s="128"/>
      <c r="X36" s="146" t="s">
        <v>22</v>
      </c>
      <c r="Y36" s="146"/>
      <c r="Z36" s="147"/>
      <c r="AA36" s="127"/>
      <c r="AB36" s="128"/>
      <c r="AC36" s="128"/>
      <c r="AD36" s="128"/>
      <c r="AE36" s="129"/>
      <c r="AF36" s="127">
        <f t="shared" si="0"/>
        <v>0</v>
      </c>
      <c r="AG36" s="128"/>
      <c r="AH36" s="128"/>
      <c r="AI36" s="128"/>
      <c r="AJ36" s="128"/>
      <c r="AK36" s="128"/>
      <c r="AL36" s="129"/>
      <c r="AM36" s="124"/>
      <c r="AN36" s="125"/>
      <c r="AO36" s="125"/>
      <c r="AP36" s="125"/>
      <c r="AQ36" s="125"/>
      <c r="AR36" s="125"/>
      <c r="AS36" s="126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3" t="s">
        <v>109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27">
        <v>1</v>
      </c>
      <c r="U37" s="128"/>
      <c r="V37" s="128"/>
      <c r="W37" s="128"/>
      <c r="X37" s="146" t="s">
        <v>22</v>
      </c>
      <c r="Y37" s="146"/>
      <c r="Z37" s="147"/>
      <c r="AA37" s="127"/>
      <c r="AB37" s="128"/>
      <c r="AC37" s="128"/>
      <c r="AD37" s="128"/>
      <c r="AE37" s="129"/>
      <c r="AF37" s="127">
        <f t="shared" si="0"/>
        <v>0</v>
      </c>
      <c r="AG37" s="128"/>
      <c r="AH37" s="128"/>
      <c r="AI37" s="128"/>
      <c r="AJ37" s="128"/>
      <c r="AK37" s="128"/>
      <c r="AL37" s="129"/>
      <c r="AM37" s="124"/>
      <c r="AN37" s="125"/>
      <c r="AO37" s="125"/>
      <c r="AP37" s="125"/>
      <c r="AQ37" s="125"/>
      <c r="AR37" s="125"/>
      <c r="AS37" s="126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72" t="s">
        <v>102</v>
      </c>
      <c r="C38" s="173"/>
      <c r="D38" s="173"/>
      <c r="E38" s="173"/>
      <c r="F38" s="173"/>
      <c r="G38" s="174"/>
      <c r="H38" s="175">
        <f>AA38*0.1</f>
        <v>444000</v>
      </c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7"/>
      <c r="T38" s="178" t="s">
        <v>15</v>
      </c>
      <c r="U38" s="173"/>
      <c r="V38" s="173"/>
      <c r="W38" s="173"/>
      <c r="X38" s="173"/>
      <c r="Y38" s="173"/>
      <c r="Z38" s="174"/>
      <c r="AA38" s="179">
        <f>SUM(AF26:AL37)</f>
        <v>4440000</v>
      </c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1"/>
      <c r="AM38" s="139"/>
      <c r="AN38" s="140"/>
      <c r="AO38" s="140"/>
      <c r="AP38" s="140"/>
      <c r="AQ38" s="140"/>
      <c r="AR38" s="140"/>
      <c r="AS38" s="14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56" t="s">
        <v>8</v>
      </c>
      <c r="C39" s="157"/>
      <c r="D39" s="157"/>
      <c r="E39" s="157"/>
      <c r="F39" s="157"/>
      <c r="G39" s="158"/>
      <c r="H39" s="159">
        <f>CK115+H38</f>
        <v>4884000</v>
      </c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1"/>
      <c r="AM39" s="133"/>
      <c r="AN39" s="134"/>
      <c r="AO39" s="134"/>
      <c r="AP39" s="134"/>
      <c r="AQ39" s="134"/>
      <c r="AR39" s="134"/>
      <c r="AS39" s="135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62" t="s">
        <v>16</v>
      </c>
      <c r="C40" s="163"/>
      <c r="D40" s="163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5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69" t="s">
        <v>129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66" t="s">
        <v>107</v>
      </c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8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6"/>
      <c r="O44" s="186"/>
      <c r="P44" s="186"/>
      <c r="Q44" s="186"/>
      <c r="R44" s="186"/>
      <c r="S44" s="186"/>
      <c r="T44" s="186"/>
      <c r="U44" s="186"/>
      <c r="V44" s="186"/>
      <c r="W44" s="1"/>
      <c r="X44" s="51"/>
      <c r="Y44" s="16"/>
      <c r="Z44" s="15"/>
      <c r="AA44" s="15"/>
      <c r="AB44" s="185"/>
      <c r="AC44" s="185"/>
      <c r="AD44" s="185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82"/>
      <c r="O45" s="182"/>
      <c r="P45" s="183"/>
      <c r="Q45" s="183"/>
      <c r="R45" s="183"/>
      <c r="S45" s="183"/>
      <c r="T45" s="183"/>
      <c r="U45" s="183"/>
      <c r="V45" s="183"/>
      <c r="W45" s="1"/>
      <c r="X45" s="53"/>
      <c r="Y45" s="54"/>
      <c r="Z45" s="15"/>
      <c r="AA45" s="15"/>
      <c r="AB45" s="184"/>
      <c r="AC45" s="184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82"/>
      <c r="O46" s="182"/>
      <c r="P46" s="183"/>
      <c r="Q46" s="183"/>
      <c r="R46" s="183"/>
      <c r="S46" s="183"/>
      <c r="T46" s="183"/>
      <c r="U46" s="183"/>
      <c r="V46" s="183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82"/>
      <c r="O47" s="182"/>
      <c r="P47" s="183"/>
      <c r="Q47" s="183"/>
      <c r="R47" s="183"/>
      <c r="S47" s="183"/>
      <c r="T47" s="183"/>
      <c r="U47" s="183"/>
      <c r="V47" s="183"/>
      <c r="W47" s="1"/>
      <c r="X47" s="53"/>
      <c r="Y47" s="54"/>
      <c r="Z47" s="15"/>
      <c r="AA47" s="185"/>
      <c r="AB47" s="185"/>
      <c r="AC47" s="185"/>
      <c r="AD47" s="185"/>
      <c r="AE47" s="18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82"/>
      <c r="O48" s="182"/>
      <c r="P48" s="183"/>
      <c r="Q48" s="183"/>
      <c r="R48" s="183"/>
      <c r="S48" s="183"/>
      <c r="T48" s="183"/>
      <c r="U48" s="183"/>
      <c r="V48" s="183"/>
      <c r="W48" s="1"/>
      <c r="X48" s="53"/>
      <c r="Y48" s="54"/>
      <c r="Z48" s="15"/>
      <c r="AA48" s="56"/>
      <c r="AB48" s="184"/>
      <c r="AC48" s="184"/>
      <c r="AD48" s="184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82"/>
      <c r="O49" s="182"/>
      <c r="P49" s="183"/>
      <c r="Q49" s="183"/>
      <c r="R49" s="183"/>
      <c r="S49" s="183"/>
      <c r="T49" s="183"/>
      <c r="U49" s="183"/>
      <c r="V49" s="183"/>
      <c r="W49" s="1"/>
      <c r="X49" s="53"/>
      <c r="Y49" s="54"/>
      <c r="Z49" s="15"/>
      <c r="AA49" s="56"/>
      <c r="AB49" s="184"/>
      <c r="AC49" s="184"/>
      <c r="AD49" s="184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82"/>
      <c r="O50" s="182"/>
      <c r="P50" s="183"/>
      <c r="Q50" s="183"/>
      <c r="R50" s="183"/>
      <c r="S50" s="183"/>
      <c r="T50" s="183"/>
      <c r="U50" s="183"/>
      <c r="V50" s="183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82"/>
      <c r="O51" s="182"/>
      <c r="P51" s="183"/>
      <c r="Q51" s="183"/>
      <c r="R51" s="183"/>
      <c r="S51" s="183"/>
      <c r="T51" s="183"/>
      <c r="U51" s="183"/>
      <c r="V51" s="183"/>
      <c r="W51" s="1"/>
      <c r="X51" s="53"/>
      <c r="Y51" s="53"/>
      <c r="Z51" s="15"/>
      <c r="AA51" s="138"/>
      <c r="AB51" s="138"/>
      <c r="AC51" s="138"/>
      <c r="AD51" s="138"/>
      <c r="AE51" s="138"/>
      <c r="AF51" s="138"/>
      <c r="AG51" s="138"/>
      <c r="AH51" s="138"/>
      <c r="AI51" s="138"/>
      <c r="AJ51" s="185"/>
      <c r="AK51" s="185"/>
      <c r="AL51" s="185"/>
      <c r="AM51" s="185"/>
      <c r="AN51" s="185"/>
      <c r="AO51" s="185"/>
      <c r="AP51" s="185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82"/>
      <c r="O52" s="182"/>
      <c r="P52" s="183"/>
      <c r="Q52" s="183"/>
      <c r="R52" s="183"/>
      <c r="S52" s="183"/>
      <c r="T52" s="183"/>
      <c r="U52" s="183"/>
      <c r="V52" s="183"/>
      <c r="W52" s="1"/>
      <c r="X52" s="53"/>
      <c r="Y52" s="54"/>
      <c r="Z52" s="15"/>
      <c r="AA52" s="5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"/>
      <c r="AR52" s="1"/>
      <c r="AS52" s="1"/>
      <c r="AT52" s="1"/>
      <c r="AU52" s="1"/>
      <c r="AV52" s="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2"/>
      <c r="O53" s="182"/>
      <c r="P53" s="183"/>
      <c r="Q53" s="183"/>
      <c r="R53" s="183"/>
      <c r="S53" s="183"/>
      <c r="T53" s="183"/>
      <c r="U53" s="183"/>
      <c r="V53" s="183"/>
      <c r="W53" s="1"/>
      <c r="X53" s="53"/>
      <c r="Y53" s="54"/>
      <c r="Z53" s="15"/>
      <c r="AA53" s="5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"/>
      <c r="AR53" s="1"/>
      <c r="AS53" s="1"/>
      <c r="AT53" s="1"/>
      <c r="AU53" s="1"/>
      <c r="AV53" s="1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82"/>
      <c r="O54" s="182"/>
      <c r="P54" s="183"/>
      <c r="Q54" s="183"/>
      <c r="R54" s="183"/>
      <c r="S54" s="183"/>
      <c r="T54" s="183"/>
      <c r="U54" s="183"/>
      <c r="V54" s="183"/>
      <c r="W54" s="1"/>
      <c r="X54" s="53"/>
      <c r="Y54" s="54"/>
      <c r="Z54" s="15"/>
      <c r="AA54" s="5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"/>
      <c r="AR54" s="1"/>
      <c r="AS54" s="1"/>
      <c r="AT54" s="1"/>
      <c r="AU54" s="1"/>
      <c r="AV54" s="1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82"/>
      <c r="O55" s="182"/>
      <c r="P55" s="183"/>
      <c r="Q55" s="183"/>
      <c r="R55" s="183"/>
      <c r="S55" s="183"/>
      <c r="T55" s="183"/>
      <c r="U55" s="183"/>
      <c r="V55" s="183"/>
      <c r="W55" s="1"/>
      <c r="X55" s="53"/>
      <c r="Y55" s="54"/>
      <c r="Z55" s="15"/>
      <c r="AA55" s="5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"/>
      <c r="AR55" s="1"/>
      <c r="AS55" s="1"/>
      <c r="AT55" s="1"/>
      <c r="AU55" s="1"/>
      <c r="AV55" s="1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6"/>
      <c r="O56" s="186"/>
      <c r="P56" s="183">
        <f>SUM(CK115:CQ115)</f>
        <v>4440000</v>
      </c>
      <c r="Q56" s="183"/>
      <c r="R56" s="183"/>
      <c r="S56" s="183"/>
      <c r="T56" s="183"/>
      <c r="U56" s="183"/>
      <c r="V56" s="183"/>
      <c r="W56" s="1"/>
      <c r="X56" s="53"/>
      <c r="Y56" s="54"/>
      <c r="Z56" s="15"/>
      <c r="AA56" s="5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"/>
      <c r="AR56" s="1"/>
      <c r="AS56" s="1"/>
      <c r="AT56" s="1"/>
      <c r="AU56" s="1"/>
      <c r="AV56" s="1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6"/>
      <c r="O60" s="196"/>
      <c r="P60" s="196"/>
      <c r="Q60" s="196"/>
      <c r="R60" s="194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"/>
      <c r="AR60" s="186"/>
      <c r="AS60" s="186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63</v>
      </c>
      <c r="FC100" s="62" t="s">
        <v>64</v>
      </c>
      <c r="FD100" s="62" t="s">
        <v>65</v>
      </c>
      <c r="FE100" s="62" t="s">
        <v>66</v>
      </c>
      <c r="FF100" s="62" t="s">
        <v>18</v>
      </c>
      <c r="FG100" s="62" t="s">
        <v>18</v>
      </c>
      <c r="FH100" s="62" t="s">
        <v>67</v>
      </c>
      <c r="FI100" s="62" t="s">
        <v>68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1台購入時</v>
      </c>
      <c r="FE101" s="64">
        <f>T26</f>
        <v>0</v>
      </c>
      <c r="FF101" s="64">
        <f>X26</f>
        <v>0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61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2">B27</f>
        <v>RSD-SUNMAX-FL-LCW-SE　1500w</v>
      </c>
      <c r="FE102" s="64">
        <f t="shared" ref="FE102:FE112" si="3">T27</f>
        <v>0</v>
      </c>
      <c r="FF102" s="64" t="str">
        <f t="shared" ref="FF102:FF112" si="4">X27</f>
        <v>一式</v>
      </c>
      <c r="FG102" s="64">
        <f t="shared" ref="FG102:FG112" si="5">AA27</f>
        <v>1580000</v>
      </c>
      <c r="FH102" s="64">
        <f t="shared" ref="FH102:FH112" si="6">AF27</f>
        <v>1580000</v>
      </c>
      <c r="FI102" s="64" t="str">
        <f t="shared" ref="FI102:FI112" si="7">AM27</f>
        <v>定価208万円</v>
      </c>
    </row>
    <row r="103" spans="79:165" ht="15" customHeight="1" x14ac:dyDescent="0.15">
      <c r="CA103" s="44"/>
      <c r="CB103" s="1"/>
      <c r="CC103" s="1"/>
      <c r="CD103" s="1"/>
      <c r="CE103" s="50" t="s">
        <v>53</v>
      </c>
      <c r="CF103" s="1"/>
      <c r="CG103" s="1"/>
      <c r="CH103" s="1"/>
      <c r="CI103" s="190" t="s">
        <v>17</v>
      </c>
      <c r="CJ103" s="191"/>
      <c r="CK103" s="191"/>
      <c r="CL103" s="191"/>
      <c r="CM103" s="191"/>
      <c r="CN103" s="191"/>
      <c r="CO103" s="191"/>
      <c r="CP103" s="191"/>
      <c r="CQ103" s="192"/>
      <c r="CR103" s="1"/>
      <c r="CS103" s="27" t="s">
        <v>18</v>
      </c>
      <c r="CT103" s="14"/>
      <c r="CU103" s="15"/>
      <c r="CV103" s="15"/>
      <c r="CW103" s="193" t="s">
        <v>14</v>
      </c>
      <c r="CX103" s="193"/>
      <c r="CY103" s="193"/>
      <c r="CZ103" s="15"/>
      <c r="DA103" s="16"/>
      <c r="DB103" s="16"/>
      <c r="DC103" s="16"/>
      <c r="DD103" s="36" t="s">
        <v>52</v>
      </c>
      <c r="DE103" s="37"/>
      <c r="DF103" s="37"/>
      <c r="DG103" s="37"/>
      <c r="DH103" s="37"/>
      <c r="DI103" s="37"/>
      <c r="DJ103" s="38"/>
      <c r="DK103" s="15"/>
      <c r="DL103" s="1"/>
      <c r="DM103" s="198" t="s">
        <v>59</v>
      </c>
      <c r="DN103" s="198"/>
      <c r="DO103" s="198"/>
      <c r="DP103" s="198"/>
      <c r="DQ103" s="198"/>
      <c r="DR103" s="19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62</v>
      </c>
      <c r="EN103" s="1"/>
      <c r="EO103" s="1"/>
      <c r="EP103" s="45"/>
      <c r="FB103" s="63">
        <v>0</v>
      </c>
      <c r="FC103" s="64">
        <v>3</v>
      </c>
      <c r="FD103" s="64" t="str">
        <f t="shared" si="2"/>
        <v>3台購入時</v>
      </c>
      <c r="FE103" s="64">
        <f t="shared" si="3"/>
        <v>0</v>
      </c>
      <c r="FF103" s="64">
        <f t="shared" si="4"/>
        <v>0</v>
      </c>
      <c r="FG103" s="64">
        <f t="shared" si="5"/>
        <v>0</v>
      </c>
      <c r="FH103" s="64">
        <f t="shared" si="6"/>
        <v>0</v>
      </c>
      <c r="FI103" s="64">
        <f t="shared" si="7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9">
        <v>0</v>
      </c>
      <c r="CJ104" s="189"/>
      <c r="CK104" s="197">
        <f>AA38</f>
        <v>4440000</v>
      </c>
      <c r="CL104" s="197"/>
      <c r="CM104" s="197"/>
      <c r="CN104" s="197"/>
      <c r="CO104" s="197"/>
      <c r="CP104" s="197"/>
      <c r="CQ104" s="197"/>
      <c r="CR104" s="1"/>
      <c r="CS104" s="17" t="s">
        <v>19</v>
      </c>
      <c r="CT104" s="18"/>
      <c r="CU104" s="15"/>
      <c r="CV104" s="15"/>
      <c r="CW104" s="187">
        <v>5</v>
      </c>
      <c r="CX104" s="188"/>
      <c r="CY104" s="19" t="s">
        <v>20</v>
      </c>
      <c r="CZ104" s="15"/>
      <c r="DA104" s="15"/>
      <c r="DB104" s="15"/>
      <c r="DC104" s="15"/>
      <c r="DD104" s="39" t="s">
        <v>47</v>
      </c>
      <c r="DE104" s="40"/>
      <c r="DF104" s="40"/>
      <c r="DG104" s="40"/>
      <c r="DH104" s="40"/>
      <c r="DI104" s="40"/>
      <c r="DJ104" s="22"/>
      <c r="DK104" s="15"/>
      <c r="DL104" s="1"/>
      <c r="DM104" s="199" t="s">
        <v>60</v>
      </c>
      <c r="DN104" s="200"/>
      <c r="DO104" s="200"/>
      <c r="DP104" s="200"/>
      <c r="DQ104" s="200"/>
      <c r="DR104" s="20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>RSD-SUNMAX-FL-LCW-SE　1500w</v>
      </c>
      <c r="FE104" s="64">
        <f t="shared" si="3"/>
        <v>0</v>
      </c>
      <c r="FF104" s="64" t="str">
        <f t="shared" si="4"/>
        <v>一式</v>
      </c>
      <c r="FG104" s="64">
        <f t="shared" si="5"/>
        <v>1480000</v>
      </c>
      <c r="FH104" s="64">
        <f t="shared" si="6"/>
        <v>1480000</v>
      </c>
      <c r="FI104" s="64" t="str">
        <f t="shared" si="7"/>
        <v>定価208万円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9">
        <v>1</v>
      </c>
      <c r="CJ105" s="189"/>
      <c r="CK105" s="197">
        <f>IF(ISERROR(購入おすすめ品!AB30),0,購入おすすめ品!AB30)</f>
        <v>0</v>
      </c>
      <c r="CL105" s="197"/>
      <c r="CM105" s="197"/>
      <c r="CN105" s="197"/>
      <c r="CO105" s="197"/>
      <c r="CP105" s="197"/>
      <c r="CQ105" s="197"/>
      <c r="CR105" s="1"/>
      <c r="CS105" s="17" t="s">
        <v>21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48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3"/>
        <v>0</v>
      </c>
      <c r="FF105" s="64">
        <f t="shared" si="4"/>
        <v>0</v>
      </c>
      <c r="FG105" s="64">
        <f t="shared" si="5"/>
        <v>0</v>
      </c>
      <c r="FH105" s="64">
        <f t="shared" si="6"/>
        <v>0</v>
      </c>
      <c r="FI105" s="64">
        <f t="shared" si="7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9">
        <v>2</v>
      </c>
      <c r="CJ106" s="189"/>
      <c r="CK106" s="197">
        <f>IF(ISERROR(#REF!),0,#REF!)</f>
        <v>0</v>
      </c>
      <c r="CL106" s="197"/>
      <c r="CM106" s="197"/>
      <c r="CN106" s="197"/>
      <c r="CO106" s="197"/>
      <c r="CP106" s="197"/>
      <c r="CQ106" s="197"/>
      <c r="CR106" s="1"/>
      <c r="CS106" s="20" t="s">
        <v>22</v>
      </c>
      <c r="CT106" s="21"/>
      <c r="CU106" s="15"/>
      <c r="CV106" s="193" t="s">
        <v>23</v>
      </c>
      <c r="CW106" s="193"/>
      <c r="CX106" s="193"/>
      <c r="CY106" s="193"/>
      <c r="CZ106" s="193"/>
      <c r="DA106" s="15"/>
      <c r="DB106" s="15"/>
      <c r="DC106" s="15"/>
      <c r="DD106" s="39" t="s">
        <v>49</v>
      </c>
      <c r="DE106" s="40"/>
      <c r="DF106" s="40"/>
      <c r="DG106" s="40"/>
      <c r="DH106" s="40"/>
      <c r="DI106" s="40"/>
      <c r="DJ106" s="22"/>
      <c r="DK106" s="15"/>
      <c r="DL106" s="1"/>
      <c r="DM106" s="198" t="s">
        <v>70</v>
      </c>
      <c r="DN106" s="198"/>
      <c r="DO106" s="198"/>
      <c r="DP106" s="198"/>
      <c r="DQ106" s="198"/>
      <c r="DR106" s="19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3"/>
        <v>0</v>
      </c>
      <c r="FF106" s="64" t="str">
        <f t="shared" si="4"/>
        <v>一式</v>
      </c>
      <c r="FG106" s="64">
        <f t="shared" si="5"/>
        <v>1380000</v>
      </c>
      <c r="FH106" s="64">
        <f t="shared" si="6"/>
        <v>1380000</v>
      </c>
      <c r="FI106" s="64" t="str">
        <f t="shared" si="7"/>
        <v>定価208万円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9">
        <v>3</v>
      </c>
      <c r="CJ107" s="189"/>
      <c r="CK107" s="197">
        <f>IF(ISERROR(#REF!),0,#REF!)</f>
        <v>0</v>
      </c>
      <c r="CL107" s="197"/>
      <c r="CM107" s="197"/>
      <c r="CN107" s="197"/>
      <c r="CO107" s="197"/>
      <c r="CP107" s="197"/>
      <c r="CQ107" s="197"/>
      <c r="CR107" s="1"/>
      <c r="CS107" s="17" t="s">
        <v>24</v>
      </c>
      <c r="CT107" s="18"/>
      <c r="CU107" s="15"/>
      <c r="CV107" s="28" t="s">
        <v>25</v>
      </c>
      <c r="CW107" s="187">
        <v>100</v>
      </c>
      <c r="CX107" s="187"/>
      <c r="CY107" s="188"/>
      <c r="CZ107" s="22" t="s">
        <v>20</v>
      </c>
      <c r="DA107" s="15"/>
      <c r="DB107" s="15"/>
      <c r="DC107" s="15"/>
      <c r="DD107" s="39" t="s">
        <v>50</v>
      </c>
      <c r="DE107" s="40"/>
      <c r="DF107" s="40"/>
      <c r="DG107" s="40"/>
      <c r="DH107" s="40"/>
      <c r="DI107" s="40"/>
      <c r="DJ107" s="22"/>
      <c r="DK107" s="15"/>
      <c r="DL107" s="1"/>
      <c r="DM107" s="204" t="s">
        <v>79</v>
      </c>
      <c r="DN107" s="205"/>
      <c r="DO107" s="205"/>
      <c r="DP107" s="205"/>
      <c r="DQ107" s="205"/>
      <c r="DR107" s="206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3"/>
        <v>0</v>
      </c>
      <c r="FF107" s="64">
        <f t="shared" si="4"/>
        <v>0</v>
      </c>
      <c r="FG107" s="64">
        <f t="shared" si="5"/>
        <v>0</v>
      </c>
      <c r="FH107" s="64">
        <f t="shared" si="6"/>
        <v>0</v>
      </c>
      <c r="FI107" s="64">
        <f t="shared" si="7"/>
        <v>0</v>
      </c>
    </row>
    <row r="108" spans="79:165" ht="15" customHeight="1" x14ac:dyDescent="0.15">
      <c r="CA108" s="44"/>
      <c r="CB108" s="1"/>
      <c r="CC108" s="1"/>
      <c r="CD108" s="1"/>
      <c r="CE108" s="50" t="s">
        <v>54</v>
      </c>
      <c r="CF108" s="1"/>
      <c r="CG108" s="1"/>
      <c r="CH108" s="1"/>
      <c r="CI108" s="189">
        <v>4</v>
      </c>
      <c r="CJ108" s="189"/>
      <c r="CK108" s="197"/>
      <c r="CL108" s="197"/>
      <c r="CM108" s="197"/>
      <c r="CN108" s="197"/>
      <c r="CO108" s="197"/>
      <c r="CP108" s="197"/>
      <c r="CQ108" s="197"/>
      <c r="CR108" s="1"/>
      <c r="CS108" s="17" t="s">
        <v>26</v>
      </c>
      <c r="CT108" s="18"/>
      <c r="CU108" s="15"/>
      <c r="CV108" s="28" t="s">
        <v>27</v>
      </c>
      <c r="CW108" s="187">
        <v>80</v>
      </c>
      <c r="CX108" s="187"/>
      <c r="CY108" s="188"/>
      <c r="CZ108" s="22" t="s">
        <v>20</v>
      </c>
      <c r="DA108" s="15"/>
      <c r="DB108" s="15"/>
      <c r="DC108" s="15"/>
      <c r="DD108" s="39" t="s">
        <v>51</v>
      </c>
      <c r="DE108" s="40"/>
      <c r="DF108" s="40"/>
      <c r="DG108" s="40"/>
      <c r="DH108" s="40"/>
      <c r="DI108" s="40"/>
      <c r="DJ108" s="22"/>
      <c r="DK108" s="15"/>
      <c r="DL108" s="1"/>
      <c r="DM108" s="199" t="s">
        <v>71</v>
      </c>
      <c r="DN108" s="200"/>
      <c r="DO108" s="200"/>
      <c r="DP108" s="200"/>
      <c r="DQ108" s="200"/>
      <c r="DR108" s="20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 t="str">
        <f>B31</f>
        <v>RSD-SUNMAX-FL-LCW-SE　1500w</v>
      </c>
      <c r="FE108" s="64">
        <f t="shared" si="3"/>
        <v>0</v>
      </c>
      <c r="FF108" s="64">
        <f t="shared" si="4"/>
        <v>0</v>
      </c>
      <c r="FG108" s="64">
        <f t="shared" si="5"/>
        <v>0</v>
      </c>
      <c r="FH108" s="64">
        <f t="shared" si="6"/>
        <v>0</v>
      </c>
      <c r="FI108" s="64">
        <f t="shared" si="7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9">
        <v>5</v>
      </c>
      <c r="CJ109" s="189"/>
      <c r="CK109" s="197"/>
      <c r="CL109" s="197"/>
      <c r="CM109" s="197"/>
      <c r="CN109" s="197"/>
      <c r="CO109" s="197"/>
      <c r="CP109" s="197"/>
      <c r="CQ109" s="197"/>
      <c r="CR109" s="1"/>
      <c r="CS109" s="20" t="s">
        <v>28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99" t="s">
        <v>72</v>
      </c>
      <c r="DN109" s="200"/>
      <c r="DO109" s="200"/>
      <c r="DP109" s="200"/>
      <c r="DQ109" s="200"/>
      <c r="DR109" s="20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 t="str">
        <f t="shared" si="2"/>
        <v>SEは、ガス圧検知センサー、パトライト　無し</v>
      </c>
      <c r="FE109" s="64">
        <f t="shared" si="3"/>
        <v>0</v>
      </c>
      <c r="FF109" s="64">
        <f t="shared" si="4"/>
        <v>0</v>
      </c>
      <c r="FG109" s="64">
        <f t="shared" si="5"/>
        <v>0</v>
      </c>
      <c r="FH109" s="64">
        <f t="shared" si="6"/>
        <v>0</v>
      </c>
      <c r="FI109" s="64">
        <f t="shared" si="7"/>
        <v>0</v>
      </c>
    </row>
    <row r="110" spans="79:165" ht="15" customHeight="1" x14ac:dyDescent="0.15">
      <c r="CA110" s="44"/>
      <c r="CB110" s="1"/>
      <c r="CC110" s="1"/>
      <c r="CD110" s="1"/>
      <c r="CE110" s="49" t="s">
        <v>55</v>
      </c>
      <c r="CF110" s="1"/>
      <c r="CG110" s="1"/>
      <c r="CH110" s="1"/>
      <c r="CI110" s="189">
        <v>6</v>
      </c>
      <c r="CJ110" s="189"/>
      <c r="CK110" s="197"/>
      <c r="CL110" s="197"/>
      <c r="CM110" s="197"/>
      <c r="CN110" s="197"/>
      <c r="CO110" s="197"/>
      <c r="CP110" s="197"/>
      <c r="CQ110" s="197"/>
      <c r="CR110" s="1"/>
      <c r="CS110" s="20" t="s">
        <v>29</v>
      </c>
      <c r="CT110" s="20"/>
      <c r="CU110" s="15"/>
      <c r="CV110" s="203" t="s">
        <v>30</v>
      </c>
      <c r="CW110" s="203"/>
      <c r="CX110" s="203"/>
      <c r="CY110" s="203"/>
      <c r="CZ110" s="203"/>
      <c r="DA110" s="203"/>
      <c r="DB110" s="203"/>
      <c r="DC110" s="203"/>
      <c r="DD110" s="203"/>
      <c r="DE110" s="193" t="s">
        <v>31</v>
      </c>
      <c r="DF110" s="193"/>
      <c r="DG110" s="193"/>
      <c r="DH110" s="193"/>
      <c r="DI110" s="193"/>
      <c r="DJ110" s="193"/>
      <c r="DK110" s="193"/>
      <c r="DL110" s="1"/>
      <c r="DM110" s="1"/>
      <c r="DN110" s="1"/>
      <c r="DO110" s="1"/>
      <c r="DP110" s="1"/>
      <c r="DQ110" s="1"/>
      <c r="DR110" s="137"/>
      <c r="DS110" s="137"/>
      <c r="DT110" s="137"/>
      <c r="DU110" s="137"/>
      <c r="DV110" s="137"/>
      <c r="DW110" s="137"/>
      <c r="DX110" s="137"/>
      <c r="DY110" s="137"/>
      <c r="DZ110" s="137"/>
      <c r="EA110" s="137"/>
      <c r="EB110" s="137"/>
      <c r="EC110" s="137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 t="str">
        <f t="shared" si="2"/>
        <v>洗浄用レンズ無し</v>
      </c>
      <c r="FE110" s="64">
        <f t="shared" si="3"/>
        <v>0</v>
      </c>
      <c r="FF110" s="64">
        <f t="shared" si="4"/>
        <v>0</v>
      </c>
      <c r="FG110" s="64">
        <f t="shared" si="5"/>
        <v>0</v>
      </c>
      <c r="FH110" s="64">
        <f t="shared" si="6"/>
        <v>0</v>
      </c>
      <c r="FI110" s="64">
        <f t="shared" si="7"/>
        <v>0</v>
      </c>
    </row>
    <row r="111" spans="79:165" ht="15" customHeight="1" x14ac:dyDescent="0.15">
      <c r="CA111" s="44"/>
      <c r="CB111" s="1"/>
      <c r="CC111" s="1"/>
      <c r="CD111" s="1"/>
      <c r="CE111" s="49" t="s">
        <v>56</v>
      </c>
      <c r="CF111" s="1"/>
      <c r="CG111" s="1"/>
      <c r="CH111" s="1"/>
      <c r="CI111" s="189">
        <v>7</v>
      </c>
      <c r="CJ111" s="189"/>
      <c r="CK111" s="197"/>
      <c r="CL111" s="197"/>
      <c r="CM111" s="197"/>
      <c r="CN111" s="197"/>
      <c r="CO111" s="197"/>
      <c r="CP111" s="197"/>
      <c r="CQ111" s="197"/>
      <c r="CR111" s="1"/>
      <c r="CS111" s="17" t="s">
        <v>32</v>
      </c>
      <c r="CT111" s="18"/>
      <c r="CU111" s="15"/>
      <c r="CV111" s="28" t="s">
        <v>25</v>
      </c>
      <c r="CW111" s="202" t="s">
        <v>75</v>
      </c>
      <c r="CX111" s="202"/>
      <c r="CY111" s="202"/>
      <c r="CZ111" s="202"/>
      <c r="DA111" s="202"/>
      <c r="DB111" s="202"/>
      <c r="DC111" s="202"/>
      <c r="DD111" s="202"/>
      <c r="DE111" s="202" t="s">
        <v>33</v>
      </c>
      <c r="DF111" s="202"/>
      <c r="DG111" s="202"/>
      <c r="DH111" s="202"/>
      <c r="DI111" s="202"/>
      <c r="DJ111" s="202"/>
      <c r="DK111" s="202"/>
      <c r="DL111" s="1"/>
      <c r="DM111" s="1"/>
      <c r="DN111" s="1"/>
      <c r="DO111" s="1"/>
      <c r="DP111" s="1"/>
      <c r="DQ111" s="1"/>
      <c r="DR111" s="137"/>
      <c r="DS111" s="137"/>
      <c r="DT111" s="137"/>
      <c r="DU111" s="137"/>
      <c r="DV111" s="137"/>
      <c r="DW111" s="137"/>
      <c r="DX111" s="137"/>
      <c r="DY111" s="137"/>
      <c r="DZ111" s="137"/>
      <c r="EA111" s="137"/>
      <c r="EB111" s="137"/>
      <c r="EC111" s="137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2"/>
        <v>出張セットアップ　操作講習</v>
      </c>
      <c r="FE111" s="64">
        <f t="shared" si="3"/>
        <v>1</v>
      </c>
      <c r="FF111" s="64" t="str">
        <f t="shared" si="4"/>
        <v>一式</v>
      </c>
      <c r="FG111" s="64">
        <f t="shared" si="5"/>
        <v>0</v>
      </c>
      <c r="FH111" s="64">
        <f t="shared" si="6"/>
        <v>0</v>
      </c>
      <c r="FI111" s="64">
        <f t="shared" si="7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9">
        <v>8</v>
      </c>
      <c r="CJ112" s="189"/>
      <c r="CK112" s="197"/>
      <c r="CL112" s="197"/>
      <c r="CM112" s="197"/>
      <c r="CN112" s="197"/>
      <c r="CO112" s="197"/>
      <c r="CP112" s="197"/>
      <c r="CQ112" s="197"/>
      <c r="CR112" s="1"/>
      <c r="CS112" s="17" t="s">
        <v>34</v>
      </c>
      <c r="CT112" s="18"/>
      <c r="CU112" s="15"/>
      <c r="CV112" s="28" t="s">
        <v>27</v>
      </c>
      <c r="CW112" s="202" t="s">
        <v>83</v>
      </c>
      <c r="CX112" s="202"/>
      <c r="CY112" s="202"/>
      <c r="CZ112" s="202"/>
      <c r="DA112" s="202"/>
      <c r="DB112" s="202"/>
      <c r="DC112" s="202"/>
      <c r="DD112" s="202"/>
      <c r="DE112" s="202" t="s">
        <v>84</v>
      </c>
      <c r="DF112" s="202"/>
      <c r="DG112" s="202"/>
      <c r="DH112" s="202"/>
      <c r="DI112" s="202"/>
      <c r="DJ112" s="202"/>
      <c r="DK112" s="202"/>
      <c r="DL112" s="1"/>
      <c r="DM112" s="1"/>
      <c r="DN112" s="1"/>
      <c r="DO112" s="1"/>
      <c r="DP112" s="1"/>
      <c r="DQ112" s="1"/>
      <c r="DR112" s="137"/>
      <c r="DS112" s="137"/>
      <c r="DT112" s="137"/>
      <c r="DU112" s="137"/>
      <c r="DV112" s="137"/>
      <c r="DW112" s="137"/>
      <c r="DX112" s="137"/>
      <c r="DY112" s="137"/>
      <c r="DZ112" s="137"/>
      <c r="EA112" s="137"/>
      <c r="EB112" s="137"/>
      <c r="EC112" s="137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 t="str">
        <f t="shared" si="2"/>
        <v>送料　地域別　　車上渡し</v>
      </c>
      <c r="FE112" s="64">
        <f t="shared" si="3"/>
        <v>1</v>
      </c>
      <c r="FF112" s="64" t="str">
        <f t="shared" si="4"/>
        <v>一式</v>
      </c>
      <c r="FG112" s="64">
        <f t="shared" si="5"/>
        <v>0</v>
      </c>
      <c r="FH112" s="64">
        <f t="shared" si="6"/>
        <v>0</v>
      </c>
      <c r="FI112" s="64">
        <f t="shared" si="7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9">
        <v>9</v>
      </c>
      <c r="CJ113" s="189"/>
      <c r="CK113" s="197"/>
      <c r="CL113" s="197"/>
      <c r="CM113" s="197"/>
      <c r="CN113" s="197"/>
      <c r="CO113" s="197"/>
      <c r="CP113" s="197"/>
      <c r="CQ113" s="197"/>
      <c r="CR113" s="1"/>
      <c r="CS113" s="17" t="s">
        <v>35</v>
      </c>
      <c r="CT113" s="18"/>
      <c r="CU113" s="15"/>
      <c r="CV113" s="28" t="s">
        <v>36</v>
      </c>
      <c r="CW113" s="202" t="s">
        <v>86</v>
      </c>
      <c r="CX113" s="202"/>
      <c r="CY113" s="202"/>
      <c r="CZ113" s="202"/>
      <c r="DA113" s="202"/>
      <c r="DB113" s="202"/>
      <c r="DC113" s="202"/>
      <c r="DD113" s="202"/>
      <c r="DE113" s="202" t="s">
        <v>85</v>
      </c>
      <c r="DF113" s="202"/>
      <c r="DG113" s="202"/>
      <c r="DH113" s="202"/>
      <c r="DI113" s="202"/>
      <c r="DJ113" s="202"/>
      <c r="DK113" s="202"/>
      <c r="DL113" s="1"/>
      <c r="DM113" s="1"/>
      <c r="DN113" s="1"/>
      <c r="DO113" s="1"/>
      <c r="DP113" s="1"/>
      <c r="DQ113" s="1"/>
      <c r="DR113" s="137"/>
      <c r="DS113" s="137"/>
      <c r="DT113" s="137"/>
      <c r="DU113" s="137"/>
      <c r="DV113" s="137"/>
      <c r="DW113" s="137"/>
      <c r="DX113" s="137"/>
      <c r="DY113" s="137"/>
      <c r="DZ113" s="137"/>
      <c r="EA113" s="137"/>
      <c r="EB113" s="137"/>
      <c r="EC113" s="137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購入おすすめ品!$C$7</f>
        <v>0</v>
      </c>
      <c r="FE113" s="64">
        <f>購入おすすめ品!$U$7</f>
        <v>0</v>
      </c>
      <c r="FF113" s="64">
        <f>購入おすすめ品!$Y$7</f>
        <v>0</v>
      </c>
      <c r="FG113" s="64">
        <f>購入おすすめ品!$AB$7</f>
        <v>0</v>
      </c>
      <c r="FH113" s="64">
        <f>購入おすすめ品!$AG$7</f>
        <v>0</v>
      </c>
      <c r="FI113" s="64">
        <f>購入おすすめ品!$AN$7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9">
        <v>10</v>
      </c>
      <c r="CJ114" s="189"/>
      <c r="CK114" s="197"/>
      <c r="CL114" s="197"/>
      <c r="CM114" s="197"/>
      <c r="CN114" s="197"/>
      <c r="CO114" s="197"/>
      <c r="CP114" s="197"/>
      <c r="CQ114" s="197"/>
      <c r="CR114" s="1"/>
      <c r="CS114" s="20" t="s">
        <v>37</v>
      </c>
      <c r="CT114" s="21"/>
      <c r="CU114" s="15"/>
      <c r="CV114" s="28" t="s">
        <v>38</v>
      </c>
      <c r="CW114" s="202" t="s">
        <v>76</v>
      </c>
      <c r="CX114" s="202"/>
      <c r="CY114" s="202"/>
      <c r="CZ114" s="202"/>
      <c r="DA114" s="202"/>
      <c r="DB114" s="202"/>
      <c r="DC114" s="202"/>
      <c r="DD114" s="202"/>
      <c r="DE114" s="202" t="s">
        <v>39</v>
      </c>
      <c r="DF114" s="202"/>
      <c r="DG114" s="202"/>
      <c r="DH114" s="202"/>
      <c r="DI114" s="202"/>
      <c r="DJ114" s="202"/>
      <c r="DK114" s="202"/>
      <c r="DL114" s="1"/>
      <c r="DM114" s="1"/>
      <c r="DN114" s="1"/>
      <c r="DO114" s="1"/>
      <c r="DP114" s="1"/>
      <c r="DQ114" s="1"/>
      <c r="DR114" s="137"/>
      <c r="DS114" s="137"/>
      <c r="DT114" s="137"/>
      <c r="DU114" s="137"/>
      <c r="DV114" s="137"/>
      <c r="DW114" s="137"/>
      <c r="DX114" s="137"/>
      <c r="DY114" s="137"/>
      <c r="DZ114" s="137"/>
      <c r="EA114" s="137"/>
      <c r="EB114" s="137"/>
      <c r="EC114" s="137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購入おすすめ品!$C$8</f>
        <v>0</v>
      </c>
      <c r="FE114" s="64">
        <f>購入おすすめ品!$U$8</f>
        <v>0</v>
      </c>
      <c r="FF114" s="64">
        <f>購入おすすめ品!$Y$8</f>
        <v>0</v>
      </c>
      <c r="FG114" s="64">
        <f>購入おすすめ品!$AB$8</f>
        <v>0</v>
      </c>
      <c r="FH114" s="64">
        <f>購入おすすめ品!$AG$8</f>
        <v>0</v>
      </c>
      <c r="FI114" s="64">
        <f>購入おすすめ品!$AN$8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07" t="s">
        <v>40</v>
      </c>
      <c r="CJ115" s="207"/>
      <c r="CK115" s="197">
        <f>SUM(CK104:CQ114)</f>
        <v>4440000</v>
      </c>
      <c r="CL115" s="197"/>
      <c r="CM115" s="197"/>
      <c r="CN115" s="197"/>
      <c r="CO115" s="197"/>
      <c r="CP115" s="197"/>
      <c r="CQ115" s="197"/>
      <c r="CR115" s="1"/>
      <c r="CS115" s="17" t="s">
        <v>46</v>
      </c>
      <c r="CT115" s="18"/>
      <c r="CU115" s="15"/>
      <c r="CV115" s="28" t="s">
        <v>41</v>
      </c>
      <c r="CW115" s="202" t="s">
        <v>77</v>
      </c>
      <c r="CX115" s="202"/>
      <c r="CY115" s="202"/>
      <c r="CZ115" s="202"/>
      <c r="DA115" s="202"/>
      <c r="DB115" s="202"/>
      <c r="DC115" s="202"/>
      <c r="DD115" s="202"/>
      <c r="DE115" s="202" t="s">
        <v>42</v>
      </c>
      <c r="DF115" s="202"/>
      <c r="DG115" s="202"/>
      <c r="DH115" s="202"/>
      <c r="DI115" s="202"/>
      <c r="DJ115" s="202"/>
      <c r="DK115" s="202"/>
      <c r="DL115" s="1"/>
      <c r="DM115" s="1"/>
      <c r="DN115" s="1"/>
      <c r="DO115" s="1"/>
      <c r="DP115" s="1"/>
      <c r="DQ115" s="1"/>
      <c r="DR115" s="137"/>
      <c r="DS115" s="137"/>
      <c r="DT115" s="137"/>
      <c r="DU115" s="137"/>
      <c r="DV115" s="137"/>
      <c r="DW115" s="137"/>
      <c r="DX115" s="137"/>
      <c r="DY115" s="137"/>
      <c r="DZ115" s="137"/>
      <c r="EA115" s="137"/>
      <c r="EB115" s="137"/>
      <c r="EC115" s="137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購入おすすめ品!$C$9</f>
        <v>0</v>
      </c>
      <c r="FE115" s="64">
        <f>購入おすすめ品!$U$9</f>
        <v>0</v>
      </c>
      <c r="FF115" s="64">
        <f>購入おすすめ品!$Y$9</f>
        <v>0</v>
      </c>
      <c r="FG115" s="64">
        <f>購入おすすめ品!$AB$9</f>
        <v>0</v>
      </c>
      <c r="FH115" s="64">
        <f>購入おすすめ品!$AG$9</f>
        <v>0</v>
      </c>
      <c r="FI115" s="64">
        <f>購入おすすめ品!$AN$9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購入おすすめ品!$C$10</f>
        <v>0</v>
      </c>
      <c r="FE116" s="64">
        <f>購入おすすめ品!$U$10</f>
        <v>0</v>
      </c>
      <c r="FF116" s="64">
        <f>購入おすすめ品!$Y$10</f>
        <v>0</v>
      </c>
      <c r="FG116" s="64">
        <f>購入おすすめ品!$AB$10</f>
        <v>0</v>
      </c>
      <c r="FH116" s="64">
        <f>購入おすすめ品!$AG$10</f>
        <v>0</v>
      </c>
      <c r="FI116" s="64">
        <f>購入おすすめ品!$AN$10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購入おすすめ品!$C$11</f>
        <v>0</v>
      </c>
      <c r="FE117" s="64">
        <f>購入おすすめ品!$U$11</f>
        <v>0</v>
      </c>
      <c r="FF117" s="64">
        <f>購入おすすめ品!$Y$11</f>
        <v>0</v>
      </c>
      <c r="FG117" s="64">
        <f>購入おすすめ品!$AB$11</f>
        <v>0</v>
      </c>
      <c r="FH117" s="64">
        <f>購入おすすめ品!$AG$11</f>
        <v>0</v>
      </c>
      <c r="FI117" s="64">
        <f>購入おすすめ品!$AN$11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購入おすすめ品!$C$12</f>
        <v>0</v>
      </c>
      <c r="FE118" s="64">
        <f>購入おすすめ品!$U$12</f>
        <v>0</v>
      </c>
      <c r="FF118" s="64">
        <f>購入おすすめ品!$Y$12</f>
        <v>0</v>
      </c>
      <c r="FG118" s="64">
        <f>購入おすすめ品!$AB$12</f>
        <v>0</v>
      </c>
      <c r="FH118" s="64">
        <f>購入おすすめ品!$AG$12</f>
        <v>0</v>
      </c>
      <c r="FI118" s="64">
        <f>購入おすすめ品!$AN$12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142" t="s">
        <v>43</v>
      </c>
      <c r="CJ119" s="142"/>
      <c r="CK119" s="142"/>
      <c r="CL119" s="142"/>
      <c r="CM119" s="118" t="s">
        <v>87</v>
      </c>
      <c r="CN119" s="119"/>
      <c r="CO119" s="119"/>
      <c r="CP119" s="119"/>
      <c r="CQ119" s="119"/>
      <c r="CR119" s="119"/>
      <c r="CS119" s="119"/>
      <c r="CT119" s="119"/>
      <c r="CU119" s="119"/>
      <c r="CV119" s="119"/>
      <c r="CW119" s="119"/>
      <c r="CX119" s="119"/>
      <c r="CY119" s="119"/>
      <c r="CZ119" s="119"/>
      <c r="DA119" s="119"/>
      <c r="DB119" s="119"/>
      <c r="DC119" s="119"/>
      <c r="DD119" s="119"/>
      <c r="DE119" s="119"/>
      <c r="DF119" s="119"/>
      <c r="DG119" s="119"/>
      <c r="DH119" s="119"/>
      <c r="DI119" s="119"/>
      <c r="DJ119" s="119"/>
      <c r="DK119" s="119"/>
      <c r="DL119" s="1"/>
      <c r="DM119" s="190" t="s">
        <v>45</v>
      </c>
      <c r="DN119" s="192"/>
      <c r="DO119" s="204" t="s">
        <v>80</v>
      </c>
      <c r="DP119" s="205"/>
      <c r="DQ119" s="205"/>
      <c r="DR119" s="205"/>
      <c r="DS119" s="205"/>
      <c r="DT119" s="205"/>
      <c r="DU119" s="206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購入おすすめ品!$C$13</f>
        <v>0</v>
      </c>
      <c r="FE119" s="64">
        <f>購入おすすめ品!$U$13</f>
        <v>0</v>
      </c>
      <c r="FF119" s="64">
        <f>購入おすすめ品!$Y$13</f>
        <v>0</v>
      </c>
      <c r="FG119" s="64">
        <f>購入おすすめ品!$AB$13</f>
        <v>0</v>
      </c>
      <c r="FH119" s="64">
        <f>購入おすすめ品!$AG$13</f>
        <v>0</v>
      </c>
      <c r="FI119" s="64">
        <f>購入おすすめ品!$AN$13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142" t="s">
        <v>73</v>
      </c>
      <c r="CJ120" s="142"/>
      <c r="CK120" s="142"/>
      <c r="CL120" s="142"/>
      <c r="CM120" s="118"/>
      <c r="CN120" s="119"/>
      <c r="CO120" s="119"/>
      <c r="CP120" s="119"/>
      <c r="CQ120" s="119"/>
      <c r="CR120" s="119"/>
      <c r="CS120" s="119"/>
      <c r="CT120" s="119"/>
      <c r="CU120" s="119"/>
      <c r="CV120" s="119"/>
      <c r="CW120" s="119"/>
      <c r="CX120" s="119"/>
      <c r="CY120" s="119"/>
      <c r="CZ120" s="119"/>
      <c r="DA120" s="119"/>
      <c r="DB120" s="119"/>
      <c r="DC120" s="119"/>
      <c r="DD120" s="119"/>
      <c r="DE120" s="119"/>
      <c r="DF120" s="119"/>
      <c r="DG120" s="119"/>
      <c r="DH120" s="119"/>
      <c r="DI120" s="119"/>
      <c r="DJ120" s="119"/>
      <c r="DK120" s="119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購入おすすめ品!$C$14</f>
        <v>0</v>
      </c>
      <c r="FE120" s="64">
        <f>購入おすすめ品!$U$14</f>
        <v>0</v>
      </c>
      <c r="FF120" s="64">
        <f>購入おすすめ品!$Y$14</f>
        <v>0</v>
      </c>
      <c r="FG120" s="64">
        <f>購入おすすめ品!$AB$14</f>
        <v>0</v>
      </c>
      <c r="FH120" s="64">
        <f>購入おすすめ品!$AG$14</f>
        <v>0</v>
      </c>
      <c r="FI120" s="64">
        <f>購入おすすめ品!$AN$14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購入おすすめ品!$C$15</f>
        <v>0</v>
      </c>
      <c r="FE121" s="64">
        <f>購入おすすめ品!$U$15</f>
        <v>0</v>
      </c>
      <c r="FF121" s="64">
        <f>購入おすすめ品!$Y$15</f>
        <v>0</v>
      </c>
      <c r="FG121" s="64">
        <f>購入おすすめ品!$AB$15</f>
        <v>0</v>
      </c>
      <c r="FH121" s="64">
        <f>購入おすすめ品!$AG$15</f>
        <v>0</v>
      </c>
      <c r="FI121" s="64">
        <f>購入おすすめ品!$AN$15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購入おすすめ品!$C$16</f>
        <v>0</v>
      </c>
      <c r="FE122" s="64">
        <f>購入おすすめ品!$U$16</f>
        <v>0</v>
      </c>
      <c r="FF122" s="64">
        <f>購入おすすめ品!$Y$16</f>
        <v>0</v>
      </c>
      <c r="FG122" s="64">
        <f>購入おすすめ品!$AB$16</f>
        <v>0</v>
      </c>
      <c r="FH122" s="64">
        <f>購入おすすめ品!$AG$16</f>
        <v>0</v>
      </c>
      <c r="FI122" s="64">
        <f>購入おすすめ品!$AN$16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購入おすすめ品!$C$17</f>
        <v>0</v>
      </c>
      <c r="FE123" s="64">
        <f>購入おすすめ品!$U$17</f>
        <v>0</v>
      </c>
      <c r="FF123" s="64">
        <f>購入おすすめ品!$Y$17</f>
        <v>0</v>
      </c>
      <c r="FG123" s="64">
        <f>購入おすすめ品!$AB$17</f>
        <v>0</v>
      </c>
      <c r="FH123" s="64">
        <f>購入おすすめ品!$AG$17</f>
        <v>0</v>
      </c>
      <c r="FI123" s="64">
        <f>購入おすすめ品!$AN$17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購入おすすめ品!$C$18</f>
        <v>0</v>
      </c>
      <c r="FE124" s="64">
        <f>購入おすすめ品!$U$18</f>
        <v>0</v>
      </c>
      <c r="FF124" s="64">
        <f>購入おすすめ品!$Y$18</f>
        <v>0</v>
      </c>
      <c r="FG124" s="64">
        <f>購入おすすめ品!$AB$18</f>
        <v>0</v>
      </c>
      <c r="FH124" s="64">
        <f>購入おすすめ品!$AG$18</f>
        <v>0</v>
      </c>
      <c r="FI124" s="64">
        <f>購入おすすめ品!$AN$18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購入おすすめ品!$C$19</f>
        <v>0</v>
      </c>
      <c r="FE125" s="64">
        <f>購入おすすめ品!$U$19</f>
        <v>0</v>
      </c>
      <c r="FF125" s="64">
        <f>購入おすすめ品!$Y$19</f>
        <v>0</v>
      </c>
      <c r="FG125" s="64">
        <f>購入おすすめ品!$AB$19</f>
        <v>0</v>
      </c>
      <c r="FH125" s="64">
        <f>購入おすすめ品!$AG$19</f>
        <v>0</v>
      </c>
      <c r="FI125" s="64">
        <f>購入おすすめ品!$AN$19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購入おすすめ品!$C$20</f>
        <v>0</v>
      </c>
      <c r="FE126" s="64">
        <f>購入おすすめ品!$U$20</f>
        <v>0</v>
      </c>
      <c r="FF126" s="64">
        <f>購入おすすめ品!$Y$20</f>
        <v>0</v>
      </c>
      <c r="FG126" s="64">
        <f>購入おすすめ品!$AB$20</f>
        <v>0</v>
      </c>
      <c r="FH126" s="64">
        <f>購入おすすめ品!$AG$20</f>
        <v>0</v>
      </c>
      <c r="FI126" s="64">
        <f>購入おすすめ品!$AN$20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購入おすすめ品!$C$21</f>
        <v>0</v>
      </c>
      <c r="FE127" s="64">
        <f>購入おすすめ品!$U$21</f>
        <v>0</v>
      </c>
      <c r="FF127" s="64">
        <f>購入おすすめ品!$Y$21</f>
        <v>0</v>
      </c>
      <c r="FG127" s="64">
        <f>購入おすすめ品!$AB$21</f>
        <v>0</v>
      </c>
      <c r="FH127" s="64">
        <f>購入おすすめ品!$AG$21</f>
        <v>0</v>
      </c>
      <c r="FI127" s="64">
        <f>購入おすすめ品!$AN$21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購入おすすめ品!$C$22</f>
        <v>0</v>
      </c>
      <c r="FE128" s="64">
        <f>購入おすすめ品!$U$22</f>
        <v>0</v>
      </c>
      <c r="FF128" s="64">
        <f>購入おすすめ品!$Y$22</f>
        <v>0</v>
      </c>
      <c r="FG128" s="64">
        <f>購入おすすめ品!$AB$22</f>
        <v>0</v>
      </c>
      <c r="FH128" s="64">
        <f>購入おすすめ品!$AG$22</f>
        <v>0</v>
      </c>
      <c r="FI128" s="64">
        <f>購入おすすめ品!$AN$22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購入おすすめ品!$C$23</f>
        <v>0</v>
      </c>
      <c r="FE129" s="64">
        <f>購入おすすめ品!$U$23</f>
        <v>0</v>
      </c>
      <c r="FF129" s="64">
        <f>購入おすすめ品!$Y$23</f>
        <v>0</v>
      </c>
      <c r="FG129" s="64">
        <f>購入おすすめ品!$AB$23</f>
        <v>0</v>
      </c>
      <c r="FH129" s="64">
        <f>購入おすすめ品!$AG$23</f>
        <v>0</v>
      </c>
      <c r="FI129" s="64">
        <f>購入おすすめ品!$AN$23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購入おすすめ品!$C$24</f>
        <v>0</v>
      </c>
      <c r="FE130" s="64">
        <f>購入おすすめ品!$U$24</f>
        <v>0</v>
      </c>
      <c r="FF130" s="64">
        <f>購入おすすめ品!$Y$24</f>
        <v>0</v>
      </c>
      <c r="FG130" s="64">
        <f>購入おすすめ品!$AB$24</f>
        <v>0</v>
      </c>
      <c r="FH130" s="64">
        <f>購入おすすめ品!$AG$24</f>
        <v>0</v>
      </c>
      <c r="FI130" s="64">
        <f>購入おすすめ品!$AN$24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購入おすすめ品!$C$25</f>
        <v>0</v>
      </c>
      <c r="FE131" s="64">
        <f>購入おすすめ品!$U$25</f>
        <v>0</v>
      </c>
      <c r="FF131" s="64">
        <f>購入おすすめ品!$Y$25</f>
        <v>0</v>
      </c>
      <c r="FG131" s="64">
        <f>購入おすすめ品!$AB$25</f>
        <v>0</v>
      </c>
      <c r="FH131" s="64">
        <f>購入おすすめ品!$AG$25</f>
        <v>0</v>
      </c>
      <c r="FI131" s="64">
        <f>購入おすすめ品!$AN$25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購入おすすめ品!$C$26</f>
        <v>0</v>
      </c>
      <c r="FE132" s="64">
        <f>購入おすすめ品!$U$26</f>
        <v>0</v>
      </c>
      <c r="FF132" s="64">
        <f>購入おすすめ品!$Y$26</f>
        <v>0</v>
      </c>
      <c r="FG132" s="64">
        <f>購入おすすめ品!$AB$26</f>
        <v>0</v>
      </c>
      <c r="FH132" s="64">
        <f>購入おすすめ品!$AG$26</f>
        <v>0</v>
      </c>
      <c r="FI132" s="64">
        <f>購入おすすめ品!$AN$26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購入おすすめ品!$C$27</f>
        <v>0</v>
      </c>
      <c r="FE133" s="64">
        <f>購入おすすめ品!$U$27</f>
        <v>0</v>
      </c>
      <c r="FF133" s="64">
        <f>購入おすすめ品!$Y$27</f>
        <v>0</v>
      </c>
      <c r="FG133" s="64">
        <f>購入おすすめ品!$AB$27</f>
        <v>0</v>
      </c>
      <c r="FH133" s="64">
        <f>購入おすすめ品!$AG$27</f>
        <v>0</v>
      </c>
      <c r="FI133" s="64">
        <f>購入おすすめ品!$AN$27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購入おすすめ品!$C$28</f>
        <v>0</v>
      </c>
      <c r="FE134" s="64">
        <f>購入おすすめ品!$U$28</f>
        <v>0</v>
      </c>
      <c r="FF134" s="64">
        <f>購入おすすめ品!$Y$28</f>
        <v>0</v>
      </c>
      <c r="FG134" s="64">
        <f>購入おすすめ品!$AB$28</f>
        <v>0</v>
      </c>
      <c r="FH134" s="64">
        <f>購入おすすめ品!$AG$28</f>
        <v>0</v>
      </c>
      <c r="FI134" s="64">
        <f>購入おすすめ品!$AN$28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購入おすすめ品!$C$29</f>
        <v>0</v>
      </c>
      <c r="FE135" s="64">
        <f>購入おすすめ品!$U$29</f>
        <v>0</v>
      </c>
      <c r="FF135" s="64">
        <f>購入おすすめ品!$Y$29</f>
        <v>0</v>
      </c>
      <c r="FG135" s="64">
        <f>購入おすすめ品!$AB$29</f>
        <v>0</v>
      </c>
      <c r="FH135" s="64">
        <f>購入おすすめ品!$AG$29</f>
        <v>0</v>
      </c>
      <c r="FI135" s="64">
        <f>購入おすすめ品!$AN$29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63</v>
      </c>
      <c r="FC400" s="62" t="s">
        <v>64</v>
      </c>
      <c r="FD400" s="62" t="s">
        <v>65</v>
      </c>
      <c r="FE400" s="62" t="s">
        <v>66</v>
      </c>
      <c r="FF400" s="62" t="s">
        <v>18</v>
      </c>
      <c r="FG400" s="62" t="s">
        <v>69</v>
      </c>
      <c r="FH400" s="62" t="s">
        <v>67</v>
      </c>
      <c r="FI400" s="62" t="s">
        <v>68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403C1E53-9E0A-463C-97A1-ACB2EAA890F6}"/>
    <dataValidation allowBlank="1" showInputMessage="1" showErrorMessage="1" promptTitle="明細書01の状態" prompt="明細書01が表示されているときは 0_x000a_明細書01が非表示のときは 1" sqref="CE107" xr:uid="{1793E79C-55E5-48D6-848C-66DC3AE62C7B}"/>
    <dataValidation allowBlank="1" showInputMessage="1" showErrorMessage="1" promptTitle="シート数を入力" prompt="明細書が出ていない状態でシート枚数を表示" sqref="CE106" xr:uid="{9AF468B0-5C9D-4DAC-B1B3-460CFC3046F6}"/>
    <dataValidation type="list" allowBlank="1" showInputMessage="1" showErrorMessage="1" sqref="DM104:DR104" xr:uid="{9E6EF633-4105-48A3-87AF-5B521E272BC9}">
      <formula1>$EM$102:$EM$103</formula1>
    </dataValidation>
    <dataValidation type="list" allowBlank="1" showInputMessage="1" showErrorMessage="1" sqref="T7:V8" xr:uid="{F96D42C8-DBF9-4344-BED2-D415D5EAA206}">
      <formula1>$CE$109:$CE$111</formula1>
    </dataValidation>
    <dataValidation type="list" imeMode="hiragana" allowBlank="1" showInputMessage="1" showErrorMessage="1" prompt="ボタンを押し単位を入力" sqref="X26:Z37" xr:uid="{FE3CDF5F-82F4-4AF6-8D84-BB14E19228F3}">
      <formula1>$CS$104:$CS$116</formula1>
    </dataValidation>
    <dataValidation type="list" allowBlank="1" showInputMessage="1" showErrorMessage="1" sqref="AA2:AJ3" xr:uid="{5A17CA2C-37C6-450C-80FB-6BC64291DB57}">
      <formula1>$DD$104:$DD$108</formula1>
    </dataValidation>
    <dataValidation imeMode="hiragana" allowBlank="1" showInputMessage="1" showErrorMessage="1" prompt="備考があれば入力" sqref="AN34:AS37 AM26:AM37" xr:uid="{6AFDB976-790E-4DFF-9BD5-AFD6F9DDB08F}"/>
    <dataValidation imeMode="off" allowBlank="1" showInputMessage="1" showErrorMessage="1" prompt="単価を入力" sqref="AA26:AE37" xr:uid="{5C9CF813-3551-4D86-96D3-BE7B7F74CFFB}"/>
    <dataValidation imeMode="off" allowBlank="1" showInputMessage="1" showErrorMessage="1" prompt="数量を入力" sqref="T26:W37" xr:uid="{F93DF6FB-0343-4045-9CD0-9227945B6888}"/>
    <dataValidation imeMode="hiragana" allowBlank="1" showInputMessage="1" showErrorMessage="1" prompt="品名を入力" sqref="B26:S37" xr:uid="{8CFBF2F8-0A82-4E31-AC0A-BD9D96787881}"/>
    <dataValidation imeMode="hiragana" allowBlank="1" showInputMessage="1" showErrorMessage="1" prompt="担当者を入力" sqref="AF17:AL17" xr:uid="{B0648F5A-9FE0-4095-9F50-2A86E6775A12}"/>
    <dataValidation imeMode="hiragana" allowBlank="1" showInputMessage="1" showErrorMessage="1" prompt="受渡場所を入力_x000a_例：貴社指定場所" sqref="H13:T13" xr:uid="{A3412480-E465-4E28-A2F5-FE13499C4EF2}"/>
    <dataValidation imeMode="off" allowBlank="1" showInputMessage="1" showErrorMessage="1" prompt="年を入力" sqref="J17:L17" xr:uid="{256B211C-7306-40AE-8512-FAFEB4DAE498}"/>
    <dataValidation imeMode="hiragana" allowBlank="1" showInputMessage="1" showErrorMessage="1" sqref="AB9:AS9 B41:AS42 E40:AS40" xr:uid="{BCAC81B6-BB4D-418B-BA86-59681F89CCB7}"/>
    <dataValidation allowBlank="1" showInputMessage="1" showErrorMessage="1" prompt="見積書NOを入力" sqref="AN3:AR3" xr:uid="{5FACA685-D95E-4C75-A6B0-D35BC5F56353}"/>
    <dataValidation imeMode="hiragana" allowBlank="1" showInputMessage="1" showErrorMessage="1" prompt="お客様名を入力" sqref="D7:S8" xr:uid="{0752ED94-14F8-4C91-B0F4-59B7C2B6733D}"/>
    <dataValidation imeMode="hiragana" allowBlank="1" showInputMessage="1" showErrorMessage="1" prompt="お客様の住所でビル名番地など入力" sqref="D5:R5" xr:uid="{C511261E-9CBF-48D7-BE14-350BACDE277C}"/>
    <dataValidation imeMode="hiragana" allowBlank="1" showInputMessage="1" showErrorMessage="1" prompt="お客様の住所を入力" sqref="D4" xr:uid="{46C22C80-E775-42B7-A60E-5A1292082299}"/>
    <dataValidation imeMode="off" allowBlank="1" showInputMessage="1" showErrorMessage="1" prompt="お客様の郵便番号を入力" sqref="E3:H3" xr:uid="{12F8FC5B-916C-4475-A102-38E7406F1C6A}"/>
    <dataValidation imeMode="off" allowBlank="1" showInputMessage="1" showErrorMessage="1" prompt="日を入力" sqref="AP6:AQ6 Q17:R17" xr:uid="{439A197C-B951-4728-8669-925484E2FACB}"/>
    <dataValidation imeMode="off" allowBlank="1" showInputMessage="1" showErrorMessage="1" prompt="月を入力" sqref="AM6:AN6 N17:O17" xr:uid="{B96DAB7D-DC65-444F-BE4F-5A513915A895}"/>
    <dataValidation imeMode="off" allowBlank="1" showInputMessage="1" showErrorMessage="1" prompt="年を入力  西暦表示の場合、平成を消してください" sqref="AI6:AK6" xr:uid="{5250BF55-29F3-4B30-BF63-2913E1783F61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G10" sqref="AG10:AM10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8" t="s">
        <v>106</v>
      </c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L3" s="5" t="s">
        <v>0</v>
      </c>
      <c r="AM3" s="5"/>
      <c r="AN3" s="211"/>
      <c r="AO3" s="211"/>
      <c r="AP3" s="211"/>
      <c r="AQ3" s="211"/>
      <c r="AR3" s="21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5" t="s">
        <v>10</v>
      </c>
      <c r="V5" s="86"/>
      <c r="W5" s="86"/>
      <c r="X5" s="86"/>
      <c r="Y5" s="86"/>
      <c r="Z5" s="86"/>
      <c r="AA5" s="87"/>
      <c r="AB5" s="85" t="s">
        <v>11</v>
      </c>
      <c r="AC5" s="86"/>
      <c r="AD5" s="86"/>
      <c r="AE5" s="86"/>
      <c r="AF5" s="86"/>
      <c r="AG5" s="85" t="s">
        <v>12</v>
      </c>
      <c r="AH5" s="86"/>
      <c r="AI5" s="86"/>
      <c r="AJ5" s="86"/>
      <c r="AK5" s="86"/>
      <c r="AL5" s="86"/>
      <c r="AM5" s="87"/>
      <c r="AN5" s="85" t="s">
        <v>13</v>
      </c>
      <c r="AO5" s="86"/>
      <c r="AP5" s="86"/>
      <c r="AQ5" s="86"/>
      <c r="AR5" s="86"/>
      <c r="AS5" s="86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8"/>
      <c r="V6" s="89"/>
      <c r="W6" s="89"/>
      <c r="X6" s="89"/>
      <c r="Y6" s="89"/>
      <c r="Z6" s="89"/>
      <c r="AA6" s="90"/>
      <c r="AB6" s="88"/>
      <c r="AC6" s="89"/>
      <c r="AD6" s="89"/>
      <c r="AE6" s="89"/>
      <c r="AF6" s="89"/>
      <c r="AG6" s="88"/>
      <c r="AH6" s="89"/>
      <c r="AI6" s="89"/>
      <c r="AJ6" s="89"/>
      <c r="AK6" s="89"/>
      <c r="AL6" s="89"/>
      <c r="AM6" s="90"/>
      <c r="AN6" s="88"/>
      <c r="AO6" s="89"/>
      <c r="AP6" s="89"/>
      <c r="AQ6" s="89"/>
      <c r="AR6" s="89"/>
      <c r="AS6" s="89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2" t="s">
        <v>103</v>
      </c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4"/>
      <c r="U7" s="127">
        <v>1</v>
      </c>
      <c r="V7" s="128"/>
      <c r="W7" s="128"/>
      <c r="X7" s="128"/>
      <c r="Y7" s="146" t="s">
        <v>104</v>
      </c>
      <c r="Z7" s="146"/>
      <c r="AA7" s="147"/>
      <c r="AB7" s="127"/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2" t="s">
        <v>120</v>
      </c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127">
        <v>2</v>
      </c>
      <c r="V8" s="128"/>
      <c r="W8" s="128"/>
      <c r="X8" s="128"/>
      <c r="Y8" s="146" t="s">
        <v>121</v>
      </c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2" t="s">
        <v>122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127">
        <v>1</v>
      </c>
      <c r="V9" s="128"/>
      <c r="W9" s="128"/>
      <c r="X9" s="128"/>
      <c r="Y9" s="146" t="s">
        <v>121</v>
      </c>
      <c r="Z9" s="146"/>
      <c r="AA9" s="147"/>
      <c r="AB9" s="127"/>
      <c r="AC9" s="128"/>
      <c r="AD9" s="128"/>
      <c r="AE9" s="128"/>
      <c r="AF9" s="129"/>
      <c r="AG9" s="127">
        <f t="shared" si="0"/>
        <v>0</v>
      </c>
      <c r="AH9" s="128"/>
      <c r="AI9" s="128"/>
      <c r="AJ9" s="128"/>
      <c r="AK9" s="128"/>
      <c r="AL9" s="128"/>
      <c r="AM9" s="129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2" t="s">
        <v>123</v>
      </c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127">
        <v>3</v>
      </c>
      <c r="V10" s="128"/>
      <c r="W10" s="128"/>
      <c r="X10" s="128"/>
      <c r="Y10" s="146" t="s">
        <v>121</v>
      </c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2" t="s">
        <v>124</v>
      </c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127">
        <v>1</v>
      </c>
      <c r="V11" s="128"/>
      <c r="W11" s="128"/>
      <c r="X11" s="128"/>
      <c r="Y11" s="146" t="s">
        <v>121</v>
      </c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2" t="s">
        <v>125</v>
      </c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4"/>
      <c r="U12" s="127">
        <v>20</v>
      </c>
      <c r="V12" s="128"/>
      <c r="W12" s="128"/>
      <c r="X12" s="128"/>
      <c r="Y12" s="146" t="s">
        <v>126</v>
      </c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2" t="s">
        <v>127</v>
      </c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4"/>
      <c r="U13" s="127">
        <v>1</v>
      </c>
      <c r="V13" s="128"/>
      <c r="W13" s="128"/>
      <c r="X13" s="128"/>
      <c r="Y13" s="146" t="s">
        <v>121</v>
      </c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2" t="s">
        <v>128</v>
      </c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4"/>
      <c r="U14" s="127">
        <v>1</v>
      </c>
      <c r="V14" s="128"/>
      <c r="W14" s="128"/>
      <c r="X14" s="128"/>
      <c r="Y14" s="146" t="s">
        <v>121</v>
      </c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2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4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2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4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2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4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4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2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4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2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4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2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4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2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4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15"/>
      <c r="AO22" s="216"/>
      <c r="AP22" s="216"/>
      <c r="AQ22" s="216"/>
      <c r="AR22" s="216"/>
      <c r="AS22" s="216"/>
      <c r="AT22" s="217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4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15"/>
      <c r="AO23" s="216"/>
      <c r="AP23" s="216"/>
      <c r="AQ23" s="216"/>
      <c r="AR23" s="216"/>
      <c r="AS23" s="216"/>
      <c r="AT23" s="217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4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15"/>
      <c r="AO24" s="216"/>
      <c r="AP24" s="216"/>
      <c r="AQ24" s="216"/>
      <c r="AR24" s="216"/>
      <c r="AS24" s="216"/>
      <c r="AT24" s="217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2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4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15"/>
      <c r="AO25" s="216"/>
      <c r="AP25" s="216"/>
      <c r="AQ25" s="216"/>
      <c r="AR25" s="216"/>
      <c r="AS25" s="216"/>
      <c r="AT25" s="217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2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4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15"/>
      <c r="AO26" s="216"/>
      <c r="AP26" s="216"/>
      <c r="AQ26" s="216"/>
      <c r="AR26" s="216"/>
      <c r="AS26" s="216"/>
      <c r="AT26" s="217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2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4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15"/>
      <c r="AO27" s="216"/>
      <c r="AP27" s="216"/>
      <c r="AQ27" s="216"/>
      <c r="AR27" s="216"/>
      <c r="AS27" s="216"/>
      <c r="AT27" s="217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2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4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15"/>
      <c r="AO28" s="216"/>
      <c r="AP28" s="216"/>
      <c r="AQ28" s="216"/>
      <c r="AR28" s="216"/>
      <c r="AS28" s="216"/>
      <c r="AT28" s="217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4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44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18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43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74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xWindow="623" yWindow="1322" count="5">
    <dataValidation imeMode="hiragana" allowBlank="1" showInputMessage="1" showErrorMessage="1" prompt="品名を入力" sqref="D7:T7 C7:C29 D20:T29" xr:uid="{00000000-0002-0000-0100-000000000000}"/>
    <dataValidation imeMode="off" allowBlank="1" showInputMessage="1" showErrorMessage="1" prompt="数量を入力" sqref="U7:X29" xr:uid="{00000000-0002-0000-0100-000001000000}"/>
    <dataValidation imeMode="off" allowBlank="1" showInputMessage="1" showErrorMessage="1" prompt="単価を入力" sqref="AB7:AF29" xr:uid="{00000000-0002-0000-0100-000002000000}"/>
    <dataValidation imeMode="hiragana" allowBlank="1" showInputMessage="1" showErrorMessage="1" prompt="備考があれば入力" sqref="AN7:AT29" xr:uid="{00000000-0002-0000-0100-000003000000}"/>
    <dataValidation type="list" imeMode="hiragana" allowBlank="1" showInputMessage="1" showErrorMessage="1" prompt="ボタンを押し単位を入力" sqref="Y7:AA29" xr:uid="{00000000-0002-0000-01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18" sqref="C18:T1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8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L3" s="5"/>
      <c r="AM3" s="5"/>
      <c r="AN3" s="211"/>
      <c r="AO3" s="211"/>
      <c r="AP3" s="211"/>
      <c r="AQ3" s="211"/>
      <c r="AR3" s="21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5"/>
      <c r="V5" s="86"/>
      <c r="W5" s="86"/>
      <c r="X5" s="86"/>
      <c r="Y5" s="86"/>
      <c r="Z5" s="86"/>
      <c r="AA5" s="87"/>
      <c r="AB5" s="85"/>
      <c r="AC5" s="86"/>
      <c r="AD5" s="86"/>
      <c r="AE5" s="86"/>
      <c r="AF5" s="86"/>
      <c r="AG5" s="85"/>
      <c r="AH5" s="86"/>
      <c r="AI5" s="86"/>
      <c r="AJ5" s="86"/>
      <c r="AK5" s="86"/>
      <c r="AL5" s="86"/>
      <c r="AM5" s="87"/>
      <c r="AN5" s="85"/>
      <c r="AO5" s="86"/>
      <c r="AP5" s="86"/>
      <c r="AQ5" s="86"/>
      <c r="AR5" s="86"/>
      <c r="AS5" s="86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8"/>
      <c r="V6" s="89"/>
      <c r="W6" s="89"/>
      <c r="X6" s="89"/>
      <c r="Y6" s="89"/>
      <c r="Z6" s="89"/>
      <c r="AA6" s="90"/>
      <c r="AB6" s="88"/>
      <c r="AC6" s="89"/>
      <c r="AD6" s="89"/>
      <c r="AE6" s="89"/>
      <c r="AF6" s="89"/>
      <c r="AG6" s="88"/>
      <c r="AH6" s="89"/>
      <c r="AI6" s="89"/>
      <c r="AJ6" s="89"/>
      <c r="AK6" s="89"/>
      <c r="AL6" s="89"/>
      <c r="AM6" s="90"/>
      <c r="AN6" s="88"/>
      <c r="AO6" s="89"/>
      <c r="AP6" s="89"/>
      <c r="AQ6" s="89"/>
      <c r="AR6" s="89"/>
      <c r="AS6" s="89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4"/>
      <c r="U7" s="127"/>
      <c r="V7" s="128"/>
      <c r="W7" s="128"/>
      <c r="X7" s="128"/>
      <c r="Y7" s="146"/>
      <c r="Z7" s="146"/>
      <c r="AA7" s="147"/>
      <c r="AB7" s="127"/>
      <c r="AC7" s="128"/>
      <c r="AD7" s="128"/>
      <c r="AE7" s="128"/>
      <c r="AF7" s="129"/>
      <c r="AG7" s="127"/>
      <c r="AH7" s="128"/>
      <c r="AI7" s="128"/>
      <c r="AJ7" s="128"/>
      <c r="AK7" s="128"/>
      <c r="AL7" s="128"/>
      <c r="AM7" s="129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127"/>
      <c r="V8" s="128"/>
      <c r="W8" s="128"/>
      <c r="X8" s="128"/>
      <c r="Y8" s="146"/>
      <c r="Z8" s="146"/>
      <c r="AA8" s="147"/>
      <c r="AB8" s="127"/>
      <c r="AC8" s="128"/>
      <c r="AD8" s="128"/>
      <c r="AE8" s="128"/>
      <c r="AF8" s="129"/>
      <c r="AG8" s="127"/>
      <c r="AH8" s="128"/>
      <c r="AI8" s="128"/>
      <c r="AJ8" s="128"/>
      <c r="AK8" s="128"/>
      <c r="AL8" s="128"/>
      <c r="AM8" s="129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2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127"/>
      <c r="V9" s="128"/>
      <c r="W9" s="128"/>
      <c r="X9" s="128"/>
      <c r="Y9" s="146"/>
      <c r="Z9" s="146"/>
      <c r="AA9" s="147"/>
      <c r="AB9" s="127"/>
      <c r="AC9" s="128"/>
      <c r="AD9" s="128"/>
      <c r="AE9" s="128"/>
      <c r="AF9" s="129"/>
      <c r="AG9" s="127"/>
      <c r="AH9" s="128"/>
      <c r="AI9" s="128"/>
      <c r="AJ9" s="128"/>
      <c r="AK9" s="128"/>
      <c r="AL9" s="128"/>
      <c r="AM9" s="129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2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127"/>
      <c r="V10" s="128"/>
      <c r="W10" s="128"/>
      <c r="X10" s="128"/>
      <c r="Y10" s="146"/>
      <c r="Z10" s="146"/>
      <c r="AA10" s="147"/>
      <c r="AB10" s="127"/>
      <c r="AC10" s="128"/>
      <c r="AD10" s="128"/>
      <c r="AE10" s="128"/>
      <c r="AF10" s="129"/>
      <c r="AG10" s="127"/>
      <c r="AH10" s="128"/>
      <c r="AI10" s="128"/>
      <c r="AJ10" s="128"/>
      <c r="AK10" s="128"/>
      <c r="AL10" s="128"/>
      <c r="AM10" s="129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2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127"/>
      <c r="V11" s="128"/>
      <c r="W11" s="128"/>
      <c r="X11" s="128"/>
      <c r="Y11" s="146"/>
      <c r="Z11" s="146"/>
      <c r="AA11" s="147"/>
      <c r="AB11" s="127"/>
      <c r="AC11" s="128"/>
      <c r="AD11" s="128"/>
      <c r="AE11" s="128"/>
      <c r="AF11" s="129"/>
      <c r="AG11" s="127"/>
      <c r="AH11" s="128"/>
      <c r="AI11" s="128"/>
      <c r="AJ11" s="128"/>
      <c r="AK11" s="128"/>
      <c r="AL11" s="128"/>
      <c r="AM11" s="129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2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4"/>
      <c r="U12" s="127"/>
      <c r="V12" s="128"/>
      <c r="W12" s="128"/>
      <c r="X12" s="128"/>
      <c r="Y12" s="146"/>
      <c r="Z12" s="146"/>
      <c r="AA12" s="147"/>
      <c r="AB12" s="127"/>
      <c r="AC12" s="128"/>
      <c r="AD12" s="128"/>
      <c r="AE12" s="128"/>
      <c r="AF12" s="129"/>
      <c r="AG12" s="127"/>
      <c r="AH12" s="128"/>
      <c r="AI12" s="128"/>
      <c r="AJ12" s="128"/>
      <c r="AK12" s="128"/>
      <c r="AL12" s="128"/>
      <c r="AM12" s="129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2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4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/>
      <c r="AH13" s="128"/>
      <c r="AI13" s="128"/>
      <c r="AJ13" s="128"/>
      <c r="AK13" s="128"/>
      <c r="AL13" s="128"/>
      <c r="AM13" s="129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2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4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/>
      <c r="AH14" s="128"/>
      <c r="AI14" s="128"/>
      <c r="AJ14" s="128"/>
      <c r="AK14" s="128"/>
      <c r="AL14" s="128"/>
      <c r="AM14" s="129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2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4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/>
      <c r="AH15" s="128"/>
      <c r="AI15" s="128"/>
      <c r="AJ15" s="128"/>
      <c r="AK15" s="128"/>
      <c r="AL15" s="128"/>
      <c r="AM15" s="129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2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4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/>
      <c r="AH16" s="128"/>
      <c r="AI16" s="128"/>
      <c r="AJ16" s="128"/>
      <c r="AK16" s="128"/>
      <c r="AL16" s="128"/>
      <c r="AM16" s="129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2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4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/>
      <c r="AH17" s="128"/>
      <c r="AI17" s="128"/>
      <c r="AJ17" s="128"/>
      <c r="AK17" s="128"/>
      <c r="AL17" s="128"/>
      <c r="AM17" s="129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4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/>
      <c r="AH18" s="128"/>
      <c r="AI18" s="128"/>
      <c r="AJ18" s="128"/>
      <c r="AK18" s="128"/>
      <c r="AL18" s="128"/>
      <c r="AM18" s="129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2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4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/>
      <c r="AH19" s="128"/>
      <c r="AI19" s="128"/>
      <c r="AJ19" s="128"/>
      <c r="AK19" s="128"/>
      <c r="AL19" s="128"/>
      <c r="AM19" s="129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4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/>
      <c r="AH20" s="128"/>
      <c r="AI20" s="128"/>
      <c r="AJ20" s="128"/>
      <c r="AK20" s="128"/>
      <c r="AL20" s="128"/>
      <c r="AM20" s="129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3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/>
      <c r="AH21" s="128"/>
      <c r="AI21" s="128"/>
      <c r="AJ21" s="128"/>
      <c r="AK21" s="128"/>
      <c r="AL21" s="128"/>
      <c r="AM21" s="129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3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/>
      <c r="AH22" s="128"/>
      <c r="AI22" s="128"/>
      <c r="AJ22" s="128"/>
      <c r="AK22" s="128"/>
      <c r="AL22" s="128"/>
      <c r="AM22" s="129"/>
      <c r="AN22" s="215"/>
      <c r="AO22" s="216"/>
      <c r="AP22" s="216"/>
      <c r="AQ22" s="216"/>
      <c r="AR22" s="216"/>
      <c r="AS22" s="216"/>
      <c r="AT22" s="217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4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/>
      <c r="AH23" s="128"/>
      <c r="AI23" s="128"/>
      <c r="AJ23" s="128"/>
      <c r="AK23" s="128"/>
      <c r="AL23" s="128"/>
      <c r="AM23" s="129"/>
      <c r="AN23" s="215"/>
      <c r="AO23" s="216"/>
      <c r="AP23" s="216"/>
      <c r="AQ23" s="216"/>
      <c r="AR23" s="216"/>
      <c r="AS23" s="216"/>
      <c r="AT23" s="217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4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/>
      <c r="AH24" s="128"/>
      <c r="AI24" s="128"/>
      <c r="AJ24" s="128"/>
      <c r="AK24" s="128"/>
      <c r="AL24" s="128"/>
      <c r="AM24" s="129"/>
      <c r="AN24" s="215"/>
      <c r="AO24" s="216"/>
      <c r="AP24" s="216"/>
      <c r="AQ24" s="216"/>
      <c r="AR24" s="216"/>
      <c r="AS24" s="216"/>
      <c r="AT24" s="217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2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4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/>
      <c r="AH25" s="128"/>
      <c r="AI25" s="128"/>
      <c r="AJ25" s="128"/>
      <c r="AK25" s="128"/>
      <c r="AL25" s="128"/>
      <c r="AM25" s="129"/>
      <c r="AN25" s="215"/>
      <c r="AO25" s="216"/>
      <c r="AP25" s="216"/>
      <c r="AQ25" s="216"/>
      <c r="AR25" s="216"/>
      <c r="AS25" s="216"/>
      <c r="AT25" s="217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2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4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/>
      <c r="AH26" s="128"/>
      <c r="AI26" s="128"/>
      <c r="AJ26" s="128"/>
      <c r="AK26" s="128"/>
      <c r="AL26" s="128"/>
      <c r="AM26" s="129"/>
      <c r="AN26" s="215"/>
      <c r="AO26" s="216"/>
      <c r="AP26" s="216"/>
      <c r="AQ26" s="216"/>
      <c r="AR26" s="216"/>
      <c r="AS26" s="216"/>
      <c r="AT26" s="217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2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4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/>
      <c r="AH27" s="128"/>
      <c r="AI27" s="128"/>
      <c r="AJ27" s="128"/>
      <c r="AK27" s="128"/>
      <c r="AL27" s="128"/>
      <c r="AM27" s="129"/>
      <c r="AN27" s="215"/>
      <c r="AO27" s="216"/>
      <c r="AP27" s="216"/>
      <c r="AQ27" s="216"/>
      <c r="AR27" s="216"/>
      <c r="AS27" s="216"/>
      <c r="AT27" s="217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2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4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/>
      <c r="AH28" s="128"/>
      <c r="AI28" s="128"/>
      <c r="AJ28" s="128"/>
      <c r="AK28" s="128"/>
      <c r="AL28" s="128"/>
      <c r="AM28" s="129"/>
      <c r="AN28" s="215"/>
      <c r="AO28" s="216"/>
      <c r="AP28" s="216"/>
      <c r="AQ28" s="216"/>
      <c r="AR28" s="216"/>
      <c r="AS28" s="216"/>
      <c r="AT28" s="217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4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/>
      <c r="AH29" s="226"/>
      <c r="AI29" s="226"/>
      <c r="AJ29" s="226"/>
      <c r="AK29" s="226"/>
      <c r="AL29" s="226"/>
      <c r="AM29" s="227"/>
      <c r="AN29" s="215"/>
      <c r="AO29" s="216"/>
      <c r="AP29" s="216"/>
      <c r="AQ29" s="216"/>
      <c r="AR29" s="216"/>
      <c r="AS29" s="216"/>
      <c r="AT29" s="217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/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/>
      <c r="CT103" s="14"/>
    </row>
    <row r="104" spans="97:98" ht="13.5" customHeight="1" x14ac:dyDescent="0.15">
      <c r="CS104" s="58"/>
      <c r="CT104" s="18"/>
    </row>
    <row r="105" spans="97:98" ht="13.5" customHeight="1" x14ac:dyDescent="0.15">
      <c r="CS105" s="58"/>
      <c r="CT105" s="18"/>
    </row>
    <row r="106" spans="97:98" ht="13.5" customHeight="1" x14ac:dyDescent="0.15">
      <c r="CS106" s="58"/>
      <c r="CT106" s="21"/>
    </row>
    <row r="107" spans="97:98" ht="13.5" customHeight="1" x14ac:dyDescent="0.15">
      <c r="CS107" s="58"/>
      <c r="CT107" s="18"/>
    </row>
    <row r="108" spans="97:98" ht="13.5" customHeight="1" x14ac:dyDescent="0.15">
      <c r="CS108" s="58"/>
      <c r="CT108" s="18"/>
    </row>
    <row r="109" spans="97:98" ht="13.5" customHeight="1" x14ac:dyDescent="0.15">
      <c r="CS109" s="58"/>
      <c r="CT109" s="20"/>
    </row>
    <row r="110" spans="97:98" ht="13.5" customHeight="1" x14ac:dyDescent="0.15">
      <c r="CS110" s="58"/>
      <c r="CT110" s="20"/>
    </row>
    <row r="111" spans="97:98" ht="13.5" customHeight="1" x14ac:dyDescent="0.15">
      <c r="CS111" s="58"/>
      <c r="CT111" s="18"/>
    </row>
    <row r="112" spans="97:98" ht="13.5" customHeight="1" x14ac:dyDescent="0.15">
      <c r="CS112" s="58"/>
      <c r="CT112" s="18"/>
    </row>
    <row r="113" spans="87:125" ht="13.5" customHeight="1" x14ac:dyDescent="0.15">
      <c r="CS113" s="58"/>
      <c r="CT113" s="18"/>
    </row>
    <row r="114" spans="87:125" ht="13.5" customHeight="1" x14ac:dyDescent="0.15">
      <c r="CS114" s="58"/>
      <c r="CT114" s="21"/>
    </row>
    <row r="115" spans="87:125" ht="13.5" customHeight="1" x14ac:dyDescent="0.15">
      <c r="CS115" s="58"/>
      <c r="CT115" s="18"/>
    </row>
    <row r="116" spans="87:125" ht="13.5" customHeight="1" x14ac:dyDescent="0.15">
      <c r="CS116" s="58"/>
      <c r="CT116" s="18"/>
    </row>
    <row r="119" spans="87:125" ht="13.5" customHeight="1" x14ac:dyDescent="0.15">
      <c r="CI119" s="142"/>
      <c r="CJ119" s="142"/>
      <c r="CK119" s="142"/>
      <c r="CL119" s="142"/>
      <c r="CM119" s="223"/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/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/>
      <c r="CJ120" s="142"/>
      <c r="CK120" s="142"/>
      <c r="CL120" s="142"/>
      <c r="CM120" s="223"/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/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200-000000000000}">
      <formula1>$CS$104:$CS$116</formula1>
    </dataValidation>
    <dataValidation imeMode="hiragana" allowBlank="1" showInputMessage="1" showErrorMessage="1" prompt="備考があれば入力" sqref="AN7:AT29" xr:uid="{00000000-0002-0000-0200-000001000000}"/>
    <dataValidation imeMode="off" allowBlank="1" showInputMessage="1" showErrorMessage="1" prompt="単価を入力" sqref="AB7:AF29" xr:uid="{00000000-0002-0000-0200-000002000000}"/>
    <dataValidation imeMode="off" allowBlank="1" showInputMessage="1" showErrorMessage="1" prompt="数量を入力" sqref="U7:X29" xr:uid="{00000000-0002-0000-0200-000003000000}"/>
    <dataValidation imeMode="hiragana" allowBlank="1" showInputMessage="1" showErrorMessage="1" prompt="品名を入力" sqref="D7:T7 D19:T19 C7:C29 D23:T29" xr:uid="{00000000-0002-0000-02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8" t="s">
        <v>93</v>
      </c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L3" s="5" t="s">
        <v>89</v>
      </c>
      <c r="AM3" s="5"/>
      <c r="AN3" s="211"/>
      <c r="AO3" s="211"/>
      <c r="AP3" s="211"/>
      <c r="AQ3" s="211"/>
      <c r="AR3" s="21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5" t="s">
        <v>10</v>
      </c>
      <c r="V5" s="86"/>
      <c r="W5" s="86"/>
      <c r="X5" s="86"/>
      <c r="Y5" s="86"/>
      <c r="Z5" s="86"/>
      <c r="AA5" s="87"/>
      <c r="AB5" s="85" t="s">
        <v>11</v>
      </c>
      <c r="AC5" s="86"/>
      <c r="AD5" s="86"/>
      <c r="AE5" s="86"/>
      <c r="AF5" s="86"/>
      <c r="AG5" s="85" t="s">
        <v>12</v>
      </c>
      <c r="AH5" s="86"/>
      <c r="AI5" s="86"/>
      <c r="AJ5" s="86"/>
      <c r="AK5" s="86"/>
      <c r="AL5" s="86"/>
      <c r="AM5" s="87"/>
      <c r="AN5" s="85" t="s">
        <v>13</v>
      </c>
      <c r="AO5" s="86"/>
      <c r="AP5" s="86"/>
      <c r="AQ5" s="86"/>
      <c r="AR5" s="86"/>
      <c r="AS5" s="86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8"/>
      <c r="V6" s="89"/>
      <c r="W6" s="89"/>
      <c r="X6" s="89"/>
      <c r="Y6" s="89"/>
      <c r="Z6" s="89"/>
      <c r="AA6" s="90"/>
      <c r="AB6" s="88"/>
      <c r="AC6" s="89"/>
      <c r="AD6" s="89"/>
      <c r="AE6" s="89"/>
      <c r="AF6" s="89"/>
      <c r="AG6" s="88"/>
      <c r="AH6" s="89"/>
      <c r="AI6" s="89"/>
      <c r="AJ6" s="89"/>
      <c r="AK6" s="89"/>
      <c r="AL6" s="89"/>
      <c r="AM6" s="90"/>
      <c r="AN6" s="88"/>
      <c r="AO6" s="89"/>
      <c r="AP6" s="89"/>
      <c r="AQ6" s="89"/>
      <c r="AR6" s="89"/>
      <c r="AS6" s="89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4"/>
      <c r="U7" s="127"/>
      <c r="V7" s="128"/>
      <c r="W7" s="128"/>
      <c r="X7" s="128"/>
      <c r="Y7" s="146"/>
      <c r="Z7" s="146"/>
      <c r="AA7" s="147"/>
      <c r="AB7" s="127">
        <f>SUM(Y19)</f>
        <v>0</v>
      </c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127"/>
      <c r="V8" s="128"/>
      <c r="W8" s="128"/>
      <c r="X8" s="128"/>
      <c r="Y8" s="146"/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2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127"/>
      <c r="V9" s="128"/>
      <c r="W9" s="128"/>
      <c r="X9" s="128"/>
      <c r="Y9" s="146"/>
      <c r="Z9" s="146"/>
      <c r="AA9" s="147"/>
      <c r="AB9" s="127"/>
      <c r="AC9" s="128"/>
      <c r="AD9" s="128"/>
      <c r="AE9" s="128"/>
      <c r="AF9" s="129"/>
      <c r="AG9" s="127">
        <f t="shared" si="0"/>
        <v>0</v>
      </c>
      <c r="AH9" s="128"/>
      <c r="AI9" s="128"/>
      <c r="AJ9" s="128"/>
      <c r="AK9" s="128"/>
      <c r="AL9" s="128"/>
      <c r="AM9" s="129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2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127"/>
      <c r="V10" s="128"/>
      <c r="W10" s="128"/>
      <c r="X10" s="128"/>
      <c r="Y10" s="146"/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2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127"/>
      <c r="V11" s="128"/>
      <c r="W11" s="128"/>
      <c r="X11" s="128"/>
      <c r="Y11" s="146"/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2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4"/>
      <c r="U12" s="127"/>
      <c r="V12" s="128"/>
      <c r="W12" s="128"/>
      <c r="X12" s="128"/>
      <c r="Y12" s="146"/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2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4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28"/>
      <c r="AO13" s="229"/>
      <c r="AP13" s="229"/>
      <c r="AQ13" s="229"/>
      <c r="AR13" s="229"/>
      <c r="AS13" s="229"/>
      <c r="AT13" s="23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2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4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28"/>
      <c r="AO14" s="229"/>
      <c r="AP14" s="229"/>
      <c r="AQ14" s="229"/>
      <c r="AR14" s="229"/>
      <c r="AS14" s="229"/>
      <c r="AT14" s="23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2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4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28"/>
      <c r="AO15" s="229"/>
      <c r="AP15" s="229"/>
      <c r="AQ15" s="229"/>
      <c r="AR15" s="229"/>
      <c r="AS15" s="229"/>
      <c r="AT15" s="23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2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4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28"/>
      <c r="AO16" s="229"/>
      <c r="AP16" s="229"/>
      <c r="AQ16" s="229"/>
      <c r="AR16" s="229"/>
      <c r="AS16" s="229"/>
      <c r="AT16" s="23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2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4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28"/>
      <c r="AO17" s="229"/>
      <c r="AP17" s="229"/>
      <c r="AQ17" s="229"/>
      <c r="AR17" s="229"/>
      <c r="AS17" s="229"/>
      <c r="AT17" s="23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4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28"/>
      <c r="AO18" s="229"/>
      <c r="AP18" s="229"/>
      <c r="AQ18" s="229"/>
      <c r="AR18" s="229"/>
      <c r="AS18" s="229"/>
      <c r="AT18" s="23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2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4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28"/>
      <c r="AO19" s="229"/>
      <c r="AP19" s="229"/>
      <c r="AQ19" s="229"/>
      <c r="AR19" s="229"/>
      <c r="AS19" s="229"/>
      <c r="AT19" s="23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2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4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28"/>
      <c r="AO20" s="229"/>
      <c r="AP20" s="229"/>
      <c r="AQ20" s="229"/>
      <c r="AR20" s="229"/>
      <c r="AS20" s="229"/>
      <c r="AT20" s="23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2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4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28"/>
      <c r="AO21" s="229"/>
      <c r="AP21" s="229"/>
      <c r="AQ21" s="229"/>
      <c r="AR21" s="229"/>
      <c r="AS21" s="229"/>
      <c r="AT21" s="23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2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4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4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4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2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4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2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4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2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4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2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4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4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44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18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43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74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</mergeCells>
  <phoneticPr fontId="4"/>
  <dataValidations count="5">
    <dataValidation imeMode="hiragana" allowBlank="1" showInputMessage="1" showErrorMessage="1" prompt="品名を入力" sqref="D8:T9 C7:C29 D12:T29" xr:uid="{00000000-0002-0000-0300-000000000000}"/>
    <dataValidation imeMode="off" allowBlank="1" showInputMessage="1" showErrorMessage="1" prompt="数量を入力" sqref="U7:X29" xr:uid="{00000000-0002-0000-0300-000001000000}"/>
    <dataValidation imeMode="off" allowBlank="1" showInputMessage="1" showErrorMessage="1" prompt="単価を入力" sqref="AB7:AF29" xr:uid="{00000000-0002-0000-0300-000002000000}"/>
    <dataValidation imeMode="hiragana" allowBlank="1" showInputMessage="1" showErrorMessage="1" prompt="備考があれば入力" sqref="AN7:AT29" xr:uid="{00000000-0002-0000-0300-000003000000}"/>
    <dataValidation type="list" imeMode="hiragana" allowBlank="1" showInputMessage="1" showErrorMessage="1" prompt="ボタンを押し単位を入力" sqref="Y7:AA29" xr:uid="{00000000-0002-0000-03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Button 4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Button 5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Button 6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Button 34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:XFD1048576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8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L3" s="5"/>
      <c r="AM3" s="5"/>
      <c r="AN3" s="211"/>
      <c r="AO3" s="211"/>
      <c r="AP3" s="211"/>
      <c r="AQ3" s="211"/>
      <c r="AR3" s="21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5"/>
      <c r="V5" s="86"/>
      <c r="W5" s="86"/>
      <c r="X5" s="86"/>
      <c r="Y5" s="86"/>
      <c r="Z5" s="86"/>
      <c r="AA5" s="87"/>
      <c r="AB5" s="85"/>
      <c r="AC5" s="86"/>
      <c r="AD5" s="86"/>
      <c r="AE5" s="86"/>
      <c r="AF5" s="86"/>
      <c r="AG5" s="85"/>
      <c r="AH5" s="86"/>
      <c r="AI5" s="86"/>
      <c r="AJ5" s="86"/>
      <c r="AK5" s="86"/>
      <c r="AL5" s="86"/>
      <c r="AM5" s="87"/>
      <c r="AN5" s="85"/>
      <c r="AO5" s="86"/>
      <c r="AP5" s="86"/>
      <c r="AQ5" s="86"/>
      <c r="AR5" s="86"/>
      <c r="AS5" s="86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8"/>
      <c r="V6" s="89"/>
      <c r="W6" s="89"/>
      <c r="X6" s="89"/>
      <c r="Y6" s="89"/>
      <c r="Z6" s="89"/>
      <c r="AA6" s="90"/>
      <c r="AB6" s="88"/>
      <c r="AC6" s="89"/>
      <c r="AD6" s="89"/>
      <c r="AE6" s="89"/>
      <c r="AF6" s="89"/>
      <c r="AG6" s="88"/>
      <c r="AH6" s="89"/>
      <c r="AI6" s="89"/>
      <c r="AJ6" s="89"/>
      <c r="AK6" s="89"/>
      <c r="AL6" s="89"/>
      <c r="AM6" s="90"/>
      <c r="AN6" s="88"/>
      <c r="AO6" s="89"/>
      <c r="AP6" s="89"/>
      <c r="AQ6" s="89"/>
      <c r="AR6" s="89"/>
      <c r="AS6" s="89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4"/>
      <c r="U7" s="127"/>
      <c r="V7" s="128"/>
      <c r="W7" s="128"/>
      <c r="X7" s="128"/>
      <c r="Y7" s="146"/>
      <c r="Z7" s="146"/>
      <c r="AA7" s="147"/>
      <c r="AB7" s="127"/>
      <c r="AC7" s="128"/>
      <c r="AD7" s="128"/>
      <c r="AE7" s="128"/>
      <c r="AF7" s="129"/>
      <c r="AG7" s="127"/>
      <c r="AH7" s="128"/>
      <c r="AI7" s="128"/>
      <c r="AJ7" s="128"/>
      <c r="AK7" s="128"/>
      <c r="AL7" s="128"/>
      <c r="AM7" s="129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127"/>
      <c r="V8" s="128"/>
      <c r="W8" s="128"/>
      <c r="X8" s="128"/>
      <c r="Y8" s="146"/>
      <c r="Z8" s="146"/>
      <c r="AA8" s="147"/>
      <c r="AB8" s="127"/>
      <c r="AC8" s="128"/>
      <c r="AD8" s="128"/>
      <c r="AE8" s="128"/>
      <c r="AF8" s="129"/>
      <c r="AG8" s="127"/>
      <c r="AH8" s="128"/>
      <c r="AI8" s="128"/>
      <c r="AJ8" s="128"/>
      <c r="AK8" s="128"/>
      <c r="AL8" s="128"/>
      <c r="AM8" s="129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2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127"/>
      <c r="V9" s="128"/>
      <c r="W9" s="128"/>
      <c r="X9" s="128"/>
      <c r="Y9" s="146"/>
      <c r="Z9" s="146"/>
      <c r="AA9" s="147"/>
      <c r="AB9" s="127"/>
      <c r="AC9" s="128"/>
      <c r="AD9" s="128"/>
      <c r="AE9" s="128"/>
      <c r="AF9" s="129"/>
      <c r="AG9" s="127"/>
      <c r="AH9" s="128"/>
      <c r="AI9" s="128"/>
      <c r="AJ9" s="128"/>
      <c r="AK9" s="128"/>
      <c r="AL9" s="128"/>
      <c r="AM9" s="129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2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127"/>
      <c r="V10" s="128"/>
      <c r="W10" s="128"/>
      <c r="X10" s="128"/>
      <c r="Y10" s="146"/>
      <c r="Z10" s="146"/>
      <c r="AA10" s="147"/>
      <c r="AB10" s="127"/>
      <c r="AC10" s="128"/>
      <c r="AD10" s="128"/>
      <c r="AE10" s="128"/>
      <c r="AF10" s="129"/>
      <c r="AG10" s="127"/>
      <c r="AH10" s="128"/>
      <c r="AI10" s="128"/>
      <c r="AJ10" s="128"/>
      <c r="AK10" s="128"/>
      <c r="AL10" s="128"/>
      <c r="AM10" s="129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2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127"/>
      <c r="V11" s="128"/>
      <c r="W11" s="128"/>
      <c r="X11" s="128"/>
      <c r="Y11" s="146"/>
      <c r="Z11" s="146"/>
      <c r="AA11" s="147"/>
      <c r="AB11" s="127"/>
      <c r="AC11" s="128"/>
      <c r="AD11" s="128"/>
      <c r="AE11" s="128"/>
      <c r="AF11" s="129"/>
      <c r="AG11" s="127"/>
      <c r="AH11" s="128"/>
      <c r="AI11" s="128"/>
      <c r="AJ11" s="128"/>
      <c r="AK11" s="128"/>
      <c r="AL11" s="128"/>
      <c r="AM11" s="129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2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4"/>
      <c r="U12" s="127"/>
      <c r="V12" s="128"/>
      <c r="W12" s="128"/>
      <c r="X12" s="128"/>
      <c r="Y12" s="146"/>
      <c r="Z12" s="146"/>
      <c r="AA12" s="147"/>
      <c r="AB12" s="127"/>
      <c r="AC12" s="128"/>
      <c r="AD12" s="128"/>
      <c r="AE12" s="128"/>
      <c r="AF12" s="129"/>
      <c r="AG12" s="127"/>
      <c r="AH12" s="128"/>
      <c r="AI12" s="128"/>
      <c r="AJ12" s="128"/>
      <c r="AK12" s="128"/>
      <c r="AL12" s="128"/>
      <c r="AM12" s="129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2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4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/>
      <c r="AH13" s="128"/>
      <c r="AI13" s="128"/>
      <c r="AJ13" s="128"/>
      <c r="AK13" s="128"/>
      <c r="AL13" s="128"/>
      <c r="AM13" s="129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2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4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/>
      <c r="AH14" s="128"/>
      <c r="AI14" s="128"/>
      <c r="AJ14" s="128"/>
      <c r="AK14" s="128"/>
      <c r="AL14" s="128"/>
      <c r="AM14" s="129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2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4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/>
      <c r="AH15" s="128"/>
      <c r="AI15" s="128"/>
      <c r="AJ15" s="128"/>
      <c r="AK15" s="128"/>
      <c r="AL15" s="128"/>
      <c r="AM15" s="129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2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4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/>
      <c r="AH16" s="128"/>
      <c r="AI16" s="128"/>
      <c r="AJ16" s="128"/>
      <c r="AK16" s="128"/>
      <c r="AL16" s="128"/>
      <c r="AM16" s="129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2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4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/>
      <c r="AH17" s="128"/>
      <c r="AI17" s="128"/>
      <c r="AJ17" s="128"/>
      <c r="AK17" s="128"/>
      <c r="AL17" s="128"/>
      <c r="AM17" s="129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4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/>
      <c r="AH18" s="128"/>
      <c r="AI18" s="128"/>
      <c r="AJ18" s="128"/>
      <c r="AK18" s="128"/>
      <c r="AL18" s="128"/>
      <c r="AM18" s="129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2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4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/>
      <c r="AH19" s="128"/>
      <c r="AI19" s="128"/>
      <c r="AJ19" s="128"/>
      <c r="AK19" s="128"/>
      <c r="AL19" s="128"/>
      <c r="AM19" s="129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2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4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/>
      <c r="AH20" s="128"/>
      <c r="AI20" s="128"/>
      <c r="AJ20" s="128"/>
      <c r="AK20" s="128"/>
      <c r="AL20" s="128"/>
      <c r="AM20" s="129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2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4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/>
      <c r="AH21" s="128"/>
      <c r="AI21" s="128"/>
      <c r="AJ21" s="128"/>
      <c r="AK21" s="128"/>
      <c r="AL21" s="128"/>
      <c r="AM21" s="129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2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4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/>
      <c r="AH22" s="128"/>
      <c r="AI22" s="128"/>
      <c r="AJ22" s="128"/>
      <c r="AK22" s="128"/>
      <c r="AL22" s="128"/>
      <c r="AM22" s="129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4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/>
      <c r="AH23" s="128"/>
      <c r="AI23" s="128"/>
      <c r="AJ23" s="128"/>
      <c r="AK23" s="128"/>
      <c r="AL23" s="128"/>
      <c r="AM23" s="129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4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/>
      <c r="AH24" s="128"/>
      <c r="AI24" s="128"/>
      <c r="AJ24" s="128"/>
      <c r="AK24" s="128"/>
      <c r="AL24" s="128"/>
      <c r="AM24" s="129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2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4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/>
      <c r="AH25" s="128"/>
      <c r="AI25" s="128"/>
      <c r="AJ25" s="128"/>
      <c r="AK25" s="128"/>
      <c r="AL25" s="128"/>
      <c r="AM25" s="129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2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4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/>
      <c r="AH26" s="128"/>
      <c r="AI26" s="128"/>
      <c r="AJ26" s="128"/>
      <c r="AK26" s="128"/>
      <c r="AL26" s="128"/>
      <c r="AM26" s="129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2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4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/>
      <c r="AH27" s="128"/>
      <c r="AI27" s="128"/>
      <c r="AJ27" s="128"/>
      <c r="AK27" s="128"/>
      <c r="AL27" s="128"/>
      <c r="AM27" s="129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2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4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/>
      <c r="AH28" s="128"/>
      <c r="AI28" s="128"/>
      <c r="AJ28" s="128"/>
      <c r="AK28" s="128"/>
      <c r="AL28" s="128"/>
      <c r="AM28" s="129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4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/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/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/>
      <c r="CT103" s="14"/>
    </row>
    <row r="104" spans="97:98" ht="13.5" customHeight="1" x14ac:dyDescent="0.15">
      <c r="CS104" s="58"/>
      <c r="CT104" s="18"/>
    </row>
    <row r="105" spans="97:98" ht="13.5" customHeight="1" x14ac:dyDescent="0.15">
      <c r="CS105" s="58"/>
      <c r="CT105" s="18"/>
    </row>
    <row r="106" spans="97:98" ht="13.5" customHeight="1" x14ac:dyDescent="0.15">
      <c r="CS106" s="58"/>
      <c r="CT106" s="21"/>
    </row>
    <row r="107" spans="97:98" ht="13.5" customHeight="1" x14ac:dyDescent="0.15">
      <c r="CS107" s="58"/>
      <c r="CT107" s="18"/>
    </row>
    <row r="108" spans="97:98" ht="13.5" customHeight="1" x14ac:dyDescent="0.15">
      <c r="CS108" s="58"/>
      <c r="CT108" s="18"/>
    </row>
    <row r="109" spans="97:98" ht="13.5" customHeight="1" x14ac:dyDescent="0.15">
      <c r="CS109" s="58"/>
      <c r="CT109" s="20"/>
    </row>
    <row r="110" spans="97:98" ht="13.5" customHeight="1" x14ac:dyDescent="0.15">
      <c r="CS110" s="58"/>
      <c r="CT110" s="20"/>
    </row>
    <row r="111" spans="97:98" ht="13.5" customHeight="1" x14ac:dyDescent="0.15">
      <c r="CS111" s="58"/>
      <c r="CT111" s="18"/>
    </row>
    <row r="112" spans="97:98" ht="13.5" customHeight="1" x14ac:dyDescent="0.15">
      <c r="CS112" s="58"/>
      <c r="CT112" s="18"/>
    </row>
    <row r="113" spans="87:125" ht="13.5" customHeight="1" x14ac:dyDescent="0.15">
      <c r="CS113" s="58"/>
      <c r="CT113" s="18"/>
    </row>
    <row r="114" spans="87:125" ht="13.5" customHeight="1" x14ac:dyDescent="0.15">
      <c r="CS114" s="58"/>
      <c r="CT114" s="21"/>
    </row>
    <row r="115" spans="87:125" ht="13.5" customHeight="1" x14ac:dyDescent="0.15">
      <c r="CS115" s="58"/>
      <c r="CT115" s="18"/>
    </row>
    <row r="116" spans="87:125" ht="13.5" customHeight="1" x14ac:dyDescent="0.15">
      <c r="CS116" s="58"/>
      <c r="CT116" s="18"/>
    </row>
    <row r="119" spans="87:125" ht="13.5" customHeight="1" x14ac:dyDescent="0.15">
      <c r="CI119" s="142"/>
      <c r="CJ119" s="142"/>
      <c r="CK119" s="142"/>
      <c r="CL119" s="142"/>
      <c r="CM119" s="223"/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/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/>
      <c r="CJ120" s="142"/>
      <c r="CK120" s="142"/>
      <c r="CL120" s="142"/>
      <c r="CM120" s="223"/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/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400-000000000000}">
      <formula1>$CS$104:$CS$116</formula1>
    </dataValidation>
    <dataValidation imeMode="hiragana" allowBlank="1" showInputMessage="1" showErrorMessage="1" prompt="備考があれば入力" sqref="AN7:AT29" xr:uid="{00000000-0002-0000-0400-000001000000}"/>
    <dataValidation imeMode="off" allowBlank="1" showInputMessage="1" showErrorMessage="1" prompt="単価を入力" sqref="AB7:AF29" xr:uid="{00000000-0002-0000-0400-000002000000}"/>
    <dataValidation imeMode="off" allowBlank="1" showInputMessage="1" showErrorMessage="1" prompt="数量を入力" sqref="U7:X29" xr:uid="{00000000-0002-0000-0400-000003000000}"/>
    <dataValidation imeMode="hiragana" allowBlank="1" showInputMessage="1" showErrorMessage="1" prompt="品名を入力" sqref="D15:T29 C7:C29" xr:uid="{00000000-0002-0000-04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見積書A4</vt:lpstr>
      <vt:lpstr>見積書A4 (2)</vt:lpstr>
      <vt:lpstr>工具箱内一覧</vt:lpstr>
      <vt:lpstr>CLC付属品</vt:lpstr>
      <vt:lpstr>購入おすすめ品</vt:lpstr>
      <vt:lpstr>USBフラッシュメモリ内一覧</vt:lpstr>
      <vt:lpstr>CLC付属品!Print_Area</vt:lpstr>
      <vt:lpstr>USBフラッシュメモリ内一覧!Print_Area</vt:lpstr>
      <vt:lpstr>見積書A4!Print_Area</vt:lpstr>
      <vt:lpstr>'見積書A4 (2)'!Print_Area</vt:lpstr>
      <vt:lpstr>工具箱内一覧!Print_Area</vt:lpstr>
      <vt:lpstr>購入おすすめ品!Print_Area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2025-07-24T06:40:29Z</cp:lastPrinted>
  <dcterms:created xsi:type="dcterms:W3CDTF">2001-10-18T00:35:45Z</dcterms:created>
  <dcterms:modified xsi:type="dcterms:W3CDTF">2025-07-24T06:40:39Z</dcterms:modified>
</cp:coreProperties>
</file>