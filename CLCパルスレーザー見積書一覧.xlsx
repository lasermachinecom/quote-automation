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drawings/drawing2.xml" ContentType="application/vnd.openxmlformats-officedocument.drawing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drawings/drawing3.xml" ContentType="application/vnd.openxmlformats-officedocument.drawing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drawings/drawing4.xml" ContentType="application/vnd.openxmlformats-officedocument.drawing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drawings/drawing5.xml" ContentType="application/vnd.openxmlformats-officedocument.drawing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drawings/drawing6.xml" ContentType="application/vnd.openxmlformats-officedocument.drawing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drawings/drawing7.xml" ContentType="application/vnd.openxmlformats-officedocument.drawing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\\DS218J\homes\EIJI2023\1サンマックス発行書類\1代理店\1大塚刷毛\見積書\"/>
    </mc:Choice>
  </mc:AlternateContent>
  <xr:revisionPtr revIDLastSave="0" documentId="13_ncr:1_{44CC69EE-13AA-466D-BE1C-9A2BF3A586DB}" xr6:coauthVersionLast="47" xr6:coauthVersionMax="47" xr10:uidLastSave="{00000000-0000-0000-0000-000000000000}"/>
  <bookViews>
    <workbookView xWindow="30375" yWindow="30" windowWidth="22545" windowHeight="20250" tabRatio="657" xr2:uid="{00000000-000D-0000-FFFF-FFFF00000000}"/>
  </bookViews>
  <sheets>
    <sheet name="パルス200w" sheetId="7" r:id="rId1"/>
    <sheet name="CLC1.5KW" sheetId="1" r:id="rId2"/>
    <sheet name="CLC2kw_3kw" sheetId="6" r:id="rId3"/>
    <sheet name="工具箱内一覧" sheetId="4" r:id="rId4"/>
    <sheet name="CLC付属品" sheetId="5" r:id="rId5"/>
    <sheet name="購入おすすめ品" sheetId="2" r:id="rId6"/>
    <sheet name="USBフラッシュメモリ内一覧" sheetId="3" r:id="rId7"/>
  </sheets>
  <definedNames>
    <definedName name="_xlnm.Print_Area" localSheetId="1">'CLC1.5KW'!$B$2:$AT$42</definedName>
    <definedName name="_xlnm.Print_Area" localSheetId="2">CLC2kw_3kw!$B$2:$AT$42</definedName>
    <definedName name="_xlnm.Print_Area" localSheetId="4">CLC付属品!$B$3:$AU$30</definedName>
    <definedName name="_xlnm.Print_Area" localSheetId="6">USBフラッシュメモリ内一覧!$B$3:$AU$30</definedName>
    <definedName name="_xlnm.Print_Area" localSheetId="0">パルス200w!$B$2:$AT$42</definedName>
    <definedName name="_xlnm.Print_Area" localSheetId="3">工具箱内一覧!$B$3:$AU$30</definedName>
    <definedName name="_xlnm.Print_Area" localSheetId="5">購入おすすめ品!$B$3:$AU$30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I181" i="7" l="1"/>
  <c r="FH181" i="7"/>
  <c r="FG181" i="7"/>
  <c r="FF181" i="7"/>
  <c r="FE181" i="7"/>
  <c r="FD181" i="7"/>
  <c r="FI180" i="7"/>
  <c r="FH180" i="7"/>
  <c r="FG180" i="7"/>
  <c r="FF180" i="7"/>
  <c r="FE180" i="7"/>
  <c r="FD180" i="7"/>
  <c r="FI179" i="7"/>
  <c r="FH179" i="7"/>
  <c r="FG179" i="7"/>
  <c r="FF179" i="7"/>
  <c r="FE179" i="7"/>
  <c r="FD179" i="7"/>
  <c r="FI178" i="7"/>
  <c r="FH178" i="7"/>
  <c r="FG178" i="7"/>
  <c r="FF178" i="7"/>
  <c r="FE178" i="7"/>
  <c r="FD178" i="7"/>
  <c r="FI177" i="7"/>
  <c r="FH177" i="7"/>
  <c r="FG177" i="7"/>
  <c r="FF177" i="7"/>
  <c r="FE177" i="7"/>
  <c r="FD177" i="7"/>
  <c r="FI176" i="7"/>
  <c r="FH176" i="7"/>
  <c r="FG176" i="7"/>
  <c r="FF176" i="7"/>
  <c r="FE176" i="7"/>
  <c r="FD176" i="7"/>
  <c r="FI175" i="7"/>
  <c r="FH175" i="7"/>
  <c r="FG175" i="7"/>
  <c r="FF175" i="7"/>
  <c r="FE175" i="7"/>
  <c r="FD175" i="7"/>
  <c r="FI174" i="7"/>
  <c r="FH174" i="7"/>
  <c r="FG174" i="7"/>
  <c r="FF174" i="7"/>
  <c r="FE174" i="7"/>
  <c r="FD174" i="7"/>
  <c r="FI173" i="7"/>
  <c r="FH173" i="7"/>
  <c r="FG173" i="7"/>
  <c r="FF173" i="7"/>
  <c r="FE173" i="7"/>
  <c r="FD173" i="7"/>
  <c r="FI172" i="7"/>
  <c r="FH172" i="7"/>
  <c r="FG172" i="7"/>
  <c r="FF172" i="7"/>
  <c r="FE172" i="7"/>
  <c r="FD172" i="7"/>
  <c r="FI171" i="7"/>
  <c r="FH171" i="7"/>
  <c r="FG171" i="7"/>
  <c r="FF171" i="7"/>
  <c r="FE171" i="7"/>
  <c r="FD171" i="7"/>
  <c r="FI170" i="7"/>
  <c r="FH170" i="7"/>
  <c r="FG170" i="7"/>
  <c r="FF170" i="7"/>
  <c r="FE170" i="7"/>
  <c r="FD170" i="7"/>
  <c r="FI169" i="7"/>
  <c r="FH169" i="7"/>
  <c r="FG169" i="7"/>
  <c r="FF169" i="7"/>
  <c r="FE169" i="7"/>
  <c r="FD169" i="7"/>
  <c r="FI168" i="7"/>
  <c r="FH168" i="7"/>
  <c r="FG168" i="7"/>
  <c r="FF168" i="7"/>
  <c r="FE168" i="7"/>
  <c r="FD168" i="7"/>
  <c r="FI167" i="7"/>
  <c r="FH167" i="7"/>
  <c r="FG167" i="7"/>
  <c r="FF167" i="7"/>
  <c r="FE167" i="7"/>
  <c r="FD167" i="7"/>
  <c r="FI166" i="7"/>
  <c r="FH166" i="7"/>
  <c r="FG166" i="7"/>
  <c r="FF166" i="7"/>
  <c r="FE166" i="7"/>
  <c r="FD166" i="7"/>
  <c r="FI165" i="7"/>
  <c r="FH165" i="7"/>
  <c r="FG165" i="7"/>
  <c r="FF165" i="7"/>
  <c r="FE165" i="7"/>
  <c r="FD165" i="7"/>
  <c r="FI164" i="7"/>
  <c r="FH164" i="7"/>
  <c r="FG164" i="7"/>
  <c r="FF164" i="7"/>
  <c r="FE164" i="7"/>
  <c r="FD164" i="7"/>
  <c r="FI163" i="7"/>
  <c r="FH163" i="7"/>
  <c r="FG163" i="7"/>
  <c r="FF163" i="7"/>
  <c r="FE163" i="7"/>
  <c r="FD163" i="7"/>
  <c r="FI162" i="7"/>
  <c r="FH162" i="7"/>
  <c r="FG162" i="7"/>
  <c r="FF162" i="7"/>
  <c r="FE162" i="7"/>
  <c r="FD162" i="7"/>
  <c r="FI161" i="7"/>
  <c r="FH161" i="7"/>
  <c r="FG161" i="7"/>
  <c r="FF161" i="7"/>
  <c r="FE161" i="7"/>
  <c r="FD161" i="7"/>
  <c r="FI160" i="7"/>
  <c r="FH160" i="7"/>
  <c r="FG160" i="7"/>
  <c r="FF160" i="7"/>
  <c r="FE160" i="7"/>
  <c r="FD160" i="7"/>
  <c r="FI159" i="7"/>
  <c r="FH159" i="7"/>
  <c r="FG159" i="7"/>
  <c r="FF159" i="7"/>
  <c r="FE159" i="7"/>
  <c r="FD159" i="7"/>
  <c r="FI158" i="7"/>
  <c r="FH158" i="7"/>
  <c r="FG158" i="7"/>
  <c r="FF158" i="7"/>
  <c r="FE158" i="7"/>
  <c r="FD158" i="7"/>
  <c r="FI157" i="7"/>
  <c r="FH157" i="7"/>
  <c r="FG157" i="7"/>
  <c r="FF157" i="7"/>
  <c r="FE157" i="7"/>
  <c r="FD157" i="7"/>
  <c r="FI156" i="7"/>
  <c r="FH156" i="7"/>
  <c r="FG156" i="7"/>
  <c r="FF156" i="7"/>
  <c r="FE156" i="7"/>
  <c r="FD156" i="7"/>
  <c r="FI155" i="7"/>
  <c r="FH155" i="7"/>
  <c r="FG155" i="7"/>
  <c r="FF155" i="7"/>
  <c r="FE155" i="7"/>
  <c r="FD155" i="7"/>
  <c r="FI154" i="7"/>
  <c r="FH154" i="7"/>
  <c r="FG154" i="7"/>
  <c r="FF154" i="7"/>
  <c r="FE154" i="7"/>
  <c r="FD154" i="7"/>
  <c r="FI153" i="7"/>
  <c r="FH153" i="7"/>
  <c r="FG153" i="7"/>
  <c r="FF153" i="7"/>
  <c r="FE153" i="7"/>
  <c r="FD153" i="7"/>
  <c r="FI152" i="7"/>
  <c r="FH152" i="7"/>
  <c r="FG152" i="7"/>
  <c r="FF152" i="7"/>
  <c r="FE152" i="7"/>
  <c r="FD152" i="7"/>
  <c r="FI151" i="7"/>
  <c r="FH151" i="7"/>
  <c r="FG151" i="7"/>
  <c r="FF151" i="7"/>
  <c r="FE151" i="7"/>
  <c r="FD151" i="7"/>
  <c r="FI150" i="7"/>
  <c r="FH150" i="7"/>
  <c r="FG150" i="7"/>
  <c r="FF150" i="7"/>
  <c r="FE150" i="7"/>
  <c r="FD150" i="7"/>
  <c r="FI149" i="7"/>
  <c r="FH149" i="7"/>
  <c r="FG149" i="7"/>
  <c r="FF149" i="7"/>
  <c r="FE149" i="7"/>
  <c r="FD149" i="7"/>
  <c r="FI148" i="7"/>
  <c r="FH148" i="7"/>
  <c r="FG148" i="7"/>
  <c r="FF148" i="7"/>
  <c r="FE148" i="7"/>
  <c r="FD148" i="7"/>
  <c r="FI147" i="7"/>
  <c r="FH147" i="7"/>
  <c r="FG147" i="7"/>
  <c r="FF147" i="7"/>
  <c r="FE147" i="7"/>
  <c r="FD147" i="7"/>
  <c r="FI146" i="7"/>
  <c r="FH146" i="7"/>
  <c r="FG146" i="7"/>
  <c r="FF146" i="7"/>
  <c r="FE146" i="7"/>
  <c r="FD146" i="7"/>
  <c r="FI145" i="7"/>
  <c r="FH145" i="7"/>
  <c r="FG145" i="7"/>
  <c r="FF145" i="7"/>
  <c r="FE145" i="7"/>
  <c r="FD145" i="7"/>
  <c r="FI144" i="7"/>
  <c r="FH144" i="7"/>
  <c r="FG144" i="7"/>
  <c r="FF144" i="7"/>
  <c r="FE144" i="7"/>
  <c r="FD144" i="7"/>
  <c r="FI143" i="7"/>
  <c r="FH143" i="7"/>
  <c r="FG143" i="7"/>
  <c r="FF143" i="7"/>
  <c r="FE143" i="7"/>
  <c r="FD143" i="7"/>
  <c r="FI142" i="7"/>
  <c r="FH142" i="7"/>
  <c r="FG142" i="7"/>
  <c r="FF142" i="7"/>
  <c r="FE142" i="7"/>
  <c r="FD142" i="7"/>
  <c r="FI141" i="7"/>
  <c r="FH141" i="7"/>
  <c r="FG141" i="7"/>
  <c r="FF141" i="7"/>
  <c r="FE141" i="7"/>
  <c r="FD141" i="7"/>
  <c r="FI140" i="7"/>
  <c r="FH140" i="7"/>
  <c r="FG140" i="7"/>
  <c r="FF140" i="7"/>
  <c r="FE140" i="7"/>
  <c r="FD140" i="7"/>
  <c r="FI139" i="7"/>
  <c r="FH139" i="7"/>
  <c r="FG139" i="7"/>
  <c r="FF139" i="7"/>
  <c r="FE139" i="7"/>
  <c r="FD139" i="7"/>
  <c r="FI138" i="7"/>
  <c r="FH138" i="7"/>
  <c r="FG138" i="7"/>
  <c r="FF138" i="7"/>
  <c r="FE138" i="7"/>
  <c r="FD138" i="7"/>
  <c r="FI137" i="7"/>
  <c r="FH137" i="7"/>
  <c r="FG137" i="7"/>
  <c r="FF137" i="7"/>
  <c r="FE137" i="7"/>
  <c r="FD137" i="7"/>
  <c r="FI136" i="7"/>
  <c r="FH136" i="7"/>
  <c r="FG136" i="7"/>
  <c r="FF136" i="7"/>
  <c r="FE136" i="7"/>
  <c r="FD136" i="7"/>
  <c r="FI135" i="7"/>
  <c r="FH135" i="7"/>
  <c r="FG135" i="7"/>
  <c r="FF135" i="7"/>
  <c r="FE135" i="7"/>
  <c r="FD135" i="7"/>
  <c r="FI134" i="7"/>
  <c r="FH134" i="7"/>
  <c r="FG134" i="7"/>
  <c r="FF134" i="7"/>
  <c r="FE134" i="7"/>
  <c r="FD134" i="7"/>
  <c r="FI133" i="7"/>
  <c r="FH133" i="7"/>
  <c r="FG133" i="7"/>
  <c r="FF133" i="7"/>
  <c r="FE133" i="7"/>
  <c r="FD133" i="7"/>
  <c r="FI132" i="7"/>
  <c r="FH132" i="7"/>
  <c r="FG132" i="7"/>
  <c r="FF132" i="7"/>
  <c r="FE132" i="7"/>
  <c r="FD132" i="7"/>
  <c r="FI131" i="7"/>
  <c r="FH131" i="7"/>
  <c r="FG131" i="7"/>
  <c r="FF131" i="7"/>
  <c r="FE131" i="7"/>
  <c r="FD131" i="7"/>
  <c r="FI130" i="7"/>
  <c r="FH130" i="7"/>
  <c r="FG130" i="7"/>
  <c r="FF130" i="7"/>
  <c r="FE130" i="7"/>
  <c r="FD130" i="7"/>
  <c r="FI129" i="7"/>
  <c r="FH129" i="7"/>
  <c r="FG129" i="7"/>
  <c r="FF129" i="7"/>
  <c r="FE129" i="7"/>
  <c r="FD129" i="7"/>
  <c r="FI128" i="7"/>
  <c r="FH128" i="7"/>
  <c r="FG128" i="7"/>
  <c r="FF128" i="7"/>
  <c r="FE128" i="7"/>
  <c r="FD128" i="7"/>
  <c r="FI127" i="7"/>
  <c r="FH127" i="7"/>
  <c r="FG127" i="7"/>
  <c r="FF127" i="7"/>
  <c r="FE127" i="7"/>
  <c r="FD127" i="7"/>
  <c r="FI126" i="7"/>
  <c r="FH126" i="7"/>
  <c r="FG126" i="7"/>
  <c r="FF126" i="7"/>
  <c r="FE126" i="7"/>
  <c r="FD126" i="7"/>
  <c r="FI125" i="7"/>
  <c r="FH125" i="7"/>
  <c r="FG125" i="7"/>
  <c r="FF125" i="7"/>
  <c r="FE125" i="7"/>
  <c r="FD125" i="7"/>
  <c r="FI124" i="7"/>
  <c r="FH124" i="7"/>
  <c r="FG124" i="7"/>
  <c r="FF124" i="7"/>
  <c r="FE124" i="7"/>
  <c r="FD124" i="7"/>
  <c r="FI123" i="7"/>
  <c r="FH123" i="7"/>
  <c r="FG123" i="7"/>
  <c r="FF123" i="7"/>
  <c r="FE123" i="7"/>
  <c r="FD123" i="7"/>
  <c r="FI122" i="7"/>
  <c r="FH122" i="7"/>
  <c r="FG122" i="7"/>
  <c r="FF122" i="7"/>
  <c r="FE122" i="7"/>
  <c r="FD122" i="7"/>
  <c r="FI121" i="7"/>
  <c r="FH121" i="7"/>
  <c r="FG121" i="7"/>
  <c r="FF121" i="7"/>
  <c r="FE121" i="7"/>
  <c r="FD121" i="7"/>
  <c r="FI120" i="7"/>
  <c r="FH120" i="7"/>
  <c r="FG120" i="7"/>
  <c r="FF120" i="7"/>
  <c r="FE120" i="7"/>
  <c r="FD120" i="7"/>
  <c r="FI119" i="7"/>
  <c r="FH119" i="7"/>
  <c r="FG119" i="7"/>
  <c r="FF119" i="7"/>
  <c r="FE119" i="7"/>
  <c r="FD119" i="7"/>
  <c r="FI118" i="7"/>
  <c r="FH118" i="7"/>
  <c r="FG118" i="7"/>
  <c r="FF118" i="7"/>
  <c r="FE118" i="7"/>
  <c r="FD118" i="7"/>
  <c r="FI117" i="7"/>
  <c r="FH117" i="7"/>
  <c r="FG117" i="7"/>
  <c r="FF117" i="7"/>
  <c r="FE117" i="7"/>
  <c r="FD117" i="7"/>
  <c r="FI116" i="7"/>
  <c r="FH116" i="7"/>
  <c r="FG116" i="7"/>
  <c r="FF116" i="7"/>
  <c r="FE116" i="7"/>
  <c r="FD116" i="7"/>
  <c r="FI115" i="7"/>
  <c r="FH115" i="7"/>
  <c r="FG115" i="7"/>
  <c r="FF115" i="7"/>
  <c r="FE115" i="7"/>
  <c r="FD115" i="7"/>
  <c r="FI114" i="7"/>
  <c r="FH114" i="7"/>
  <c r="FG114" i="7"/>
  <c r="FF114" i="7"/>
  <c r="FE114" i="7"/>
  <c r="FD114" i="7"/>
  <c r="FI113" i="7"/>
  <c r="FH113" i="7"/>
  <c r="FG113" i="7"/>
  <c r="FF113" i="7"/>
  <c r="FE113" i="7"/>
  <c r="FD113" i="7"/>
  <c r="FI112" i="7"/>
  <c r="FH112" i="7"/>
  <c r="FG112" i="7"/>
  <c r="FF112" i="7"/>
  <c r="FE112" i="7"/>
  <c r="FD112" i="7"/>
  <c r="FI111" i="7"/>
  <c r="FG111" i="7"/>
  <c r="FF111" i="7"/>
  <c r="FE111" i="7"/>
  <c r="FD111" i="7"/>
  <c r="FI110" i="7"/>
  <c r="FH110" i="7"/>
  <c r="FG110" i="7"/>
  <c r="FF110" i="7"/>
  <c r="FE110" i="7"/>
  <c r="FD110" i="7"/>
  <c r="FI109" i="7"/>
  <c r="FH109" i="7"/>
  <c r="FG109" i="7"/>
  <c r="FF109" i="7"/>
  <c r="FE109" i="7"/>
  <c r="FD109" i="7"/>
  <c r="FI108" i="7"/>
  <c r="FG108" i="7"/>
  <c r="FF108" i="7"/>
  <c r="FE108" i="7"/>
  <c r="FD108" i="7"/>
  <c r="FI107" i="7"/>
  <c r="FG107" i="7"/>
  <c r="FF107" i="7"/>
  <c r="FE107" i="7"/>
  <c r="FD107" i="7"/>
  <c r="CK107" i="7"/>
  <c r="FI106" i="7"/>
  <c r="FG106" i="7"/>
  <c r="FF106" i="7"/>
  <c r="FE106" i="7"/>
  <c r="FD106" i="7"/>
  <c r="CK106" i="7"/>
  <c r="FI105" i="7"/>
  <c r="FG105" i="7"/>
  <c r="FF105" i="7"/>
  <c r="FE105" i="7"/>
  <c r="FD105" i="7"/>
  <c r="CK105" i="7"/>
  <c r="CE105" i="7"/>
  <c r="FI104" i="7"/>
  <c r="FG104" i="7"/>
  <c r="FF104" i="7"/>
  <c r="FE104" i="7"/>
  <c r="FD104" i="7"/>
  <c r="FI103" i="7"/>
  <c r="FG103" i="7"/>
  <c r="FF103" i="7"/>
  <c r="FE103" i="7"/>
  <c r="FD103" i="7"/>
  <c r="FI102" i="7"/>
  <c r="FG102" i="7"/>
  <c r="FF102" i="7"/>
  <c r="FE102" i="7"/>
  <c r="FD102" i="7"/>
  <c r="FI101" i="7"/>
  <c r="FH101" i="7"/>
  <c r="FG101" i="7"/>
  <c r="FF101" i="7"/>
  <c r="FE101" i="7"/>
  <c r="FD101" i="7"/>
  <c r="AF37" i="7"/>
  <c r="AF36" i="7"/>
  <c r="FH111" i="7" s="1"/>
  <c r="AF35" i="7"/>
  <c r="AF34" i="7"/>
  <c r="AF33" i="7"/>
  <c r="FH108" i="7" s="1"/>
  <c r="AF32" i="7"/>
  <c r="FH107" i="7" s="1"/>
  <c r="AF31" i="7"/>
  <c r="FH106" i="7" s="1"/>
  <c r="AF30" i="7"/>
  <c r="FH105" i="7" s="1"/>
  <c r="AF29" i="7"/>
  <c r="FH104" i="7" s="1"/>
  <c r="AF28" i="7"/>
  <c r="FH103" i="7" s="1"/>
  <c r="AF27" i="7"/>
  <c r="FH102" i="7" s="1"/>
  <c r="AF26" i="7"/>
  <c r="FI181" i="6"/>
  <c r="FH181" i="6"/>
  <c r="FG181" i="6"/>
  <c r="FF181" i="6"/>
  <c r="FE181" i="6"/>
  <c r="FD181" i="6"/>
  <c r="FI180" i="6"/>
  <c r="FH180" i="6"/>
  <c r="FG180" i="6"/>
  <c r="FF180" i="6"/>
  <c r="FE180" i="6"/>
  <c r="FD180" i="6"/>
  <c r="FI179" i="6"/>
  <c r="FH179" i="6"/>
  <c r="FG179" i="6"/>
  <c r="FF179" i="6"/>
  <c r="FE179" i="6"/>
  <c r="FD179" i="6"/>
  <c r="FI178" i="6"/>
  <c r="FH178" i="6"/>
  <c r="FG178" i="6"/>
  <c r="FF178" i="6"/>
  <c r="FE178" i="6"/>
  <c r="FD178" i="6"/>
  <c r="FI177" i="6"/>
  <c r="FH177" i="6"/>
  <c r="FG177" i="6"/>
  <c r="FF177" i="6"/>
  <c r="FE177" i="6"/>
  <c r="FD177" i="6"/>
  <c r="FI176" i="6"/>
  <c r="FH176" i="6"/>
  <c r="FG176" i="6"/>
  <c r="FF176" i="6"/>
  <c r="FE176" i="6"/>
  <c r="FD176" i="6"/>
  <c r="FI175" i="6"/>
  <c r="FH175" i="6"/>
  <c r="FG175" i="6"/>
  <c r="FF175" i="6"/>
  <c r="FE175" i="6"/>
  <c r="FD175" i="6"/>
  <c r="FI174" i="6"/>
  <c r="FH174" i="6"/>
  <c r="FG174" i="6"/>
  <c r="FF174" i="6"/>
  <c r="FE174" i="6"/>
  <c r="FD174" i="6"/>
  <c r="FI173" i="6"/>
  <c r="FH173" i="6"/>
  <c r="FG173" i="6"/>
  <c r="FF173" i="6"/>
  <c r="FE173" i="6"/>
  <c r="FD173" i="6"/>
  <c r="FI172" i="6"/>
  <c r="FH172" i="6"/>
  <c r="FG172" i="6"/>
  <c r="FF172" i="6"/>
  <c r="FE172" i="6"/>
  <c r="FD172" i="6"/>
  <c r="FI171" i="6"/>
  <c r="FH171" i="6"/>
  <c r="FG171" i="6"/>
  <c r="FF171" i="6"/>
  <c r="FE171" i="6"/>
  <c r="FD171" i="6"/>
  <c r="FI170" i="6"/>
  <c r="FH170" i="6"/>
  <c r="FG170" i="6"/>
  <c r="FF170" i="6"/>
  <c r="FE170" i="6"/>
  <c r="FD170" i="6"/>
  <c r="FI169" i="6"/>
  <c r="FH169" i="6"/>
  <c r="FG169" i="6"/>
  <c r="FF169" i="6"/>
  <c r="FE169" i="6"/>
  <c r="FD169" i="6"/>
  <c r="FI168" i="6"/>
  <c r="FH168" i="6"/>
  <c r="FG168" i="6"/>
  <c r="FF168" i="6"/>
  <c r="FE168" i="6"/>
  <c r="FD168" i="6"/>
  <c r="FI167" i="6"/>
  <c r="FH167" i="6"/>
  <c r="FG167" i="6"/>
  <c r="FF167" i="6"/>
  <c r="FE167" i="6"/>
  <c r="FD167" i="6"/>
  <c r="FI166" i="6"/>
  <c r="FH166" i="6"/>
  <c r="FG166" i="6"/>
  <c r="FF166" i="6"/>
  <c r="FE166" i="6"/>
  <c r="FD166" i="6"/>
  <c r="FI165" i="6"/>
  <c r="FH165" i="6"/>
  <c r="FG165" i="6"/>
  <c r="FF165" i="6"/>
  <c r="FE165" i="6"/>
  <c r="FD165" i="6"/>
  <c r="FI164" i="6"/>
  <c r="FH164" i="6"/>
  <c r="FG164" i="6"/>
  <c r="FF164" i="6"/>
  <c r="FE164" i="6"/>
  <c r="FD164" i="6"/>
  <c r="FI163" i="6"/>
  <c r="FH163" i="6"/>
  <c r="FG163" i="6"/>
  <c r="FF163" i="6"/>
  <c r="FE163" i="6"/>
  <c r="FD163" i="6"/>
  <c r="FI162" i="6"/>
  <c r="FH162" i="6"/>
  <c r="FG162" i="6"/>
  <c r="FF162" i="6"/>
  <c r="FE162" i="6"/>
  <c r="FD162" i="6"/>
  <c r="FI161" i="6"/>
  <c r="FH161" i="6"/>
  <c r="FG161" i="6"/>
  <c r="FF161" i="6"/>
  <c r="FE161" i="6"/>
  <c r="FD161" i="6"/>
  <c r="FI160" i="6"/>
  <c r="FH160" i="6"/>
  <c r="FG160" i="6"/>
  <c r="FF160" i="6"/>
  <c r="FE160" i="6"/>
  <c r="FD160" i="6"/>
  <c r="FI159" i="6"/>
  <c r="FH159" i="6"/>
  <c r="FG159" i="6"/>
  <c r="FF159" i="6"/>
  <c r="FE159" i="6"/>
  <c r="FD159" i="6"/>
  <c r="FI158" i="6"/>
  <c r="FH158" i="6"/>
  <c r="FG158" i="6"/>
  <c r="FF158" i="6"/>
  <c r="FE158" i="6"/>
  <c r="FD158" i="6"/>
  <c r="FI157" i="6"/>
  <c r="FH157" i="6"/>
  <c r="FG157" i="6"/>
  <c r="FF157" i="6"/>
  <c r="FE157" i="6"/>
  <c r="FD157" i="6"/>
  <c r="FI156" i="6"/>
  <c r="FH156" i="6"/>
  <c r="FG156" i="6"/>
  <c r="FF156" i="6"/>
  <c r="FE156" i="6"/>
  <c r="FD156" i="6"/>
  <c r="FI155" i="6"/>
  <c r="FH155" i="6"/>
  <c r="FG155" i="6"/>
  <c r="FF155" i="6"/>
  <c r="FE155" i="6"/>
  <c r="FD155" i="6"/>
  <c r="FI154" i="6"/>
  <c r="FH154" i="6"/>
  <c r="FG154" i="6"/>
  <c r="FF154" i="6"/>
  <c r="FE154" i="6"/>
  <c r="FD154" i="6"/>
  <c r="FI153" i="6"/>
  <c r="FH153" i="6"/>
  <c r="FG153" i="6"/>
  <c r="FF153" i="6"/>
  <c r="FE153" i="6"/>
  <c r="FD153" i="6"/>
  <c r="FI152" i="6"/>
  <c r="FH152" i="6"/>
  <c r="FG152" i="6"/>
  <c r="FF152" i="6"/>
  <c r="FE152" i="6"/>
  <c r="FD152" i="6"/>
  <c r="FI151" i="6"/>
  <c r="FH151" i="6"/>
  <c r="FG151" i="6"/>
  <c r="FF151" i="6"/>
  <c r="FE151" i="6"/>
  <c r="FD151" i="6"/>
  <c r="FI150" i="6"/>
  <c r="FH150" i="6"/>
  <c r="FG150" i="6"/>
  <c r="FF150" i="6"/>
  <c r="FE150" i="6"/>
  <c r="FD150" i="6"/>
  <c r="FI149" i="6"/>
  <c r="FH149" i="6"/>
  <c r="FG149" i="6"/>
  <c r="FF149" i="6"/>
  <c r="FE149" i="6"/>
  <c r="FD149" i="6"/>
  <c r="FI148" i="6"/>
  <c r="FH148" i="6"/>
  <c r="FG148" i="6"/>
  <c r="FF148" i="6"/>
  <c r="FE148" i="6"/>
  <c r="FD148" i="6"/>
  <c r="FI147" i="6"/>
  <c r="FH147" i="6"/>
  <c r="FG147" i="6"/>
  <c r="FF147" i="6"/>
  <c r="FE147" i="6"/>
  <c r="FD147" i="6"/>
  <c r="FI146" i="6"/>
  <c r="FH146" i="6"/>
  <c r="FG146" i="6"/>
  <c r="FF146" i="6"/>
  <c r="FE146" i="6"/>
  <c r="FD146" i="6"/>
  <c r="FI145" i="6"/>
  <c r="FH145" i="6"/>
  <c r="FG145" i="6"/>
  <c r="FF145" i="6"/>
  <c r="FE145" i="6"/>
  <c r="FD145" i="6"/>
  <c r="FI144" i="6"/>
  <c r="FH144" i="6"/>
  <c r="FG144" i="6"/>
  <c r="FF144" i="6"/>
  <c r="FE144" i="6"/>
  <c r="FD144" i="6"/>
  <c r="FI143" i="6"/>
  <c r="FH143" i="6"/>
  <c r="FG143" i="6"/>
  <c r="FF143" i="6"/>
  <c r="FE143" i="6"/>
  <c r="FD143" i="6"/>
  <c r="FI142" i="6"/>
  <c r="FH142" i="6"/>
  <c r="FG142" i="6"/>
  <c r="FF142" i="6"/>
  <c r="FE142" i="6"/>
  <c r="FD142" i="6"/>
  <c r="FI141" i="6"/>
  <c r="FH141" i="6"/>
  <c r="FG141" i="6"/>
  <c r="FF141" i="6"/>
  <c r="FE141" i="6"/>
  <c r="FD141" i="6"/>
  <c r="FI140" i="6"/>
  <c r="FH140" i="6"/>
  <c r="FG140" i="6"/>
  <c r="FF140" i="6"/>
  <c r="FE140" i="6"/>
  <c r="FD140" i="6"/>
  <c r="FI139" i="6"/>
  <c r="FH139" i="6"/>
  <c r="FG139" i="6"/>
  <c r="FF139" i="6"/>
  <c r="FE139" i="6"/>
  <c r="FD139" i="6"/>
  <c r="FI138" i="6"/>
  <c r="FH138" i="6"/>
  <c r="FG138" i="6"/>
  <c r="FF138" i="6"/>
  <c r="FE138" i="6"/>
  <c r="FD138" i="6"/>
  <c r="FI137" i="6"/>
  <c r="FH137" i="6"/>
  <c r="FG137" i="6"/>
  <c r="FF137" i="6"/>
  <c r="FE137" i="6"/>
  <c r="FD137" i="6"/>
  <c r="FI136" i="6"/>
  <c r="FH136" i="6"/>
  <c r="FG136" i="6"/>
  <c r="FF136" i="6"/>
  <c r="FE136" i="6"/>
  <c r="FD136" i="6"/>
  <c r="FI135" i="6"/>
  <c r="FH135" i="6"/>
  <c r="FG135" i="6"/>
  <c r="FF135" i="6"/>
  <c r="FE135" i="6"/>
  <c r="FD135" i="6"/>
  <c r="FI134" i="6"/>
  <c r="FH134" i="6"/>
  <c r="FG134" i="6"/>
  <c r="FF134" i="6"/>
  <c r="FE134" i="6"/>
  <c r="FD134" i="6"/>
  <c r="FI133" i="6"/>
  <c r="FH133" i="6"/>
  <c r="FG133" i="6"/>
  <c r="FF133" i="6"/>
  <c r="FE133" i="6"/>
  <c r="FD133" i="6"/>
  <c r="FI132" i="6"/>
  <c r="FH132" i="6"/>
  <c r="FG132" i="6"/>
  <c r="FF132" i="6"/>
  <c r="FE132" i="6"/>
  <c r="FD132" i="6"/>
  <c r="FI131" i="6"/>
  <c r="FH131" i="6"/>
  <c r="FG131" i="6"/>
  <c r="FF131" i="6"/>
  <c r="FE131" i="6"/>
  <c r="FD131" i="6"/>
  <c r="FI130" i="6"/>
  <c r="FH130" i="6"/>
  <c r="FG130" i="6"/>
  <c r="FF130" i="6"/>
  <c r="FE130" i="6"/>
  <c r="FD130" i="6"/>
  <c r="FI129" i="6"/>
  <c r="FH129" i="6"/>
  <c r="FG129" i="6"/>
  <c r="FF129" i="6"/>
  <c r="FE129" i="6"/>
  <c r="FD129" i="6"/>
  <c r="FI128" i="6"/>
  <c r="FH128" i="6"/>
  <c r="FG128" i="6"/>
  <c r="FF128" i="6"/>
  <c r="FE128" i="6"/>
  <c r="FD128" i="6"/>
  <c r="FI127" i="6"/>
  <c r="FH127" i="6"/>
  <c r="FG127" i="6"/>
  <c r="FF127" i="6"/>
  <c r="FE127" i="6"/>
  <c r="FD127" i="6"/>
  <c r="FI126" i="6"/>
  <c r="FH126" i="6"/>
  <c r="FG126" i="6"/>
  <c r="FF126" i="6"/>
  <c r="FE126" i="6"/>
  <c r="FD126" i="6"/>
  <c r="FI125" i="6"/>
  <c r="FH125" i="6"/>
  <c r="FG125" i="6"/>
  <c r="FF125" i="6"/>
  <c r="FE125" i="6"/>
  <c r="FD125" i="6"/>
  <c r="FI124" i="6"/>
  <c r="FH124" i="6"/>
  <c r="FG124" i="6"/>
  <c r="FF124" i="6"/>
  <c r="FE124" i="6"/>
  <c r="FD124" i="6"/>
  <c r="FI123" i="6"/>
  <c r="FH123" i="6"/>
  <c r="FG123" i="6"/>
  <c r="FF123" i="6"/>
  <c r="FE123" i="6"/>
  <c r="FD123" i="6"/>
  <c r="FI122" i="6"/>
  <c r="FH122" i="6"/>
  <c r="FG122" i="6"/>
  <c r="FF122" i="6"/>
  <c r="FE122" i="6"/>
  <c r="FD122" i="6"/>
  <c r="FI121" i="6"/>
  <c r="FH121" i="6"/>
  <c r="FG121" i="6"/>
  <c r="FF121" i="6"/>
  <c r="FE121" i="6"/>
  <c r="FD121" i="6"/>
  <c r="FI120" i="6"/>
  <c r="FH120" i="6"/>
  <c r="FG120" i="6"/>
  <c r="FF120" i="6"/>
  <c r="FE120" i="6"/>
  <c r="FD120" i="6"/>
  <c r="FI119" i="6"/>
  <c r="FH119" i="6"/>
  <c r="FG119" i="6"/>
  <c r="FF119" i="6"/>
  <c r="FE119" i="6"/>
  <c r="FD119" i="6"/>
  <c r="FI118" i="6"/>
  <c r="FH118" i="6"/>
  <c r="FG118" i="6"/>
  <c r="FF118" i="6"/>
  <c r="FE118" i="6"/>
  <c r="FD118" i="6"/>
  <c r="FI117" i="6"/>
  <c r="FH117" i="6"/>
  <c r="FG117" i="6"/>
  <c r="FF117" i="6"/>
  <c r="FE117" i="6"/>
  <c r="FD117" i="6"/>
  <c r="FI116" i="6"/>
  <c r="FH116" i="6"/>
  <c r="FG116" i="6"/>
  <c r="FF116" i="6"/>
  <c r="FE116" i="6"/>
  <c r="FD116" i="6"/>
  <c r="FI115" i="6"/>
  <c r="FH115" i="6"/>
  <c r="FG115" i="6"/>
  <c r="FF115" i="6"/>
  <c r="FE115" i="6"/>
  <c r="FD115" i="6"/>
  <c r="FI114" i="6"/>
  <c r="FH114" i="6"/>
  <c r="FG114" i="6"/>
  <c r="FF114" i="6"/>
  <c r="FE114" i="6"/>
  <c r="FD114" i="6"/>
  <c r="FI113" i="6"/>
  <c r="FH113" i="6"/>
  <c r="FG113" i="6"/>
  <c r="FF113" i="6"/>
  <c r="FE113" i="6"/>
  <c r="FD113" i="6"/>
  <c r="FI112" i="6"/>
  <c r="FH112" i="6"/>
  <c r="FG112" i="6"/>
  <c r="FF112" i="6"/>
  <c r="FE112" i="6"/>
  <c r="FD112" i="6"/>
  <c r="FI111" i="6"/>
  <c r="FG111" i="6"/>
  <c r="FF111" i="6"/>
  <c r="FE111" i="6"/>
  <c r="FD111" i="6"/>
  <c r="FI110" i="6"/>
  <c r="FG110" i="6"/>
  <c r="FF110" i="6"/>
  <c r="FE110" i="6"/>
  <c r="FD110" i="6"/>
  <c r="FI109" i="6"/>
  <c r="FH109" i="6"/>
  <c r="FG109" i="6"/>
  <c r="FF109" i="6"/>
  <c r="FE109" i="6"/>
  <c r="FD109" i="6"/>
  <c r="FI108" i="6"/>
  <c r="FH108" i="6"/>
  <c r="FG108" i="6"/>
  <c r="FF108" i="6"/>
  <c r="FE108" i="6"/>
  <c r="FD108" i="6"/>
  <c r="FI107" i="6"/>
  <c r="FH107" i="6"/>
  <c r="FG107" i="6"/>
  <c r="FF107" i="6"/>
  <c r="FE107" i="6"/>
  <c r="FD107" i="6"/>
  <c r="CK107" i="6"/>
  <c r="FI106" i="6"/>
  <c r="FG106" i="6"/>
  <c r="FF106" i="6"/>
  <c r="FE106" i="6"/>
  <c r="FD106" i="6"/>
  <c r="CK106" i="6"/>
  <c r="FI105" i="6"/>
  <c r="FH105" i="6"/>
  <c r="FG105" i="6"/>
  <c r="FF105" i="6"/>
  <c r="FE105" i="6"/>
  <c r="FD105" i="6"/>
  <c r="CK105" i="6"/>
  <c r="CE105" i="6"/>
  <c r="FI104" i="6"/>
  <c r="FH104" i="6"/>
  <c r="FG104" i="6"/>
  <c r="FF104" i="6"/>
  <c r="FE104" i="6"/>
  <c r="FD104" i="6"/>
  <c r="FI103" i="6"/>
  <c r="FH103" i="6"/>
  <c r="FG103" i="6"/>
  <c r="FF103" i="6"/>
  <c r="FE103" i="6"/>
  <c r="FD103" i="6"/>
  <c r="FI102" i="6"/>
  <c r="FH102" i="6"/>
  <c r="FG102" i="6"/>
  <c r="FF102" i="6"/>
  <c r="FE102" i="6"/>
  <c r="FD102" i="6"/>
  <c r="FI101" i="6"/>
  <c r="FH101" i="6"/>
  <c r="FG101" i="6"/>
  <c r="FF101" i="6"/>
  <c r="FE101" i="6"/>
  <c r="FD101" i="6"/>
  <c r="AF37" i="6"/>
  <c r="AF36" i="6"/>
  <c r="FH111" i="6" s="1"/>
  <c r="AF35" i="6"/>
  <c r="FH110" i="6" s="1"/>
  <c r="AF34" i="6"/>
  <c r="AF33" i="6"/>
  <c r="AF32" i="6"/>
  <c r="AF31" i="6"/>
  <c r="FH106" i="6" s="1"/>
  <c r="AF30" i="6"/>
  <c r="AF29" i="6"/>
  <c r="AF28" i="6"/>
  <c r="AF27" i="6"/>
  <c r="AF26" i="6"/>
  <c r="AB7" i="2"/>
  <c r="AF29" i="1"/>
  <c r="AF30" i="1"/>
  <c r="AA38" i="7" l="1"/>
  <c r="CK104" i="7" s="1"/>
  <c r="CK115" i="7" s="1"/>
  <c r="P56" i="7" s="1"/>
  <c r="AA38" i="6"/>
  <c r="H38" i="6" s="1"/>
  <c r="AF28" i="1"/>
  <c r="H38" i="7" l="1"/>
  <c r="H39" i="7" s="1"/>
  <c r="CK104" i="6"/>
  <c r="CK115" i="6" s="1"/>
  <c r="P56" i="6" s="1"/>
  <c r="AF32" i="1"/>
  <c r="AF31" i="1"/>
  <c r="AF27" i="1"/>
  <c r="J20" i="7" l="1"/>
  <c r="J19" i="7"/>
  <c r="H39" i="6"/>
  <c r="J20" i="6" s="1"/>
  <c r="AF33" i="1"/>
  <c r="J19" i="6" l="1"/>
  <c r="P178" i="4"/>
  <c r="CM120" i="4"/>
  <c r="DO119" i="4"/>
  <c r="CM119" i="4"/>
  <c r="CS116" i="4"/>
  <c r="CS115" i="4"/>
  <c r="CS114" i="4"/>
  <c r="CS113" i="4"/>
  <c r="CS112" i="4"/>
  <c r="CS111" i="4"/>
  <c r="CS110" i="4"/>
  <c r="CS109" i="4"/>
  <c r="CS108" i="4"/>
  <c r="CS107" i="4"/>
  <c r="CS106" i="4"/>
  <c r="CS105" i="4"/>
  <c r="CS104" i="4"/>
  <c r="AG29" i="4"/>
  <c r="AG28" i="4"/>
  <c r="AG27" i="4"/>
  <c r="AG26" i="4"/>
  <c r="AG25" i="4"/>
  <c r="AG24" i="4"/>
  <c r="AG23" i="4"/>
  <c r="AG22" i="4"/>
  <c r="AG21" i="4"/>
  <c r="AG20" i="4"/>
  <c r="AG19" i="4"/>
  <c r="AG18" i="4"/>
  <c r="AG17" i="4"/>
  <c r="AG16" i="4"/>
  <c r="AG15" i="4"/>
  <c r="AG14" i="4"/>
  <c r="AG13" i="4"/>
  <c r="AG12" i="4"/>
  <c r="AG11" i="4"/>
  <c r="AG10" i="4"/>
  <c r="AG9" i="4"/>
  <c r="AG8" i="4"/>
  <c r="AG7" i="4"/>
  <c r="AF35" i="1"/>
  <c r="FH110" i="1" s="1"/>
  <c r="AF34" i="1"/>
  <c r="FH109" i="1" s="1"/>
  <c r="AF37" i="1"/>
  <c r="FH112" i="1" s="1"/>
  <c r="FH106" i="1"/>
  <c r="FH105" i="1"/>
  <c r="FH104" i="1"/>
  <c r="FH103" i="1"/>
  <c r="FH102" i="1"/>
  <c r="AF26" i="1"/>
  <c r="FH101" i="1" s="1"/>
  <c r="FH107" i="1"/>
  <c r="FH108" i="1"/>
  <c r="AG29" i="2"/>
  <c r="FH135" i="1" s="1"/>
  <c r="AG28" i="2"/>
  <c r="FH134" i="1" s="1"/>
  <c r="AG27" i="2"/>
  <c r="AG26" i="2"/>
  <c r="FH132" i="1" s="1"/>
  <c r="AG25" i="2"/>
  <c r="AG24" i="2"/>
  <c r="FH130" i="1" s="1"/>
  <c r="AG23" i="2"/>
  <c r="AG22" i="2"/>
  <c r="FH128" i="1" s="1"/>
  <c r="AG21" i="2"/>
  <c r="FH127" i="1" s="1"/>
  <c r="AG20" i="2"/>
  <c r="FH126" i="1" s="1"/>
  <c r="AG19" i="2"/>
  <c r="FH125" i="1" s="1"/>
  <c r="AG18" i="2"/>
  <c r="FH124" i="1" s="1"/>
  <c r="AG17" i="2"/>
  <c r="FH123" i="1" s="1"/>
  <c r="AG16" i="2"/>
  <c r="FH122" i="1" s="1"/>
  <c r="AG15" i="2"/>
  <c r="AG14" i="2"/>
  <c r="FH120" i="1" s="1"/>
  <c r="AG13" i="2"/>
  <c r="FH119" i="1" s="1"/>
  <c r="AG12" i="2"/>
  <c r="FH118" i="1" s="1"/>
  <c r="AG11" i="2"/>
  <c r="FH117" i="1" s="1"/>
  <c r="AG10" i="2"/>
  <c r="FH116" i="1" s="1"/>
  <c r="AG9" i="2"/>
  <c r="FH115" i="1" s="1"/>
  <c r="AG8" i="2"/>
  <c r="FH114" i="1" s="1"/>
  <c r="AG7" i="2"/>
  <c r="FH113" i="1" s="1"/>
  <c r="FI181" i="1"/>
  <c r="FH181" i="1"/>
  <c r="FG181" i="1"/>
  <c r="FF181" i="1"/>
  <c r="FE181" i="1"/>
  <c r="FD181" i="1"/>
  <c r="FI180" i="1"/>
  <c r="FH180" i="1"/>
  <c r="FG180" i="1"/>
  <c r="FF180" i="1"/>
  <c r="FE180" i="1"/>
  <c r="FD180" i="1"/>
  <c r="FI179" i="1"/>
  <c r="FH179" i="1"/>
  <c r="FG179" i="1"/>
  <c r="FF179" i="1"/>
  <c r="FE179" i="1"/>
  <c r="FD179" i="1"/>
  <c r="FI178" i="1"/>
  <c r="FH178" i="1"/>
  <c r="FG178" i="1"/>
  <c r="FF178" i="1"/>
  <c r="FE178" i="1"/>
  <c r="FD178" i="1"/>
  <c r="FI177" i="1"/>
  <c r="FH177" i="1"/>
  <c r="FG177" i="1"/>
  <c r="FF177" i="1"/>
  <c r="FE177" i="1"/>
  <c r="FD177" i="1"/>
  <c r="FI176" i="1"/>
  <c r="FH176" i="1"/>
  <c r="FG176" i="1"/>
  <c r="FF176" i="1"/>
  <c r="FE176" i="1"/>
  <c r="FD176" i="1"/>
  <c r="FI175" i="1"/>
  <c r="FH175" i="1"/>
  <c r="FG175" i="1"/>
  <c r="FF175" i="1"/>
  <c r="FE175" i="1"/>
  <c r="FD175" i="1"/>
  <c r="FI174" i="1"/>
  <c r="FH174" i="1"/>
  <c r="FG174" i="1"/>
  <c r="FF174" i="1"/>
  <c r="FE174" i="1"/>
  <c r="FD174" i="1"/>
  <c r="FI173" i="1"/>
  <c r="FH173" i="1"/>
  <c r="FG173" i="1"/>
  <c r="FF173" i="1"/>
  <c r="FE173" i="1"/>
  <c r="FD173" i="1"/>
  <c r="FI172" i="1"/>
  <c r="FH172" i="1"/>
  <c r="FG172" i="1"/>
  <c r="FF172" i="1"/>
  <c r="FE172" i="1"/>
  <c r="FD172" i="1"/>
  <c r="FI171" i="1"/>
  <c r="FH171" i="1"/>
  <c r="FG171" i="1"/>
  <c r="FF171" i="1"/>
  <c r="FE171" i="1"/>
  <c r="FD171" i="1"/>
  <c r="FI170" i="1"/>
  <c r="FH170" i="1"/>
  <c r="FG170" i="1"/>
  <c r="FF170" i="1"/>
  <c r="FE170" i="1"/>
  <c r="FD170" i="1"/>
  <c r="FI169" i="1"/>
  <c r="FH169" i="1"/>
  <c r="FG169" i="1"/>
  <c r="FF169" i="1"/>
  <c r="FE169" i="1"/>
  <c r="FD169" i="1"/>
  <c r="FI168" i="1"/>
  <c r="FH168" i="1"/>
  <c r="FG168" i="1"/>
  <c r="FF168" i="1"/>
  <c r="FE168" i="1"/>
  <c r="FD168" i="1"/>
  <c r="FI167" i="1"/>
  <c r="FH167" i="1"/>
  <c r="FG167" i="1"/>
  <c r="FF167" i="1"/>
  <c r="FE167" i="1"/>
  <c r="FD167" i="1"/>
  <c r="FI166" i="1"/>
  <c r="FH166" i="1"/>
  <c r="FG166" i="1"/>
  <c r="FF166" i="1"/>
  <c r="FE166" i="1"/>
  <c r="FD166" i="1"/>
  <c r="FI165" i="1"/>
  <c r="FH165" i="1"/>
  <c r="FG165" i="1"/>
  <c r="FF165" i="1"/>
  <c r="FE165" i="1"/>
  <c r="FD165" i="1"/>
  <c r="FI164" i="1"/>
  <c r="FH164" i="1"/>
  <c r="FG164" i="1"/>
  <c r="FF164" i="1"/>
  <c r="FE164" i="1"/>
  <c r="FD164" i="1"/>
  <c r="FI163" i="1"/>
  <c r="FH163" i="1"/>
  <c r="FG163" i="1"/>
  <c r="FF163" i="1"/>
  <c r="FE163" i="1"/>
  <c r="FD163" i="1"/>
  <c r="FI162" i="1"/>
  <c r="FH162" i="1"/>
  <c r="FG162" i="1"/>
  <c r="FF162" i="1"/>
  <c r="FE162" i="1"/>
  <c r="FD162" i="1"/>
  <c r="FI161" i="1"/>
  <c r="FH161" i="1"/>
  <c r="FG161" i="1"/>
  <c r="FF161" i="1"/>
  <c r="FE161" i="1"/>
  <c r="FD161" i="1"/>
  <c r="FI160" i="1"/>
  <c r="FH160" i="1"/>
  <c r="FG160" i="1"/>
  <c r="FF160" i="1"/>
  <c r="FE160" i="1"/>
  <c r="FD160" i="1"/>
  <c r="FI159" i="1"/>
  <c r="FH159" i="1"/>
  <c r="FG159" i="1"/>
  <c r="FF159" i="1"/>
  <c r="FE159" i="1"/>
  <c r="FD159" i="1"/>
  <c r="CK107" i="1"/>
  <c r="FI158" i="1"/>
  <c r="FH158" i="1"/>
  <c r="FG158" i="1"/>
  <c r="FF158" i="1"/>
  <c r="FE158" i="1"/>
  <c r="FD158" i="1"/>
  <c r="FI157" i="1"/>
  <c r="FH157" i="1"/>
  <c r="FG157" i="1"/>
  <c r="FF157" i="1"/>
  <c r="FE157" i="1"/>
  <c r="FD157" i="1"/>
  <c r="FI156" i="1"/>
  <c r="FH156" i="1"/>
  <c r="FG156" i="1"/>
  <c r="FF156" i="1"/>
  <c r="FE156" i="1"/>
  <c r="FD156" i="1"/>
  <c r="FI155" i="1"/>
  <c r="FH155" i="1"/>
  <c r="FG155" i="1"/>
  <c r="FF155" i="1"/>
  <c r="FE155" i="1"/>
  <c r="FD155" i="1"/>
  <c r="FI154" i="1"/>
  <c r="FH154" i="1"/>
  <c r="FG154" i="1"/>
  <c r="FF154" i="1"/>
  <c r="FE154" i="1"/>
  <c r="FD154" i="1"/>
  <c r="FI153" i="1"/>
  <c r="FH153" i="1"/>
  <c r="FG153" i="1"/>
  <c r="FF153" i="1"/>
  <c r="FE153" i="1"/>
  <c r="FD153" i="1"/>
  <c r="FI152" i="1"/>
  <c r="FH152" i="1"/>
  <c r="FG152" i="1"/>
  <c r="FF152" i="1"/>
  <c r="FE152" i="1"/>
  <c r="FD152" i="1"/>
  <c r="FI151" i="1"/>
  <c r="FH151" i="1"/>
  <c r="FG151" i="1"/>
  <c r="FF151" i="1"/>
  <c r="FE151" i="1"/>
  <c r="FD151" i="1"/>
  <c r="FI150" i="1"/>
  <c r="FH150" i="1"/>
  <c r="FG150" i="1"/>
  <c r="FF150" i="1"/>
  <c r="FE150" i="1"/>
  <c r="FD150" i="1"/>
  <c r="FI149" i="1"/>
  <c r="FH149" i="1"/>
  <c r="FG149" i="1"/>
  <c r="FF149" i="1"/>
  <c r="FE149" i="1"/>
  <c r="FD149" i="1"/>
  <c r="FI148" i="1"/>
  <c r="FH148" i="1"/>
  <c r="FG148" i="1"/>
  <c r="FF148" i="1"/>
  <c r="FE148" i="1"/>
  <c r="FD148" i="1"/>
  <c r="FI147" i="1"/>
  <c r="FH147" i="1"/>
  <c r="FG147" i="1"/>
  <c r="FF147" i="1"/>
  <c r="FE147" i="1"/>
  <c r="FD147" i="1"/>
  <c r="FI146" i="1"/>
  <c r="FH146" i="1"/>
  <c r="FG146" i="1"/>
  <c r="FF146" i="1"/>
  <c r="FE146" i="1"/>
  <c r="FD146" i="1"/>
  <c r="FI145" i="1"/>
  <c r="FH145" i="1"/>
  <c r="FG145" i="1"/>
  <c r="FF145" i="1"/>
  <c r="FE145" i="1"/>
  <c r="FD145" i="1"/>
  <c r="FI144" i="1"/>
  <c r="FH144" i="1"/>
  <c r="FG144" i="1"/>
  <c r="FF144" i="1"/>
  <c r="FE144" i="1"/>
  <c r="FD144" i="1"/>
  <c r="FI143" i="1"/>
  <c r="FH143" i="1"/>
  <c r="FG143" i="1"/>
  <c r="FF143" i="1"/>
  <c r="FE143" i="1"/>
  <c r="FD143" i="1"/>
  <c r="FI142" i="1"/>
  <c r="FH142" i="1"/>
  <c r="FG142" i="1"/>
  <c r="FF142" i="1"/>
  <c r="FE142" i="1"/>
  <c r="FD142" i="1"/>
  <c r="FI141" i="1"/>
  <c r="FH141" i="1"/>
  <c r="FG141" i="1"/>
  <c r="FF141" i="1"/>
  <c r="FE141" i="1"/>
  <c r="FD141" i="1"/>
  <c r="FI140" i="1"/>
  <c r="FH140" i="1"/>
  <c r="FG140" i="1"/>
  <c r="FF140" i="1"/>
  <c r="FE140" i="1"/>
  <c r="FD140" i="1"/>
  <c r="FI139" i="1"/>
  <c r="FH139" i="1"/>
  <c r="FG139" i="1"/>
  <c r="FF139" i="1"/>
  <c r="FE139" i="1"/>
  <c r="FD139" i="1"/>
  <c r="FI138" i="1"/>
  <c r="FH138" i="1"/>
  <c r="FG138" i="1"/>
  <c r="FF138" i="1"/>
  <c r="FE138" i="1"/>
  <c r="FD138" i="1"/>
  <c r="FI137" i="1"/>
  <c r="FH137" i="1"/>
  <c r="FG137" i="1"/>
  <c r="FF137" i="1"/>
  <c r="FE137" i="1"/>
  <c r="FD137" i="1"/>
  <c r="FI136" i="1"/>
  <c r="FH136" i="1"/>
  <c r="FG136" i="1"/>
  <c r="FF136" i="1"/>
  <c r="FE136" i="1"/>
  <c r="FD136" i="1"/>
  <c r="CK106" i="1"/>
  <c r="FI135" i="1"/>
  <c r="FG135" i="1"/>
  <c r="FF135" i="1"/>
  <c r="FE135" i="1"/>
  <c r="FD135" i="1"/>
  <c r="FI134" i="1"/>
  <c r="FG134" i="1"/>
  <c r="FF134" i="1"/>
  <c r="FE134" i="1"/>
  <c r="FD134" i="1"/>
  <c r="FI133" i="1"/>
  <c r="FH133" i="1"/>
  <c r="FG133" i="1"/>
  <c r="FF133" i="1"/>
  <c r="FE133" i="1"/>
  <c r="FD133" i="1"/>
  <c r="FI132" i="1"/>
  <c r="FG132" i="1"/>
  <c r="FF132" i="1"/>
  <c r="FE132" i="1"/>
  <c r="FD132" i="1"/>
  <c r="FI131" i="1"/>
  <c r="FH131" i="1"/>
  <c r="FG131" i="1"/>
  <c r="FF131" i="1"/>
  <c r="FE131" i="1"/>
  <c r="FD131" i="1"/>
  <c r="FI130" i="1"/>
  <c r="FG130" i="1"/>
  <c r="FF130" i="1"/>
  <c r="FE130" i="1"/>
  <c r="FD130" i="1"/>
  <c r="FI129" i="1"/>
  <c r="FH129" i="1"/>
  <c r="FG129" i="1"/>
  <c r="FF129" i="1"/>
  <c r="FE129" i="1"/>
  <c r="FD129" i="1"/>
  <c r="FI128" i="1"/>
  <c r="FG128" i="1"/>
  <c r="FF128" i="1"/>
  <c r="FE128" i="1"/>
  <c r="FD128" i="1"/>
  <c r="FI127" i="1"/>
  <c r="FG127" i="1"/>
  <c r="FF127" i="1"/>
  <c r="FE127" i="1"/>
  <c r="FD127" i="1"/>
  <c r="FI126" i="1"/>
  <c r="FG126" i="1"/>
  <c r="FF126" i="1"/>
  <c r="FE126" i="1"/>
  <c r="FD126" i="1"/>
  <c r="FI125" i="1"/>
  <c r="FG125" i="1"/>
  <c r="FF125" i="1"/>
  <c r="FE125" i="1"/>
  <c r="FD125" i="1"/>
  <c r="FI124" i="1"/>
  <c r="FG124" i="1"/>
  <c r="FF124" i="1"/>
  <c r="FE124" i="1"/>
  <c r="FD124" i="1"/>
  <c r="FI123" i="1"/>
  <c r="FG123" i="1"/>
  <c r="FF123" i="1"/>
  <c r="FE123" i="1"/>
  <c r="FD123" i="1"/>
  <c r="FI122" i="1"/>
  <c r="FG122" i="1"/>
  <c r="FF122" i="1"/>
  <c r="FE122" i="1"/>
  <c r="FD122" i="1"/>
  <c r="FI121" i="1"/>
  <c r="FH121" i="1"/>
  <c r="FG121" i="1"/>
  <c r="FF121" i="1"/>
  <c r="FE121" i="1"/>
  <c r="FD121" i="1"/>
  <c r="FI120" i="1"/>
  <c r="FG120" i="1"/>
  <c r="FF120" i="1"/>
  <c r="FE120" i="1"/>
  <c r="FD120" i="1"/>
  <c r="FI119" i="1"/>
  <c r="FG119" i="1"/>
  <c r="FF119" i="1"/>
  <c r="FE119" i="1"/>
  <c r="FD119" i="1"/>
  <c r="FI118" i="1"/>
  <c r="FG118" i="1"/>
  <c r="FF118" i="1"/>
  <c r="FE118" i="1"/>
  <c r="FD118" i="1"/>
  <c r="FI117" i="1"/>
  <c r="FG117" i="1"/>
  <c r="FF117" i="1"/>
  <c r="FE117" i="1"/>
  <c r="FD117" i="1"/>
  <c r="FI116" i="1"/>
  <c r="FG116" i="1"/>
  <c r="FF116" i="1"/>
  <c r="FE116" i="1"/>
  <c r="FD116" i="1"/>
  <c r="FI115" i="1"/>
  <c r="FG115" i="1"/>
  <c r="FF115" i="1"/>
  <c r="FE115" i="1"/>
  <c r="FD115" i="1"/>
  <c r="FI114" i="1"/>
  <c r="FG114" i="1"/>
  <c r="FF114" i="1"/>
  <c r="FE114" i="1"/>
  <c r="FD114" i="1"/>
  <c r="FI113" i="1"/>
  <c r="FG113" i="1"/>
  <c r="FF113" i="1"/>
  <c r="FE113" i="1"/>
  <c r="FD113" i="1"/>
  <c r="CK105" i="1"/>
  <c r="AF36" i="1"/>
  <c r="FH111" i="1" s="1"/>
  <c r="CE105" i="1"/>
  <c r="FI102" i="1"/>
  <c r="FI103" i="1"/>
  <c r="FI104" i="1"/>
  <c r="FI105" i="1"/>
  <c r="FI106" i="1"/>
  <c r="FI107" i="1"/>
  <c r="FI108" i="1"/>
  <c r="FI109" i="1"/>
  <c r="FI110" i="1"/>
  <c r="FI111" i="1"/>
  <c r="FI112" i="1"/>
  <c r="FI101" i="1"/>
  <c r="FG102" i="1"/>
  <c r="FG103" i="1"/>
  <c r="FG104" i="1"/>
  <c r="FG105" i="1"/>
  <c r="FG106" i="1"/>
  <c r="FG107" i="1"/>
  <c r="FG108" i="1"/>
  <c r="FG109" i="1"/>
  <c r="FG110" i="1"/>
  <c r="FG111" i="1"/>
  <c r="FG112" i="1"/>
  <c r="FG101" i="1"/>
  <c r="FF102" i="1"/>
  <c r="FF103" i="1"/>
  <c r="FF104" i="1"/>
  <c r="FF105" i="1"/>
  <c r="FF106" i="1"/>
  <c r="FF107" i="1"/>
  <c r="FF108" i="1"/>
  <c r="FF109" i="1"/>
  <c r="FF110" i="1"/>
  <c r="FF111" i="1"/>
  <c r="FF112" i="1"/>
  <c r="FF101" i="1"/>
  <c r="FE102" i="1"/>
  <c r="FE103" i="1"/>
  <c r="FE104" i="1"/>
  <c r="FE105" i="1"/>
  <c r="FE106" i="1"/>
  <c r="FE107" i="1"/>
  <c r="FE108" i="1"/>
  <c r="FE109" i="1"/>
  <c r="FE110" i="1"/>
  <c r="FE111" i="1"/>
  <c r="FE112" i="1"/>
  <c r="FE101" i="1"/>
  <c r="FD102" i="1"/>
  <c r="FD103" i="1"/>
  <c r="FD104" i="1"/>
  <c r="FD105" i="1"/>
  <c r="FD106" i="1"/>
  <c r="FD107" i="1"/>
  <c r="FD108" i="1"/>
  <c r="FD109" i="1"/>
  <c r="FD110" i="1"/>
  <c r="FD111" i="1"/>
  <c r="FD112" i="1"/>
  <c r="FD101" i="1"/>
  <c r="CM120" i="2"/>
  <c r="DO119" i="2"/>
  <c r="P178" i="2"/>
  <c r="CM119" i="2"/>
  <c r="CS105" i="2"/>
  <c r="CS106" i="2"/>
  <c r="CS107" i="2"/>
  <c r="CS108" i="2"/>
  <c r="CS109" i="2"/>
  <c r="CS110" i="2"/>
  <c r="CS111" i="2"/>
  <c r="CS112" i="2"/>
  <c r="CS113" i="2"/>
  <c r="CS114" i="2"/>
  <c r="CS115" i="2"/>
  <c r="CS116" i="2"/>
  <c r="CS104" i="2"/>
  <c r="AA38" i="1" l="1"/>
  <c r="H38" i="1" s="1"/>
  <c r="CK104" i="1" l="1"/>
  <c r="CK115" i="1" s="1"/>
  <c r="H39" i="1" s="1"/>
  <c r="P56" i="1" l="1"/>
  <c r="J19" i="1"/>
  <c r="J20" i="1"/>
</calcChain>
</file>

<file path=xl/sharedStrings.xml><?xml version="1.0" encoding="utf-8"?>
<sst xmlns="http://schemas.openxmlformats.org/spreadsheetml/2006/main" count="454" uniqueCount="151">
  <si>
    <t>No.</t>
    <phoneticPr fontId="4"/>
  </si>
  <si>
    <t>年</t>
    <rPh sb="0" eb="1">
      <t>ネン</t>
    </rPh>
    <phoneticPr fontId="4"/>
  </si>
  <si>
    <t>月</t>
    <rPh sb="0" eb="1">
      <t>ツキ</t>
    </rPh>
    <phoneticPr fontId="4"/>
  </si>
  <si>
    <t>御中</t>
    <rPh sb="0" eb="2">
      <t>オンチュウ</t>
    </rPh>
    <phoneticPr fontId="4"/>
  </si>
  <si>
    <t>受渡期日</t>
    <rPh sb="0" eb="2">
      <t>ウケワタシ</t>
    </rPh>
    <rPh sb="2" eb="4">
      <t>キジツ</t>
    </rPh>
    <phoneticPr fontId="4"/>
  </si>
  <si>
    <t>受渡場所</t>
    <rPh sb="0" eb="2">
      <t>ウケワタシ</t>
    </rPh>
    <rPh sb="2" eb="4">
      <t>バショ</t>
    </rPh>
    <phoneticPr fontId="4"/>
  </si>
  <si>
    <t>取引方法</t>
    <rPh sb="0" eb="2">
      <t>トリヒキ</t>
    </rPh>
    <rPh sb="2" eb="4">
      <t>ホウホウ</t>
    </rPh>
    <phoneticPr fontId="4"/>
  </si>
  <si>
    <t>担当者</t>
    <rPh sb="0" eb="3">
      <t>タントウシャ</t>
    </rPh>
    <phoneticPr fontId="4"/>
  </si>
  <si>
    <t>合計金額</t>
    <rPh sb="0" eb="2">
      <t>ゴウケイ</t>
    </rPh>
    <rPh sb="2" eb="4">
      <t>キンガク</t>
    </rPh>
    <phoneticPr fontId="4"/>
  </si>
  <si>
    <t>品　　名</t>
    <rPh sb="0" eb="1">
      <t>シナ</t>
    </rPh>
    <rPh sb="3" eb="4">
      <t>メイ</t>
    </rPh>
    <phoneticPr fontId="4"/>
  </si>
  <si>
    <t>数　量</t>
    <rPh sb="0" eb="1">
      <t>カズ</t>
    </rPh>
    <rPh sb="2" eb="3">
      <t>リョウ</t>
    </rPh>
    <phoneticPr fontId="4"/>
  </si>
  <si>
    <t>単　価</t>
    <rPh sb="0" eb="1">
      <t>タン</t>
    </rPh>
    <rPh sb="2" eb="3">
      <t>アタイ</t>
    </rPh>
    <phoneticPr fontId="4"/>
  </si>
  <si>
    <t>金　額</t>
    <rPh sb="0" eb="1">
      <t>キン</t>
    </rPh>
    <rPh sb="2" eb="3">
      <t>ガク</t>
    </rPh>
    <phoneticPr fontId="4"/>
  </si>
  <si>
    <t>備　考</t>
    <rPh sb="0" eb="1">
      <t>ソナエ</t>
    </rPh>
    <rPh sb="2" eb="3">
      <t>コウ</t>
    </rPh>
    <phoneticPr fontId="4"/>
  </si>
  <si>
    <t>消費税</t>
    <rPh sb="0" eb="3">
      <t>ショウヒゼイ</t>
    </rPh>
    <phoneticPr fontId="4"/>
  </si>
  <si>
    <t>小 計</t>
    <rPh sb="0" eb="1">
      <t>ショウ</t>
    </rPh>
    <rPh sb="2" eb="3">
      <t>ケイ</t>
    </rPh>
    <phoneticPr fontId="4"/>
  </si>
  <si>
    <t>摘要：</t>
    <rPh sb="0" eb="2">
      <t>テキヨウ</t>
    </rPh>
    <phoneticPr fontId="4"/>
  </si>
  <si>
    <t>総計</t>
    <rPh sb="0" eb="2">
      <t>ソウケイ</t>
    </rPh>
    <phoneticPr fontId="4"/>
  </si>
  <si>
    <t>単位</t>
    <rPh sb="0" eb="2">
      <t>タンイ</t>
    </rPh>
    <phoneticPr fontId="4"/>
  </si>
  <si>
    <t>台</t>
    <rPh sb="0" eb="1">
      <t>ダイ</t>
    </rPh>
    <phoneticPr fontId="4"/>
  </si>
  <si>
    <t>％</t>
    <phoneticPr fontId="4"/>
  </si>
  <si>
    <t>個</t>
    <rPh sb="0" eb="1">
      <t>コ</t>
    </rPh>
    <phoneticPr fontId="4"/>
  </si>
  <si>
    <t>一式</t>
    <rPh sb="0" eb="2">
      <t>イッシキ</t>
    </rPh>
    <phoneticPr fontId="4"/>
  </si>
  <si>
    <t>画面表示</t>
    <rPh sb="0" eb="2">
      <t>ガメン</t>
    </rPh>
    <rPh sb="2" eb="4">
      <t>ヒョウジ</t>
    </rPh>
    <phoneticPr fontId="4"/>
  </si>
  <si>
    <t>冊</t>
    <rPh sb="0" eb="1">
      <t>サツ</t>
    </rPh>
    <phoneticPr fontId="4"/>
  </si>
  <si>
    <t>①</t>
    <phoneticPr fontId="4"/>
  </si>
  <si>
    <t>箱</t>
    <rPh sb="0" eb="1">
      <t>ハコ</t>
    </rPh>
    <phoneticPr fontId="4"/>
  </si>
  <si>
    <t>②</t>
    <phoneticPr fontId="4"/>
  </si>
  <si>
    <t>C/S</t>
    <phoneticPr fontId="4"/>
  </si>
  <si>
    <t>SET</t>
    <phoneticPr fontId="4"/>
  </si>
  <si>
    <t>画像ファイル名</t>
    <rPh sb="0" eb="2">
      <t>ガゾウ</t>
    </rPh>
    <rPh sb="6" eb="7">
      <t>メイ</t>
    </rPh>
    <phoneticPr fontId="4"/>
  </si>
  <si>
    <t>画像名</t>
    <rPh sb="0" eb="2">
      <t>ガゾウ</t>
    </rPh>
    <rPh sb="2" eb="3">
      <t>メイ</t>
    </rPh>
    <phoneticPr fontId="4"/>
  </si>
  <si>
    <t>本</t>
    <rPh sb="0" eb="1">
      <t>ホン</t>
    </rPh>
    <phoneticPr fontId="4"/>
  </si>
  <si>
    <t>会社角印</t>
    <rPh sb="0" eb="2">
      <t>カイシャ</t>
    </rPh>
    <rPh sb="2" eb="3">
      <t>カク</t>
    </rPh>
    <rPh sb="3" eb="4">
      <t>イン</t>
    </rPh>
    <phoneticPr fontId="4"/>
  </si>
  <si>
    <t>束</t>
    <rPh sb="0" eb="1">
      <t>タバ</t>
    </rPh>
    <phoneticPr fontId="4"/>
  </si>
  <si>
    <t>枚</t>
    <rPh sb="0" eb="1">
      <t>マイ</t>
    </rPh>
    <phoneticPr fontId="4"/>
  </si>
  <si>
    <t>③</t>
    <phoneticPr fontId="4"/>
  </si>
  <si>
    <t>ﾊﾟｯｸ</t>
    <phoneticPr fontId="4"/>
  </si>
  <si>
    <t>④</t>
    <phoneticPr fontId="4"/>
  </si>
  <si>
    <t>青木印</t>
    <rPh sb="0" eb="2">
      <t>アオキ</t>
    </rPh>
    <rPh sb="2" eb="3">
      <t>ジルシ</t>
    </rPh>
    <phoneticPr fontId="4"/>
  </si>
  <si>
    <t>計</t>
    <rPh sb="0" eb="1">
      <t>ケイ</t>
    </rPh>
    <phoneticPr fontId="4"/>
  </si>
  <si>
    <t>⑤</t>
    <phoneticPr fontId="4"/>
  </si>
  <si>
    <t>中田印</t>
    <rPh sb="0" eb="2">
      <t>ナカタ</t>
    </rPh>
    <rPh sb="2" eb="3">
      <t>ジルシ</t>
    </rPh>
    <phoneticPr fontId="4"/>
  </si>
  <si>
    <t>マスタパス</t>
    <phoneticPr fontId="4"/>
  </si>
  <si>
    <t>小 計</t>
    <rPh sb="0" eb="1">
      <t>ショウケイ</t>
    </rPh>
    <phoneticPr fontId="4"/>
  </si>
  <si>
    <t>ﾏｽﾀ</t>
    <phoneticPr fontId="4"/>
  </si>
  <si>
    <t>ｷｯﾄ</t>
    <phoneticPr fontId="4"/>
  </si>
  <si>
    <t>御 見 積 書</t>
    <rPh sb="0" eb="1">
      <t>オ</t>
    </rPh>
    <rPh sb="2" eb="3">
      <t>ケン</t>
    </rPh>
    <rPh sb="4" eb="5">
      <t>セキ</t>
    </rPh>
    <rPh sb="6" eb="7">
      <t>ショ</t>
    </rPh>
    <phoneticPr fontId="4"/>
  </si>
  <si>
    <t>納　 品 　書</t>
    <rPh sb="0" eb="1">
      <t>オサム</t>
    </rPh>
    <rPh sb="3" eb="4">
      <t>シナ</t>
    </rPh>
    <rPh sb="6" eb="7">
      <t>ショ</t>
    </rPh>
    <phoneticPr fontId="4"/>
  </si>
  <si>
    <t>納 品 書 （控）</t>
    <rPh sb="0" eb="1">
      <t>オサム</t>
    </rPh>
    <rPh sb="2" eb="3">
      <t>シナ</t>
    </rPh>
    <rPh sb="4" eb="5">
      <t>ショ</t>
    </rPh>
    <rPh sb="7" eb="8">
      <t>ヒカエ</t>
    </rPh>
    <phoneticPr fontId="4"/>
  </si>
  <si>
    <t>請　 求 　書</t>
    <rPh sb="0" eb="1">
      <t>ショウ</t>
    </rPh>
    <rPh sb="3" eb="4">
      <t>モトム</t>
    </rPh>
    <rPh sb="6" eb="7">
      <t>ショ</t>
    </rPh>
    <phoneticPr fontId="4"/>
  </si>
  <si>
    <t>請 求 書 （控）</t>
    <rPh sb="0" eb="1">
      <t>ショウ</t>
    </rPh>
    <rPh sb="2" eb="3">
      <t>モトム</t>
    </rPh>
    <rPh sb="4" eb="5">
      <t>ショ</t>
    </rPh>
    <rPh sb="7" eb="8">
      <t>ヒカエ</t>
    </rPh>
    <phoneticPr fontId="4"/>
  </si>
  <si>
    <t xml:space="preserve">     タイトル</t>
    <phoneticPr fontId="4"/>
  </si>
  <si>
    <t>制御</t>
    <rPh sb="0" eb="2">
      <t>セイギョ</t>
    </rPh>
    <phoneticPr fontId="4"/>
  </si>
  <si>
    <t>敬称</t>
    <rPh sb="0" eb="2">
      <t>ケイショウ</t>
    </rPh>
    <phoneticPr fontId="4"/>
  </si>
  <si>
    <t>様</t>
    <rPh sb="0" eb="1">
      <t>サマ</t>
    </rPh>
    <phoneticPr fontId="4"/>
  </si>
  <si>
    <t>殿</t>
    <rPh sb="0" eb="1">
      <t>ドノ</t>
    </rPh>
    <phoneticPr fontId="4"/>
  </si>
  <si>
    <t>振込先：</t>
    <rPh sb="0" eb="2">
      <t>フリコミ</t>
    </rPh>
    <rPh sb="2" eb="3">
      <t>サキ</t>
    </rPh>
    <phoneticPr fontId="4"/>
  </si>
  <si>
    <t>名義：</t>
    <rPh sb="0" eb="2">
      <t>メイギ</t>
    </rPh>
    <phoneticPr fontId="4"/>
  </si>
  <si>
    <t>ﾏｽﾀﾊﾞｯｸｱｯﾌﾟ</t>
    <phoneticPr fontId="4"/>
  </si>
  <si>
    <t>ON</t>
  </si>
  <si>
    <t>ON</t>
    <phoneticPr fontId="4"/>
  </si>
  <si>
    <t>OFF</t>
    <phoneticPr fontId="4"/>
  </si>
  <si>
    <t>NO</t>
    <phoneticPr fontId="4"/>
  </si>
  <si>
    <t>明細NO</t>
    <rPh sb="0" eb="2">
      <t>メイサイ</t>
    </rPh>
    <phoneticPr fontId="4"/>
  </si>
  <si>
    <t>品名</t>
    <rPh sb="0" eb="2">
      <t>ヒンメイ</t>
    </rPh>
    <phoneticPr fontId="4"/>
  </si>
  <si>
    <t>数量</t>
    <rPh sb="0" eb="2">
      <t>スウリョウ</t>
    </rPh>
    <phoneticPr fontId="4"/>
  </si>
  <si>
    <t>金額</t>
    <rPh sb="0" eb="2">
      <t>キンガク</t>
    </rPh>
    <phoneticPr fontId="4"/>
  </si>
  <si>
    <t>備考</t>
    <rPh sb="0" eb="2">
      <t>ビコウ</t>
    </rPh>
    <phoneticPr fontId="4"/>
  </si>
  <si>
    <t>単価</t>
    <rPh sb="0" eb="2">
      <t>タンカ</t>
    </rPh>
    <phoneticPr fontId="4"/>
  </si>
  <si>
    <t>ﾃﾞｰﾀ保存ｼｰﾄ</t>
    <rPh sb="4" eb="6">
      <t>ホゾン</t>
    </rPh>
    <phoneticPr fontId="4"/>
  </si>
  <si>
    <t>鑑</t>
    <rPh sb="0" eb="1">
      <t>カガミ</t>
    </rPh>
    <phoneticPr fontId="4"/>
  </si>
  <si>
    <t>明細</t>
    <rPh sb="0" eb="2">
      <t>メイサイ</t>
    </rPh>
    <phoneticPr fontId="4"/>
  </si>
  <si>
    <t>データﾊﾟｽ</t>
    <phoneticPr fontId="4"/>
  </si>
  <si>
    <t>データパス</t>
    <phoneticPr fontId="4"/>
  </si>
  <si>
    <t>会社角印.gif</t>
    <phoneticPr fontId="4"/>
  </si>
  <si>
    <t>青木印.gif</t>
    <rPh sb="0" eb="2">
      <t>アオキ</t>
    </rPh>
    <rPh sb="2" eb="3">
      <t>イン</t>
    </rPh>
    <phoneticPr fontId="4"/>
  </si>
  <si>
    <t>中田印.gif</t>
    <rPh sb="0" eb="2">
      <t>ナカタ</t>
    </rPh>
    <rPh sb="2" eb="3">
      <t>イン</t>
    </rPh>
    <phoneticPr fontId="4"/>
  </si>
  <si>
    <t>CODE</t>
    <phoneticPr fontId="4"/>
  </si>
  <si>
    <t>データ保存　1.xls</t>
    <rPh sb="3" eb="5">
      <t>ホゾン</t>
    </rPh>
    <phoneticPr fontId="4"/>
  </si>
  <si>
    <t>マスタ 1.xls</t>
    <phoneticPr fontId="4"/>
  </si>
  <si>
    <t>十六銀行　柳ヶ瀬支店　普通：0777577</t>
    <phoneticPr fontId="4"/>
  </si>
  <si>
    <t>ｶ)ﾘﾝｼｭﾝﾄﾞｳ</t>
    <phoneticPr fontId="4"/>
  </si>
  <si>
    <t>林印.png</t>
    <rPh sb="0" eb="1">
      <t>ハヤシ</t>
    </rPh>
    <rPh sb="1" eb="2">
      <t>イン</t>
    </rPh>
    <phoneticPr fontId="4"/>
  </si>
  <si>
    <t>林印</t>
    <rPh sb="0" eb="1">
      <t>ハヤシ</t>
    </rPh>
    <rPh sb="1" eb="2">
      <t>イン</t>
    </rPh>
    <phoneticPr fontId="4"/>
  </si>
  <si>
    <t>佐藤印</t>
    <rPh sb="0" eb="2">
      <t>サトウ</t>
    </rPh>
    <rPh sb="2" eb="3">
      <t>イン</t>
    </rPh>
    <phoneticPr fontId="4"/>
  </si>
  <si>
    <t>佐藤.png</t>
    <rPh sb="0" eb="2">
      <t>サトウ</t>
    </rPh>
    <phoneticPr fontId="4"/>
  </si>
  <si>
    <t>C:\Documents and Settings\sato\My Documents\シンプル見積書\</t>
    <phoneticPr fontId="4"/>
  </si>
  <si>
    <t>付　属　品　名</t>
    <rPh sb="0" eb="1">
      <t>ツキ</t>
    </rPh>
    <rPh sb="2" eb="3">
      <t>ゾク</t>
    </rPh>
    <rPh sb="4" eb="5">
      <t>シナ</t>
    </rPh>
    <rPh sb="6" eb="7">
      <t>メイ</t>
    </rPh>
    <phoneticPr fontId="4"/>
  </si>
  <si>
    <t>No.</t>
    <phoneticPr fontId="4"/>
  </si>
  <si>
    <t>　FAX感熱紙(A4)</t>
    <phoneticPr fontId="4"/>
  </si>
  <si>
    <t>00-F-20-75-29-7C</t>
    <phoneticPr fontId="4"/>
  </si>
  <si>
    <t>送 料</t>
    <rPh sb="0" eb="1">
      <t>ソウ</t>
    </rPh>
    <rPh sb="2" eb="3">
      <t>リョウ</t>
    </rPh>
    <phoneticPr fontId="4"/>
  </si>
  <si>
    <t>本体装備品一覧</t>
    <rPh sb="0" eb="2">
      <t>ホンタイ</t>
    </rPh>
    <rPh sb="2" eb="5">
      <t>ソウビヒン</t>
    </rPh>
    <rPh sb="5" eb="7">
      <t>イチラン</t>
    </rPh>
    <phoneticPr fontId="4"/>
  </si>
  <si>
    <t>日</t>
    <rPh sb="0" eb="1">
      <t>ニチ</t>
    </rPh>
    <phoneticPr fontId="4"/>
  </si>
  <si>
    <t>渡し</t>
    <rPh sb="0" eb="1">
      <t>ワタ</t>
    </rPh>
    <phoneticPr fontId="4"/>
  </si>
  <si>
    <t>車上</t>
    <rPh sb="0" eb="2">
      <t>シャジョウ</t>
    </rPh>
    <phoneticPr fontId="4"/>
  </si>
  <si>
    <t>田中　健吾</t>
    <rPh sb="0" eb="2">
      <t>タナカ</t>
    </rPh>
    <phoneticPr fontId="4"/>
  </si>
  <si>
    <t>税込合計</t>
    <rPh sb="0" eb="2">
      <t>ゼイコ</t>
    </rPh>
    <rPh sb="2" eb="4">
      <t>ゴウケイ</t>
    </rPh>
    <phoneticPr fontId="4"/>
  </si>
  <si>
    <t>税別単価</t>
    <rPh sb="0" eb="2">
      <t>ゼイベツ</t>
    </rPh>
    <rPh sb="2" eb="3">
      <t>タン</t>
    </rPh>
    <rPh sb="3" eb="4">
      <t>アタイ</t>
    </rPh>
    <phoneticPr fontId="4"/>
  </si>
  <si>
    <t>別</t>
    <rPh sb="0" eb="1">
      <t>ベツ</t>
    </rPh>
    <phoneticPr fontId="4"/>
  </si>
  <si>
    <t>令和</t>
    <rPh sb="0" eb="2">
      <t>レイワ</t>
    </rPh>
    <phoneticPr fontId="4"/>
  </si>
  <si>
    <t>消費税10%</t>
    <phoneticPr fontId="4"/>
  </si>
  <si>
    <t>USBメモリー(取説・設定表・レンズ清掃方法
など)</t>
    <phoneticPr fontId="4"/>
  </si>
  <si>
    <t>一式</t>
  </si>
  <si>
    <t>見積書有効期限発効後９０日</t>
    <rPh sb="0" eb="3">
      <t>ミツモリショ</t>
    </rPh>
    <rPh sb="3" eb="7">
      <t>ユウコウキゲン</t>
    </rPh>
    <rPh sb="7" eb="10">
      <t>ハッコウゴ</t>
    </rPh>
    <rPh sb="12" eb="13">
      <t>ニチ</t>
    </rPh>
    <phoneticPr fontId="4"/>
  </si>
  <si>
    <t>工具箱内付属一覧</t>
    <rPh sb="0" eb="2">
      <t>コウグ</t>
    </rPh>
    <rPh sb="2" eb="3">
      <t>バコ</t>
    </rPh>
    <rPh sb="3" eb="4">
      <t>ウチ</t>
    </rPh>
    <rPh sb="4" eb="6">
      <t>フゾク</t>
    </rPh>
    <rPh sb="6" eb="8">
      <t>イチラン</t>
    </rPh>
    <phoneticPr fontId="4"/>
  </si>
  <si>
    <t>新品1年保証　　　</t>
    <rPh sb="0" eb="2">
      <t>シンピン</t>
    </rPh>
    <rPh sb="3" eb="6">
      <t>ネンホショウ</t>
    </rPh>
    <phoneticPr fontId="4"/>
  </si>
  <si>
    <t>定価180万円</t>
    <rPh sb="0" eb="2">
      <t>テイカ</t>
    </rPh>
    <rPh sb="5" eb="7">
      <t>マンエン</t>
    </rPh>
    <phoneticPr fontId="4"/>
  </si>
  <si>
    <t>出張セットアップ　操作講習</t>
    <rPh sb="0" eb="2">
      <t>シュッチョウ</t>
    </rPh>
    <phoneticPr fontId="4"/>
  </si>
  <si>
    <t>送料　地域別　　車上渡し</t>
    <rPh sb="5" eb="6">
      <t>ベツ</t>
    </rPh>
    <phoneticPr fontId="4"/>
  </si>
  <si>
    <t>FL2504035</t>
    <phoneticPr fontId="4"/>
  </si>
  <si>
    <t>相談</t>
    <rPh sb="0" eb="2">
      <t>ソウダン</t>
    </rPh>
    <phoneticPr fontId="4"/>
  </si>
  <si>
    <t>貴社住所車上渡し</t>
    <rPh sb="0" eb="2">
      <t>キシャ</t>
    </rPh>
    <rPh sb="2" eb="4">
      <t>ジュウショ</t>
    </rPh>
    <rPh sb="4" eb="7">
      <t>シャジョウワタ</t>
    </rPh>
    <phoneticPr fontId="4"/>
  </si>
  <si>
    <t>末締め末払い</t>
    <rPh sb="0" eb="2">
      <t>マツジ</t>
    </rPh>
    <rPh sb="3" eb="5">
      <t>マツバラ</t>
    </rPh>
    <phoneticPr fontId="4"/>
  </si>
  <si>
    <t>1台購入時</t>
    <rPh sb="1" eb="2">
      <t>ダイ</t>
    </rPh>
    <rPh sb="2" eb="4">
      <t>コウニュウ</t>
    </rPh>
    <rPh sb="4" eb="5">
      <t>ジ</t>
    </rPh>
    <phoneticPr fontId="4"/>
  </si>
  <si>
    <t>3台購入時</t>
    <rPh sb="1" eb="2">
      <t>ダイ</t>
    </rPh>
    <rPh sb="2" eb="4">
      <t>コウニュウ</t>
    </rPh>
    <rPh sb="4" eb="5">
      <t>ジ</t>
    </rPh>
    <phoneticPr fontId="4"/>
  </si>
  <si>
    <t>5台購入時</t>
    <rPh sb="1" eb="2">
      <t>ダイ</t>
    </rPh>
    <rPh sb="2" eb="4">
      <t>コウニュウ</t>
    </rPh>
    <rPh sb="4" eb="5">
      <t>ジ</t>
    </rPh>
    <phoneticPr fontId="4"/>
  </si>
  <si>
    <t>10台購入時</t>
    <rPh sb="2" eb="3">
      <t>ダイ</t>
    </rPh>
    <rPh sb="3" eb="5">
      <t>コウニュウ</t>
    </rPh>
    <rPh sb="5" eb="6">
      <t>ジ</t>
    </rPh>
    <phoneticPr fontId="4"/>
  </si>
  <si>
    <t>保護メガネ</t>
    <rPh sb="0" eb="2">
      <t>ホゴ</t>
    </rPh>
    <phoneticPr fontId="4"/>
  </si>
  <si>
    <t>個</t>
    <rPh sb="0" eb="1">
      <t>コ</t>
    </rPh>
    <phoneticPr fontId="4"/>
  </si>
  <si>
    <t>六角レンチ</t>
    <rPh sb="0" eb="2">
      <t>ロッカク</t>
    </rPh>
    <phoneticPr fontId="4"/>
  </si>
  <si>
    <t>保護レンズ</t>
    <rPh sb="0" eb="2">
      <t>ホゴ</t>
    </rPh>
    <phoneticPr fontId="4"/>
  </si>
  <si>
    <t>エアホース</t>
    <phoneticPr fontId="4"/>
  </si>
  <si>
    <t>レンズ清掃用綿棒</t>
    <rPh sb="3" eb="8">
      <t>セイソウヨウメンボウ</t>
    </rPh>
    <phoneticPr fontId="4"/>
  </si>
  <si>
    <t>本</t>
    <rPh sb="0" eb="1">
      <t>ポン</t>
    </rPh>
    <phoneticPr fontId="4"/>
  </si>
  <si>
    <t>レンズ清掃用クリーナー</t>
    <rPh sb="3" eb="6">
      <t>セイソウヨウ</t>
    </rPh>
    <phoneticPr fontId="4"/>
  </si>
  <si>
    <t>発振器接続用ケーブル</t>
    <rPh sb="0" eb="3">
      <t>ハッシンキ</t>
    </rPh>
    <rPh sb="3" eb="6">
      <t>セツゾクヨウ</t>
    </rPh>
    <phoneticPr fontId="4"/>
  </si>
  <si>
    <t>最初の納品から1ヵ月以内に全量納品</t>
    <rPh sb="0" eb="2">
      <t>サイショ</t>
    </rPh>
    <rPh sb="3" eb="5">
      <t>ノウヒン</t>
    </rPh>
    <rPh sb="9" eb="12">
      <t>ガツイナイ</t>
    </rPh>
    <rPh sb="13" eb="15">
      <t>ゼンリョウ</t>
    </rPh>
    <rPh sb="15" eb="17">
      <t>ノウヒン</t>
    </rPh>
    <phoneticPr fontId="4"/>
  </si>
  <si>
    <t>サンワ機器販売株式会社</t>
    <rPh sb="3" eb="5">
      <t>キキ</t>
    </rPh>
    <rPh sb="5" eb="7">
      <t>ハンバイ</t>
    </rPh>
    <rPh sb="7" eb="11">
      <t>カブシキガイシャ</t>
    </rPh>
    <phoneticPr fontId="4"/>
  </si>
  <si>
    <t>〒063-0849</t>
    <phoneticPr fontId="4"/>
  </si>
  <si>
    <t>札幌市西区八軒9条西11丁目2-22</t>
    <phoneticPr fontId="4"/>
  </si>
  <si>
    <t>RSD-SUNMAX-FL-CLC 洗浄機（サビ取り・焼け取り）　1500w　剥離専用</t>
    <rPh sb="39" eb="41">
      <t>ハクリ</t>
    </rPh>
    <rPh sb="41" eb="43">
      <t>センヨウ</t>
    </rPh>
    <phoneticPr fontId="4"/>
  </si>
  <si>
    <t>RSD-SUNMAX-FL-CLC 洗浄機（サビ取り・焼け取り）2000w　剥離専用</t>
    <rPh sb="38" eb="40">
      <t>ハクリ</t>
    </rPh>
    <rPh sb="40" eb="42">
      <t>センヨウ</t>
    </rPh>
    <phoneticPr fontId="4"/>
  </si>
  <si>
    <t>RSD-SUNMAX-FL-CLC 洗浄機（サビ取り・焼け取り）　2000w　剥離専用</t>
    <rPh sb="39" eb="41">
      <t>ハクリ</t>
    </rPh>
    <rPh sb="41" eb="43">
      <t>センヨウ</t>
    </rPh>
    <phoneticPr fontId="4"/>
  </si>
  <si>
    <t>RSD-SUNMAX-FL-CLC 洗浄機（サビ取り・焼け取り）　3000w　剥離専用</t>
    <rPh sb="39" eb="41">
      <t>ハクリ</t>
    </rPh>
    <rPh sb="41" eb="43">
      <t>センヨウ</t>
    </rPh>
    <phoneticPr fontId="4"/>
  </si>
  <si>
    <t>RSD-SUNMAX-FL-CLC 洗浄機（サビ取り・焼け取り）　3000w　剥離専用　　変圧器付属</t>
    <rPh sb="39" eb="41">
      <t>ハクリ</t>
    </rPh>
    <rPh sb="41" eb="43">
      <t>センヨウ</t>
    </rPh>
    <rPh sb="45" eb="50">
      <t>ヘンアツキフゾク</t>
    </rPh>
    <phoneticPr fontId="4"/>
  </si>
  <si>
    <t>定価248万円</t>
    <rPh sb="0" eb="2">
      <t>テイカ</t>
    </rPh>
    <rPh sb="5" eb="7">
      <t>マンエン</t>
    </rPh>
    <phoneticPr fontId="4"/>
  </si>
  <si>
    <t>定価348万円</t>
    <rPh sb="0" eb="2">
      <t>テイカ</t>
    </rPh>
    <rPh sb="5" eb="7">
      <t>マンエン</t>
    </rPh>
    <phoneticPr fontId="4"/>
  </si>
  <si>
    <t>2～3か月　（2kw　3kw）</t>
    <rPh sb="4" eb="5">
      <t>ゲツ</t>
    </rPh>
    <phoneticPr fontId="4"/>
  </si>
  <si>
    <t>FL2509045</t>
    <phoneticPr fontId="4"/>
  </si>
  <si>
    <t>別途　運賃　セットアップ　操作講習費別</t>
    <rPh sb="0" eb="2">
      <t>ベット</t>
    </rPh>
    <rPh sb="3" eb="5">
      <t>ウンチン</t>
    </rPh>
    <rPh sb="13" eb="19">
      <t>ソウサコウシュウヒベツ</t>
    </rPh>
    <phoneticPr fontId="4"/>
  </si>
  <si>
    <t>納品末締め末払い</t>
    <rPh sb="0" eb="2">
      <t>ノウヒン</t>
    </rPh>
    <rPh sb="2" eb="4">
      <t>マツジ</t>
    </rPh>
    <rPh sb="5" eb="7">
      <t>マツバラ</t>
    </rPh>
    <phoneticPr fontId="4"/>
  </si>
  <si>
    <t>定価298万円</t>
    <rPh sb="0" eb="2">
      <t>テイカ</t>
    </rPh>
    <rPh sb="5" eb="7">
      <t>マンエン</t>
    </rPh>
    <phoneticPr fontId="4"/>
  </si>
  <si>
    <t>送料　https://www.laser-machine.com/cspt/deli.shtml</t>
    <phoneticPr fontId="4"/>
  </si>
  <si>
    <t>RSD-SUNMAX-FL-PLC-200w　パルスレーザー</t>
    <phoneticPr fontId="4"/>
  </si>
  <si>
    <t>新品1年保証　　レンズ類　消耗品除く　センドバック修理　送料発送者負担</t>
    <rPh sb="0" eb="2">
      <t>シンピン</t>
    </rPh>
    <rPh sb="3" eb="6">
      <t>ネンホショウ</t>
    </rPh>
    <rPh sb="11" eb="12">
      <t>ルイ</t>
    </rPh>
    <rPh sb="13" eb="17">
      <t>ショウモウヒンノゾ</t>
    </rPh>
    <rPh sb="25" eb="27">
      <t>シュウリ</t>
    </rPh>
    <rPh sb="28" eb="30">
      <t>ソウリョウ</t>
    </rPh>
    <rPh sb="30" eb="33">
      <t>ハッソウシャ</t>
    </rPh>
    <rPh sb="33" eb="35">
      <t>フタン</t>
    </rPh>
    <phoneticPr fontId="4"/>
  </si>
  <si>
    <t>〒160-8511</t>
    <phoneticPr fontId="4"/>
  </si>
  <si>
    <t>東京都新宿区四谷4-1</t>
    <rPh sb="0" eb="3">
      <t>トウキョウト</t>
    </rPh>
    <rPh sb="3" eb="6">
      <t>シンジュクク</t>
    </rPh>
    <rPh sb="6" eb="8">
      <t>ヨツヤ</t>
    </rPh>
    <phoneticPr fontId="4"/>
  </si>
  <si>
    <t>大塚刷毛製造株式会社</t>
    <phoneticPr fontId="4"/>
  </si>
  <si>
    <t>FL2602105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</si>
</sst>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¥&quot;#,##0.00;&quot;¥&quot;\-#,##0.00"/>
    <numFmt numFmtId="176" formatCode="&quot;¥&quot;#,##0;&quot;¥&quot;\-#,##0;"/>
    <numFmt numFmtId="177" formatCode="#,##0;&quot;△ &quot;#,##0"/>
    <numFmt numFmtId="178" formatCode="&quot;¥&quot;#,##0;&quot;¥&quot;\-##,##0;"/>
    <numFmt numFmtId="179" formatCode="#,##0_);[Red]\(#,##0\)"/>
    <numFmt numFmtId="180" formatCode="[Black]0;[Black]\-0;[White]0;[Black]@"/>
    <numFmt numFmtId="181" formatCode="#,##0;&quot;△ &quot;#,##0;"/>
  </numFmts>
  <fonts count="32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24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Ｐゴシック"/>
      <family val="3"/>
      <charset val="128"/>
    </font>
    <font>
      <sz val="11"/>
      <color indexed="22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008000"/>
      <name val="ＭＳ Ｐゴシック"/>
      <family val="3"/>
      <charset val="128"/>
    </font>
    <font>
      <sz val="9"/>
      <color rgb="FF000080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sz val="8"/>
      <color theme="0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b/>
      <i/>
      <sz val="22"/>
      <color theme="0"/>
      <name val="ＭＳ Ｐゴシック"/>
      <family val="3"/>
      <charset val="128"/>
    </font>
    <font>
      <b/>
      <sz val="16"/>
      <color theme="0"/>
      <name val="ＭＳ Ｐゴシック"/>
      <family val="3"/>
      <charset val="128"/>
    </font>
    <font>
      <sz val="14"/>
      <color theme="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3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thick">
        <color indexed="64"/>
      </bottom>
      <diagonal/>
    </border>
    <border>
      <left/>
      <right/>
      <top style="dashed">
        <color indexed="64"/>
      </top>
      <bottom style="thick">
        <color indexed="64"/>
      </bottom>
      <diagonal/>
    </border>
    <border>
      <left/>
      <right style="medium">
        <color indexed="64"/>
      </right>
      <top style="dashed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>
      <alignment vertical="top"/>
      <protection locked="0"/>
    </xf>
  </cellStyleXfs>
  <cellXfs count="231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right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0" fillId="0" borderId="2" xfId="0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3" borderId="4" xfId="0" applyFont="1" applyFill="1" applyBorder="1" applyAlignment="1" applyProtection="1">
      <alignment horizontal="left"/>
      <protection locked="0"/>
    </xf>
    <xf numFmtId="0" fontId="2" fillId="3" borderId="5" xfId="0" applyFont="1" applyFill="1" applyBorder="1" applyAlignment="1" applyProtection="1">
      <alignment horizontal="center"/>
      <protection locked="0"/>
    </xf>
    <xf numFmtId="0" fontId="14" fillId="3" borderId="5" xfId="0" applyFont="1" applyFill="1" applyBorder="1"/>
    <xf numFmtId="0" fontId="2" fillId="3" borderId="3" xfId="0" applyFont="1" applyFill="1" applyBorder="1" applyAlignment="1" applyProtection="1">
      <alignment horizontal="left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5" xfId="0" applyFont="1" applyFill="1" applyBorder="1"/>
    <xf numFmtId="176" fontId="12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vertical="center"/>
    </xf>
    <xf numFmtId="0" fontId="16" fillId="0" borderId="0" xfId="0" applyFont="1" applyAlignment="1">
      <alignment wrapText="1"/>
    </xf>
    <xf numFmtId="0" fontId="16" fillId="0" borderId="0" xfId="0" applyFont="1"/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0" fontId="2" fillId="4" borderId="4" xfId="0" applyFont="1" applyFill="1" applyBorder="1"/>
    <xf numFmtId="0" fontId="2" fillId="4" borderId="6" xfId="0" applyFont="1" applyFill="1" applyBorder="1"/>
    <xf numFmtId="0" fontId="2" fillId="4" borderId="5" xfId="0" applyFont="1" applyFill="1" applyBorder="1"/>
    <xf numFmtId="0" fontId="2" fillId="3" borderId="4" xfId="0" applyFont="1" applyFill="1" applyBorder="1"/>
    <xf numFmtId="0" fontId="2" fillId="3" borderId="6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2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11" xfId="0" applyFill="1" applyBorder="1"/>
    <xf numFmtId="0" fontId="0" fillId="2" borderId="12" xfId="0" applyFill="1" applyBorder="1"/>
    <xf numFmtId="0" fontId="1" fillId="0" borderId="3" xfId="0" applyFont="1" applyBorder="1"/>
    <xf numFmtId="0" fontId="0" fillId="4" borderId="3" xfId="0" applyFill="1" applyBorder="1"/>
    <xf numFmtId="0" fontId="2" fillId="2" borderId="0" xfId="0" applyFont="1" applyFill="1" applyAlignment="1">
      <alignment horizontal="left" vertical="center"/>
    </xf>
    <xf numFmtId="0" fontId="13" fillId="2" borderId="0" xfId="0" applyFont="1" applyFill="1"/>
    <xf numFmtId="0" fontId="2" fillId="2" borderId="0" xfId="0" applyFont="1" applyFill="1" applyAlignment="1" applyProtection="1">
      <alignment horizontal="left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14" fillId="2" borderId="0" xfId="0" applyFont="1" applyFill="1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/>
    </xf>
    <xf numFmtId="181" fontId="2" fillId="3" borderId="4" xfId="0" applyNumberFormat="1" applyFont="1" applyFill="1" applyBorder="1" applyAlignment="1" applyProtection="1">
      <alignment horizontal="left"/>
      <protection locked="0"/>
    </xf>
    <xf numFmtId="0" fontId="1" fillId="0" borderId="0" xfId="0" applyFont="1"/>
    <xf numFmtId="0" fontId="10" fillId="0" borderId="0" xfId="0" applyFont="1"/>
    <xf numFmtId="177" fontId="0" fillId="0" borderId="0" xfId="0" applyNumberFormat="1"/>
    <xf numFmtId="0" fontId="0" fillId="4" borderId="3" xfId="0" applyFill="1" applyBorder="1" applyAlignment="1">
      <alignment horizontal="center"/>
    </xf>
    <xf numFmtId="0" fontId="0" fillId="0" borderId="3" xfId="0" applyBorder="1"/>
    <xf numFmtId="181" fontId="0" fillId="0" borderId="3" xfId="0" applyNumberFormat="1" applyBorder="1"/>
    <xf numFmtId="0" fontId="3" fillId="2" borderId="0" xfId="0" applyFont="1" applyFill="1" applyAlignment="1">
      <alignment horizontal="right" wrapText="1"/>
    </xf>
    <xf numFmtId="7" fontId="0" fillId="2" borderId="0" xfId="0" applyNumberFormat="1" applyFill="1"/>
    <xf numFmtId="7" fontId="0" fillId="0" borderId="0" xfId="0" applyNumberFormat="1" applyAlignment="1">
      <alignment horizontal="center" vertical="center"/>
    </xf>
    <xf numFmtId="7" fontId="0" fillId="0" borderId="0" xfId="0" applyNumberFormat="1"/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17" fillId="0" borderId="0" xfId="1" applyAlignment="1" applyProtection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5" fillId="0" borderId="0" xfId="0" applyFont="1"/>
    <xf numFmtId="0" fontId="0" fillId="0" borderId="1" xfId="0" applyBorder="1" applyAlignment="1">
      <alignment vertical="center"/>
    </xf>
    <xf numFmtId="0" fontId="15" fillId="2" borderId="0" xfId="0" applyFont="1" applyFill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176" fontId="29" fillId="0" borderId="0" xfId="0" applyNumberFormat="1" applyFont="1" applyAlignment="1">
      <alignment horizontal="right"/>
    </xf>
    <xf numFmtId="49" fontId="10" fillId="0" borderId="0" xfId="0" applyNumberFormat="1" applyFont="1" applyAlignment="1">
      <alignment horizontal="left" vertical="center" wrapText="1"/>
    </xf>
    <xf numFmtId="49" fontId="10" fillId="0" borderId="0" xfId="0" applyNumberFormat="1" applyFont="1" applyAlignment="1">
      <alignment horizontal="left" vertical="center"/>
    </xf>
    <xf numFmtId="0" fontId="11" fillId="0" borderId="0" xfId="1" applyFont="1" applyAlignment="1" applyProtection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14" fontId="0" fillId="0" borderId="1" xfId="0" applyNumberForma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6" fillId="0" borderId="0" xfId="0" applyFont="1" applyAlignment="1">
      <alignment horizontal="right"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right" vertical="center"/>
    </xf>
    <xf numFmtId="0" fontId="0" fillId="4" borderId="17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181" fontId="15" fillId="0" borderId="24" xfId="0" applyNumberFormat="1" applyFont="1" applyBorder="1" applyAlignment="1">
      <alignment horizontal="left" vertical="center" wrapText="1"/>
    </xf>
    <xf numFmtId="181" fontId="15" fillId="0" borderId="6" xfId="0" applyNumberFormat="1" applyFont="1" applyBorder="1" applyAlignment="1">
      <alignment horizontal="left" vertical="center" wrapText="1"/>
    </xf>
    <xf numFmtId="181" fontId="15" fillId="0" borderId="5" xfId="0" applyNumberFormat="1" applyFont="1" applyBorder="1" applyAlignment="1">
      <alignment horizontal="left" vertical="center" wrapText="1"/>
    </xf>
    <xf numFmtId="181" fontId="9" fillId="0" borderId="7" xfId="0" applyNumberFormat="1" applyFont="1" applyBorder="1" applyAlignment="1">
      <alignment horizontal="right" vertical="center"/>
    </xf>
    <xf numFmtId="181" fontId="9" fillId="0" borderId="8" xfId="0" applyNumberFormat="1" applyFont="1" applyBorder="1" applyAlignment="1">
      <alignment horizontal="right" vertical="center"/>
    </xf>
    <xf numFmtId="181" fontId="0" fillId="0" borderId="8" xfId="0" applyNumberFormat="1" applyBorder="1" applyAlignment="1">
      <alignment horizontal="left" vertical="center"/>
    </xf>
    <xf numFmtId="181" fontId="0" fillId="0" borderId="9" xfId="0" applyNumberFormat="1" applyBorder="1" applyAlignment="1">
      <alignment horizontal="left" vertical="center"/>
    </xf>
    <xf numFmtId="181" fontId="9" fillId="0" borderId="9" xfId="0" applyNumberFormat="1" applyFont="1" applyBorder="1" applyAlignment="1">
      <alignment horizontal="right" vertical="center"/>
    </xf>
    <xf numFmtId="181" fontId="11" fillId="0" borderId="4" xfId="0" applyNumberFormat="1" applyFont="1" applyBorder="1" applyAlignment="1">
      <alignment horizontal="left" vertical="center" wrapText="1"/>
    </xf>
    <xf numFmtId="181" fontId="11" fillId="0" borderId="6" xfId="0" applyNumberFormat="1" applyFont="1" applyBorder="1" applyAlignment="1">
      <alignment horizontal="left" vertical="center" wrapText="1"/>
    </xf>
    <xf numFmtId="181" fontId="11" fillId="0" borderId="19" xfId="0" applyNumberFormat="1" applyFont="1" applyBorder="1" applyAlignment="1">
      <alignment horizontal="left" vertical="center" wrapText="1"/>
    </xf>
    <xf numFmtId="0" fontId="30" fillId="0" borderId="0" xfId="0" applyFont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176" fontId="29" fillId="0" borderId="0" xfId="0" applyNumberFormat="1" applyFont="1" applyAlignment="1">
      <alignment horizontal="right" vertical="center"/>
    </xf>
    <xf numFmtId="176" fontId="29" fillId="0" borderId="18" xfId="0" applyNumberFormat="1" applyFont="1" applyBorder="1" applyAlignment="1">
      <alignment horizontal="right" vertical="center"/>
    </xf>
    <xf numFmtId="0" fontId="10" fillId="0" borderId="0" xfId="0" applyFont="1" applyAlignment="1">
      <alignment horizontal="left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181" fontId="9" fillId="0" borderId="4" xfId="0" applyNumberFormat="1" applyFont="1" applyBorder="1" applyAlignment="1">
      <alignment horizontal="left" vertical="center" wrapText="1"/>
    </xf>
    <xf numFmtId="181" fontId="9" fillId="0" borderId="6" xfId="0" applyNumberFormat="1" applyFont="1" applyBorder="1" applyAlignment="1">
      <alignment horizontal="left" vertical="center" wrapText="1"/>
    </xf>
    <xf numFmtId="181" fontId="9" fillId="0" borderId="19" xfId="0" applyNumberFormat="1" applyFont="1" applyBorder="1" applyAlignment="1">
      <alignment horizontal="left" vertical="center" wrapText="1"/>
    </xf>
    <xf numFmtId="0" fontId="0" fillId="4" borderId="2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176" fontId="31" fillId="0" borderId="7" xfId="0" applyNumberFormat="1" applyFont="1" applyBorder="1" applyAlignment="1">
      <alignment horizontal="right" vertical="center"/>
    </xf>
    <xf numFmtId="176" fontId="31" fillId="0" borderId="8" xfId="0" applyNumberFormat="1" applyFont="1" applyBorder="1" applyAlignment="1">
      <alignment horizontal="right" vertical="center"/>
    </xf>
    <xf numFmtId="176" fontId="31" fillId="0" borderId="9" xfId="0" applyNumberFormat="1" applyFont="1" applyBorder="1" applyAlignment="1">
      <alignment horizontal="right" vertical="center"/>
    </xf>
    <xf numFmtId="0" fontId="0" fillId="4" borderId="7" xfId="0" applyFill="1" applyBorder="1" applyAlignment="1">
      <alignment horizontal="center" vertical="center"/>
    </xf>
    <xf numFmtId="181" fontId="31" fillId="0" borderId="7" xfId="0" applyNumberFormat="1" applyFont="1" applyBorder="1" applyAlignment="1">
      <alignment horizontal="right" vertical="center"/>
    </xf>
    <xf numFmtId="181" fontId="31" fillId="0" borderId="8" xfId="0" applyNumberFormat="1" applyFont="1" applyBorder="1" applyAlignment="1">
      <alignment horizontal="right" vertical="center"/>
    </xf>
    <xf numFmtId="181" fontId="31" fillId="0" borderId="9" xfId="0" applyNumberFormat="1" applyFont="1" applyBorder="1" applyAlignment="1">
      <alignment horizontal="right" vertical="center"/>
    </xf>
    <xf numFmtId="0" fontId="1" fillId="5" borderId="7" xfId="0" applyFont="1" applyFill="1" applyBorder="1" applyAlignment="1">
      <alignment horizontal="left" vertical="center" wrapText="1"/>
    </xf>
    <xf numFmtId="0" fontId="1" fillId="5" borderId="8" xfId="0" applyFont="1" applyFill="1" applyBorder="1" applyAlignment="1">
      <alignment horizontal="left" vertical="center" wrapText="1"/>
    </xf>
    <xf numFmtId="0" fontId="1" fillId="5" borderId="23" xfId="0" applyFont="1" applyFill="1" applyBorder="1" applyAlignment="1">
      <alignment horizontal="left" vertical="center" wrapText="1"/>
    </xf>
    <xf numFmtId="0" fontId="0" fillId="4" borderId="28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78" fontId="30" fillId="0" borderId="20" xfId="0" applyNumberFormat="1" applyFont="1" applyBorder="1" applyAlignment="1">
      <alignment horizontal="right" vertical="center"/>
    </xf>
    <xf numFmtId="178" fontId="30" fillId="0" borderId="21" xfId="0" applyNumberFormat="1" applyFont="1" applyBorder="1" applyAlignment="1">
      <alignment horizontal="right" vertical="center"/>
    </xf>
    <xf numFmtId="178" fontId="30" fillId="0" borderId="29" xfId="0" applyNumberFormat="1" applyFont="1" applyBorder="1" applyAlignment="1">
      <alignment horizontal="right" vertical="center"/>
    </xf>
    <xf numFmtId="0" fontId="1" fillId="0" borderId="20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0" fillId="2" borderId="0" xfId="0" applyFill="1" applyAlignment="1">
      <alignment horizontal="right" vertical="center"/>
    </xf>
    <xf numFmtId="179" fontId="0" fillId="2" borderId="0" xfId="0" applyNumberFormat="1" applyFill="1" applyAlignment="1">
      <alignment horizontal="right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 vertical="center"/>
    </xf>
    <xf numFmtId="0" fontId="15" fillId="0" borderId="30" xfId="0" applyFont="1" applyBorder="1" applyAlignment="1">
      <alignment horizontal="center"/>
    </xf>
    <xf numFmtId="0" fontId="15" fillId="0" borderId="31" xfId="0" applyFont="1" applyBorder="1" applyAlignment="1">
      <alignment horizontal="center"/>
    </xf>
    <xf numFmtId="0" fontId="15" fillId="0" borderId="31" xfId="0" applyFont="1" applyBorder="1" applyAlignment="1">
      <alignment horizontal="left"/>
    </xf>
    <xf numFmtId="0" fontId="15" fillId="0" borderId="32" xfId="0" applyFont="1" applyBorder="1" applyAlignment="1">
      <alignment horizontal="left"/>
    </xf>
    <xf numFmtId="0" fontId="15" fillId="0" borderId="36" xfId="1" applyFont="1" applyBorder="1" applyAlignment="1" applyProtection="1">
      <alignment horizontal="left" wrapText="1"/>
    </xf>
    <xf numFmtId="0" fontId="15" fillId="0" borderId="37" xfId="0" applyFont="1" applyBorder="1" applyAlignment="1">
      <alignment horizontal="left"/>
    </xf>
    <xf numFmtId="0" fontId="15" fillId="0" borderId="38" xfId="0" applyFont="1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35" xfId="0" applyBorder="1" applyAlignment="1">
      <alignment horizontal="left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  <protection hidden="1"/>
    </xf>
    <xf numFmtId="0" fontId="2" fillId="2" borderId="0" xfId="0" applyFont="1" applyFill="1" applyAlignment="1">
      <alignment horizontal="left"/>
    </xf>
    <xf numFmtId="0" fontId="13" fillId="2" borderId="0" xfId="0" applyFont="1" applyFill="1" applyAlignment="1">
      <alignment horizontal="center"/>
    </xf>
    <xf numFmtId="0" fontId="0" fillId="4" borderId="3" xfId="0" applyFill="1" applyBorder="1" applyAlignment="1">
      <alignment horizontal="right" vertical="center"/>
    </xf>
    <xf numFmtId="179" fontId="0" fillId="3" borderId="3" xfId="0" applyNumberFormat="1" applyFill="1" applyBorder="1" applyAlignment="1">
      <alignment horizontal="right"/>
    </xf>
    <xf numFmtId="0" fontId="2" fillId="3" borderId="3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15" fillId="0" borderId="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49" fontId="17" fillId="2" borderId="0" xfId="1" applyNumberFormat="1" applyFill="1" applyBorder="1" applyAlignment="1" applyProtection="1">
      <alignment horizontal="left" vertical="center"/>
    </xf>
    <xf numFmtId="49" fontId="11" fillId="2" borderId="0" xfId="0" applyNumberFormat="1" applyFont="1" applyFill="1" applyAlignment="1">
      <alignment horizontal="left" vertical="center"/>
    </xf>
    <xf numFmtId="0" fontId="0" fillId="4" borderId="4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0" fontId="15" fillId="6" borderId="4" xfId="0" applyFont="1" applyFill="1" applyBorder="1" applyAlignment="1">
      <alignment horizontal="left" vertical="center"/>
    </xf>
    <xf numFmtId="0" fontId="15" fillId="6" borderId="6" xfId="0" applyFont="1" applyFill="1" applyBorder="1" applyAlignment="1">
      <alignment horizontal="left" vertical="center"/>
    </xf>
    <xf numFmtId="0" fontId="15" fillId="6" borderId="5" xfId="0" applyFont="1" applyFill="1" applyBorder="1" applyAlignment="1">
      <alignment horizontal="left" vertical="center"/>
    </xf>
    <xf numFmtId="0" fontId="2" fillId="4" borderId="3" xfId="0" applyFont="1" applyFill="1" applyBorder="1" applyAlignment="1" applyProtection="1">
      <alignment horizontal="center" vertical="center"/>
      <protection hidden="1"/>
    </xf>
    <xf numFmtId="0" fontId="2" fillId="3" borderId="3" xfId="0" applyFont="1" applyFill="1" applyBorder="1" applyAlignment="1">
      <alignment horizontal="left"/>
    </xf>
    <xf numFmtId="0" fontId="15" fillId="4" borderId="3" xfId="0" applyFont="1" applyFill="1" applyBorder="1" applyAlignment="1">
      <alignment horizontal="center" vertical="center"/>
    </xf>
    <xf numFmtId="49" fontId="17" fillId="0" borderId="3" xfId="1" applyNumberFormat="1" applyFill="1" applyBorder="1" applyAlignment="1" applyProtection="1">
      <alignment horizontal="left" vertical="center"/>
    </xf>
    <xf numFmtId="49" fontId="11" fillId="0" borderId="3" xfId="0" applyNumberFormat="1" applyFont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8" xfId="0" applyBorder="1" applyAlignment="1">
      <alignment horizontal="left" vertical="center"/>
    </xf>
    <xf numFmtId="180" fontId="0" fillId="0" borderId="1" xfId="0" applyNumberFormat="1" applyBorder="1" applyAlignment="1">
      <alignment horizontal="right" vertical="center"/>
    </xf>
    <xf numFmtId="181" fontId="0" fillId="0" borderId="24" xfId="0" applyNumberFormat="1" applyBorder="1" applyAlignment="1">
      <alignment horizontal="left" vertical="center" wrapText="1"/>
    </xf>
    <xf numFmtId="181" fontId="0" fillId="0" borderId="6" xfId="0" applyNumberFormat="1" applyBorder="1" applyAlignment="1">
      <alignment horizontal="left" vertical="center" wrapText="1"/>
    </xf>
    <xf numFmtId="181" fontId="0" fillId="0" borderId="5" xfId="0" applyNumberFormat="1" applyBorder="1" applyAlignment="1">
      <alignment horizontal="left" vertical="center" wrapText="1"/>
    </xf>
    <xf numFmtId="181" fontId="10" fillId="0" borderId="4" xfId="0" applyNumberFormat="1" applyFont="1" applyBorder="1" applyAlignment="1">
      <alignment horizontal="left" vertical="center" wrapText="1"/>
    </xf>
    <xf numFmtId="181" fontId="10" fillId="0" borderId="6" xfId="0" applyNumberFormat="1" applyFont="1" applyBorder="1" applyAlignment="1">
      <alignment horizontal="left" vertical="center" wrapText="1"/>
    </xf>
    <xf numFmtId="181" fontId="10" fillId="0" borderId="19" xfId="0" applyNumberFormat="1" applyFont="1" applyBorder="1" applyAlignment="1">
      <alignment horizontal="left" vertical="center" wrapText="1"/>
    </xf>
    <xf numFmtId="176" fontId="5" fillId="0" borderId="39" xfId="0" applyNumberFormat="1" applyFont="1" applyBorder="1" applyAlignment="1">
      <alignment horizontal="right" vertical="center"/>
    </xf>
    <xf numFmtId="176" fontId="5" fillId="0" borderId="18" xfId="0" applyNumberFormat="1" applyFont="1" applyBorder="1" applyAlignment="1">
      <alignment horizontal="right" vertical="center"/>
    </xf>
    <xf numFmtId="0" fontId="1" fillId="0" borderId="39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40" xfId="0" applyFont="1" applyBorder="1" applyAlignment="1">
      <alignment horizontal="left" vertical="center" wrapText="1"/>
    </xf>
    <xf numFmtId="181" fontId="17" fillId="0" borderId="3" xfId="1" applyNumberFormat="1" applyFill="1" applyBorder="1" applyAlignment="1" applyProtection="1">
      <alignment horizontal="left" vertical="center"/>
    </xf>
    <xf numFmtId="181" fontId="11" fillId="0" borderId="3" xfId="0" applyNumberFormat="1" applyFont="1" applyBorder="1" applyAlignment="1">
      <alignment horizontal="left" vertical="center"/>
    </xf>
    <xf numFmtId="181" fontId="9" fillId="0" borderId="4" xfId="0" applyNumberFormat="1" applyFont="1" applyBorder="1" applyAlignment="1">
      <alignment horizontal="right" vertical="center"/>
    </xf>
    <xf numFmtId="181" fontId="9" fillId="0" borderId="6" xfId="0" applyNumberFormat="1" applyFont="1" applyBorder="1" applyAlignment="1">
      <alignment horizontal="right" vertical="center"/>
    </xf>
    <xf numFmtId="181" fontId="9" fillId="0" borderId="5" xfId="0" applyNumberFormat="1" applyFont="1" applyBorder="1" applyAlignment="1">
      <alignment horizontal="right" vertical="center"/>
    </xf>
    <xf numFmtId="181" fontId="1" fillId="0" borderId="4" xfId="0" applyNumberFormat="1" applyFont="1" applyBorder="1" applyAlignment="1">
      <alignment horizontal="left" vertical="center" wrapText="1"/>
    </xf>
    <xf numFmtId="181" fontId="1" fillId="0" borderId="6" xfId="0" applyNumberFormat="1" applyFont="1" applyBorder="1" applyAlignment="1">
      <alignment horizontal="left" vertical="center" wrapText="1"/>
    </xf>
    <xf numFmtId="181" fontId="1" fillId="0" borderId="19" xfId="0" applyNumberFormat="1" applyFont="1" applyBorder="1" applyAlignment="1">
      <alignment horizontal="left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Button" lockText="1"/>
</file>

<file path=xl/ctrlProps/ctrlProp32.xml><?xml version="1.0" encoding="utf-8"?>
<formControlPr xmlns="http://schemas.microsoft.com/office/spreadsheetml/2009/9/main" objectType="Button" lockText="1"/>
</file>

<file path=xl/ctrlProps/ctrlProp33.xml><?xml version="1.0" encoding="utf-8"?>
<formControlPr xmlns="http://schemas.microsoft.com/office/spreadsheetml/2009/9/main" objectType="Button" lockText="1"/>
</file>

<file path=xl/ctrlProps/ctrlProp34.xml><?xml version="1.0" encoding="utf-8"?>
<formControlPr xmlns="http://schemas.microsoft.com/office/spreadsheetml/2009/9/main" objectType="Button" lockText="1"/>
</file>

<file path=xl/ctrlProps/ctrlProp35.xml><?xml version="1.0" encoding="utf-8"?>
<formControlPr xmlns="http://schemas.microsoft.com/office/spreadsheetml/2009/9/main" objectType="Button" lockText="1"/>
</file>

<file path=xl/ctrlProps/ctrlProp36.xml><?xml version="1.0" encoding="utf-8"?>
<formControlPr xmlns="http://schemas.microsoft.com/office/spreadsheetml/2009/9/main" objectType="Button" lockText="1"/>
</file>

<file path=xl/ctrlProps/ctrlProp37.xml><?xml version="1.0" encoding="utf-8"?>
<formControlPr xmlns="http://schemas.microsoft.com/office/spreadsheetml/2009/9/main" objectType="Button" lockText="1"/>
</file>

<file path=xl/ctrlProps/ctrlProp38.xml><?xml version="1.0" encoding="utf-8"?>
<formControlPr xmlns="http://schemas.microsoft.com/office/spreadsheetml/2009/9/main" objectType="Button" lockText="1"/>
</file>

<file path=xl/ctrlProps/ctrlProp39.xml><?xml version="1.0" encoding="utf-8"?>
<formControlPr xmlns="http://schemas.microsoft.com/office/spreadsheetml/2009/9/main" objectType="Button" lockText="1"/>
</file>

<file path=xl/ctrlProps/ctrlProp40.xml><?xml version="1.0" encoding="utf-8"?>
<formControlPr xmlns="http://schemas.microsoft.com/office/spreadsheetml/2009/9/main" objectType="Button" lockText="1"/>
</file>

<file path=xl/ctrlProps/ctrlProp41.xml><?xml version="1.0" encoding="utf-8"?>
<formControlPr xmlns="http://schemas.microsoft.com/office/spreadsheetml/2009/9/main" objectType="Button" lockText="1"/>
</file>

<file path=xl/ctrlProps/ctrlProp42.xml><?xml version="1.0" encoding="utf-8"?>
<formControlPr xmlns="http://schemas.microsoft.com/office/spreadsheetml/2009/9/main" objectType="Button" lockText="1"/>
</file>

<file path=xl/ctrlProps/ctrlProp43.xml><?xml version="1.0" encoding="utf-8"?>
<formControlPr xmlns="http://schemas.microsoft.com/office/spreadsheetml/2009/9/main" objectType="Button" lockText="1"/>
</file>

<file path=xl/ctrlProps/ctrlProp44.xml><?xml version="1.0" encoding="utf-8"?>
<formControlPr xmlns="http://schemas.microsoft.com/office/spreadsheetml/2009/9/main" objectType="Button" lockText="1"/>
</file>

<file path=xl/ctrlProps/ctrlProp45.xml><?xml version="1.0" encoding="utf-8"?>
<formControlPr xmlns="http://schemas.microsoft.com/office/spreadsheetml/2009/9/main" objectType="Button" lockText="1"/>
</file>

<file path=xl/ctrlProps/ctrlProp46.xml><?xml version="1.0" encoding="utf-8"?>
<formControlPr xmlns="http://schemas.microsoft.com/office/spreadsheetml/2009/9/main" objectType="Button" lockText="1"/>
</file>

<file path=xl/ctrlProps/ctrlProp47.xml><?xml version="1.0" encoding="utf-8"?>
<formControlPr xmlns="http://schemas.microsoft.com/office/spreadsheetml/2009/9/main" objectType="Button" lockText="1"/>
</file>

<file path=xl/ctrlProps/ctrlProp48.xml><?xml version="1.0" encoding="utf-8"?>
<formControlPr xmlns="http://schemas.microsoft.com/office/spreadsheetml/2009/9/main" objectType="Button" lockText="1"/>
</file>

<file path=xl/ctrlProps/ctrlProp49.xml><?xml version="1.0" encoding="utf-8"?>
<formControlPr xmlns="http://schemas.microsoft.com/office/spreadsheetml/2009/9/main" objectType="Button" lockText="1"/>
</file>

<file path=xl/ctrlProps/ctrlProp50.xml><?xml version="1.0" encoding="utf-8"?>
<formControlPr xmlns="http://schemas.microsoft.com/office/spreadsheetml/2009/9/main" objectType="Button" lockText="1"/>
</file>

<file path=xl/ctrlProps/ctrlProp51.xml><?xml version="1.0" encoding="utf-8"?>
<formControlPr xmlns="http://schemas.microsoft.com/office/spreadsheetml/2009/9/main" objectType="Button" lockText="1"/>
</file>

<file path=xl/ctrlProps/ctrlProp52.xml><?xml version="1.0" encoding="utf-8"?>
<formControlPr xmlns="http://schemas.microsoft.com/office/spreadsheetml/2009/9/main" objectType="Button" lockText="1"/>
</file>

<file path=xl/ctrlProps/ctrlProp53.xml><?xml version="1.0" encoding="utf-8"?>
<formControlPr xmlns="http://schemas.microsoft.com/office/spreadsheetml/2009/9/main" objectType="Button" lockText="1"/>
</file>

<file path=xl/ctrlProps/ctrlProp54.xml><?xml version="1.0" encoding="utf-8"?>
<formControlPr xmlns="http://schemas.microsoft.com/office/spreadsheetml/2009/9/main" objectType="Button" lockText="1"/>
</file>

<file path=xl/ctrlProps/ctrlProp55.xml><?xml version="1.0" encoding="utf-8"?>
<formControlPr xmlns="http://schemas.microsoft.com/office/spreadsheetml/2009/9/main" objectType="Button" lockText="1"/>
</file>

<file path=xl/ctrlProps/ctrlProp56.xml><?xml version="1.0" encoding="utf-8"?>
<formControlPr xmlns="http://schemas.microsoft.com/office/spreadsheetml/2009/9/main" objectType="Button" lockText="1"/>
</file>

<file path=xl/ctrlProps/ctrlProp57.xml><?xml version="1.0" encoding="utf-8"?>
<formControlPr xmlns="http://schemas.microsoft.com/office/spreadsheetml/2009/9/main" objectType="Button" lockText="1"/>
</file>

<file path=xl/ctrlProps/ctrlProp58.xml><?xml version="1.0" encoding="utf-8"?>
<formControlPr xmlns="http://schemas.microsoft.com/office/spreadsheetml/2009/9/main" objectType="Button" lockText="1"/>
</file>

<file path=xl/ctrlProps/ctrlProp59.xml><?xml version="1.0" encoding="utf-8"?>
<formControlPr xmlns="http://schemas.microsoft.com/office/spreadsheetml/2009/9/main" objectType="Button" lockText="1"/>
</file>

<file path=xl/ctrlProps/ctrlProp60.xml><?xml version="1.0" encoding="utf-8"?>
<formControlPr xmlns="http://schemas.microsoft.com/office/spreadsheetml/2009/9/main" objectType="Button" lockText="1"/>
</file>

<file path=xl/ctrlProps/ctrlProp61.xml><?xml version="1.0" encoding="utf-8"?>
<formControlPr xmlns="http://schemas.microsoft.com/office/spreadsheetml/2009/9/main" objectType="Button" lockText="1"/>
</file>

<file path=xl/ctrlProps/ctrlProp62.xml><?xml version="1.0" encoding="utf-8"?>
<formControlPr xmlns="http://schemas.microsoft.com/office/spreadsheetml/2009/9/main" objectType="Button" lockText="1"/>
</file>

<file path=xl/ctrlProps/ctrlProp63.xml><?xml version="1.0" encoding="utf-8"?>
<formControlPr xmlns="http://schemas.microsoft.com/office/spreadsheetml/2009/9/main" objectType="Button" lockText="1"/>
</file>

<file path=xl/ctrlProps/ctrlProp64.xml><?xml version="1.0" encoding="utf-8"?>
<formControlPr xmlns="http://schemas.microsoft.com/office/spreadsheetml/2009/9/main" objectType="Button" lockText="1"/>
</file>

<file path=xl/ctrlProps/ctrlProp65.xml><?xml version="1.0" encoding="utf-8"?>
<formControlPr xmlns="http://schemas.microsoft.com/office/spreadsheetml/2009/9/main" objectType="Button" lockText="1"/>
</file>

<file path=xl/ctrlProps/ctrlProp66.xml><?xml version="1.0" encoding="utf-8"?>
<formControlPr xmlns="http://schemas.microsoft.com/office/spreadsheetml/2009/9/main" objectType="Button" lockText="1"/>
</file>

<file path=xl/ctrlProps/ctrlProp67.xml><?xml version="1.0" encoding="utf-8"?>
<formControlPr xmlns="http://schemas.microsoft.com/office/spreadsheetml/2009/9/main" objectType="Button" lockText="1"/>
</file>

<file path=xl/ctrlProps/ctrlProp68.xml><?xml version="1.0" encoding="utf-8"?>
<formControlPr xmlns="http://schemas.microsoft.com/office/spreadsheetml/2009/9/main" objectType="Button" lockText="1"/>
</file>

<file path=xl/ctrlProps/ctrlProp69.xml><?xml version="1.0" encoding="utf-8"?>
<formControlPr xmlns="http://schemas.microsoft.com/office/spreadsheetml/2009/9/main" objectType="Button" lockText="1"/>
</file>

<file path=xl/ctrlProps/ctrlProp70.xml><?xml version="1.0" encoding="utf-8"?>
<formControlPr xmlns="http://schemas.microsoft.com/office/spreadsheetml/2009/9/main" objectType="Button" lockText="1"/>
</file>

<file path=xl/ctrlProps/ctrlProp71.xml><?xml version="1.0" encoding="utf-8"?>
<formControlPr xmlns="http://schemas.microsoft.com/office/spreadsheetml/2009/9/main" objectType="Button" lockText="1"/>
</file>

<file path=xl/ctrlProps/ctrlProp72.xml><?xml version="1.0" encoding="utf-8"?>
<formControlPr xmlns="http://schemas.microsoft.com/office/spreadsheetml/2009/9/main" objectType="Button" lockText="1"/>
</file>

<file path=xl/ctrlProps/ctrlProp73.xml><?xml version="1.0" encoding="utf-8"?>
<formControlPr xmlns="http://schemas.microsoft.com/office/spreadsheetml/2009/9/main" objectType="Button" lockText="1"/>
</file>

<file path=xl/ctrlProps/ctrlProp74.xml><?xml version="1.0" encoding="utf-8"?>
<formControlPr xmlns="http://schemas.microsoft.com/office/spreadsheetml/2009/9/main" objectType="Button" lockText="1"/>
</file>

<file path=xl/ctrlProps/ctrlProp75.xml><?xml version="1.0" encoding="utf-8"?>
<formControlPr xmlns="http://schemas.microsoft.com/office/spreadsheetml/2009/9/main" objectType="Button" lockText="1"/>
</file>

<file path=xl/ctrlProps/ctrlProp76.xml><?xml version="1.0" encoding="utf-8"?>
<formControlPr xmlns="http://schemas.microsoft.com/office/spreadsheetml/2009/9/main" objectType="Button" lockText="1"/>
</file>

<file path=xl/ctrlProps/ctrlProp77.xml><?xml version="1.0" encoding="utf-8"?>
<formControlPr xmlns="http://schemas.microsoft.com/office/spreadsheetml/2009/9/main" objectType="Button" lockText="1"/>
</file>

<file path=xl/ctrlProps/ctrlProp78.xml><?xml version="1.0" encoding="utf-8"?>
<formControlPr xmlns="http://schemas.microsoft.com/office/spreadsheetml/2009/9/main" objectType="Button" lockText="1"/>
</file>

<file path=xl/ctrlProps/ctrlProp79.xml><?xml version="1.0" encoding="utf-8"?>
<formControlPr xmlns="http://schemas.microsoft.com/office/spreadsheetml/2009/9/main" objectType="Button" lockText="1"/>
</file>

<file path=xl/ctrlProps/ctrlProp80.xml><?xml version="1.0" encoding="utf-8"?>
<formControlPr xmlns="http://schemas.microsoft.com/office/spreadsheetml/2009/9/main" objectType="Button" lockText="1"/>
</file>

<file path=xl/ctrlProps/ctrlProp81.xml><?xml version="1.0" encoding="utf-8"?>
<formControlPr xmlns="http://schemas.microsoft.com/office/spreadsheetml/2009/9/main" objectType="Button" lockText="1"/>
</file>

<file path=xl/ctrlProps/ctrlProp82.xml><?xml version="1.0" encoding="utf-8"?>
<formControlPr xmlns="http://schemas.microsoft.com/office/spreadsheetml/2009/9/main" objectType="Button" lockText="1"/>
</file>

<file path=xl/ctrlProps/ctrlProp83.xml><?xml version="1.0" encoding="utf-8"?>
<formControlPr xmlns="http://schemas.microsoft.com/office/spreadsheetml/2009/9/main" objectType="Button" lockText="1"/>
</file>

<file path=xl/ctrlProps/ctrlProp84.xml><?xml version="1.0" encoding="utf-8"?>
<formControlPr xmlns="http://schemas.microsoft.com/office/spreadsheetml/2009/9/main" objectType="Button" lockText="1"/>
</file>

<file path=xl/ctrlProps/ctrlProp85.xml><?xml version="1.0" encoding="utf-8"?>
<formControlPr xmlns="http://schemas.microsoft.com/office/spreadsheetml/2009/9/main" objectType="Button" lockText="1"/>
</file>

<file path=xl/ctrlProps/ctrlProp86.xml><?xml version="1.0" encoding="utf-8"?>
<formControlPr xmlns="http://schemas.microsoft.com/office/spreadsheetml/2009/9/main" objectType="Button" lockText="1"/>
</file>

<file path=xl/ctrlProps/ctrlProp87.xml><?xml version="1.0" encoding="utf-8"?>
<formControlPr xmlns="http://schemas.microsoft.com/office/spreadsheetml/2009/9/main" objectType="Button" lockText="1"/>
</file>

<file path=xl/ctrlProps/ctrlProp88.xml><?xml version="1.0" encoding="utf-8"?>
<formControlPr xmlns="http://schemas.microsoft.com/office/spreadsheetml/2009/9/main" objectType="Button" lockText="1"/>
</file>

<file path=xl/ctrlProps/ctrlProp89.xml><?xml version="1.0" encoding="utf-8"?>
<formControlPr xmlns="http://schemas.microsoft.com/office/spreadsheetml/2009/9/main" objectType="Button" lockText="1"/>
</file>

<file path=xl/ctrlProps/ctrlProp90.xml><?xml version="1.0" encoding="utf-8"?>
<formControlPr xmlns="http://schemas.microsoft.com/office/spreadsheetml/2009/9/main" objectType="Button" lockText="1"/>
</file>

<file path=xl/ctrlProps/ctrlProp91.xml><?xml version="1.0" encoding="utf-8"?>
<formControlPr xmlns="http://schemas.microsoft.com/office/spreadsheetml/2009/9/main" objectType="Button" lockText="1"/>
</file>

<file path=xl/ctrlProps/ctrlProp92.xml><?xml version="1.0" encoding="utf-8"?>
<formControlPr xmlns="http://schemas.microsoft.com/office/spreadsheetml/2009/9/main" objectType="Button" lockText="1"/>
</file>

<file path=xl/ctrlProps/ctrlProp93.xml><?xml version="1.0" encoding="utf-8"?>
<formControlPr xmlns="http://schemas.microsoft.com/office/spreadsheetml/2009/9/main" objectType="Button" lockText="1"/>
</file>

<file path=xl/ctrlProps/ctrlProp94.xml><?xml version="1.0" encoding="utf-8"?>
<formControlPr xmlns="http://schemas.microsoft.com/office/spreadsheetml/2009/9/main" objectType="Button" lockText="1"/>
</file>

<file path=xl/ctrlProps/ctrlProp95.xml><?xml version="1.0" encoding="utf-8"?>
<formControlPr xmlns="http://schemas.microsoft.com/office/spreadsheetml/2009/9/main" objectType="Button" lockText="1"/>
</file>

<file path=xl/ctrlProps/ctrlProp96.xml><?xml version="1.0" encoding="utf-8"?>
<formControlPr xmlns="http://schemas.microsoft.com/office/spreadsheetml/2009/9/main" objectType="Button" lockText="1"/>
</file>

<file path=xl/ctrlProps/ctrlProp97.xml><?xml version="1.0" encoding="utf-8"?>
<formControlPr xmlns="http://schemas.microsoft.com/office/spreadsheetml/2009/9/main" objectType="Button" lockText="1"/>
</file>

<file path=xl/ctrlProps/ctrlProp98.xml><?xml version="1.0" encoding="utf-8"?>
<formControlPr xmlns="http://schemas.microsoft.com/office/spreadsheetml/2009/9/main" objectType="Button" lockText="1"/>
</file>

<file path=xl/ctrlProps/ctrlProp99.xml><?xml version="1.0" encoding="utf-8"?>
<formControlPr xmlns="http://schemas.microsoft.com/office/spreadsheetml/2009/9/main" objectType="Button" lockText="1"/>
</file>

<file path=xl/ctrlProps/ctrlProp100.xml><?xml version="1.0" encoding="utf-8"?>
<formControlPr xmlns="http://schemas.microsoft.com/office/spreadsheetml/2009/9/main" objectType="Button" lockText="1"/>
</file>

<file path=xl/ctrlProps/ctrlProp101.xml><?xml version="1.0" encoding="utf-8"?>
<formControlPr xmlns="http://schemas.microsoft.com/office/spreadsheetml/2009/9/main" objectType="Button" lockText="1"/>
</file>

<file path=xl/ctrlProps/ctrlProp102.xml><?xml version="1.0" encoding="utf-8"?>
<formControlPr xmlns="http://schemas.microsoft.com/office/spreadsheetml/2009/9/main" objectType="Button" lockText="1"/>
</file>

<file path=xl/ctrlProps/ctrlProp103.xml><?xml version="1.0" encoding="utf-8"?>
<formControlPr xmlns="http://schemas.microsoft.com/office/spreadsheetml/2009/9/main" objectType="Button" lockText="1"/>
</file>

<file path=xl/ctrlProps/ctrlProp104.xml><?xml version="1.0" encoding="utf-8"?>
<formControlPr xmlns="http://schemas.microsoft.com/office/spreadsheetml/2009/9/main" objectType="Button" lockText="1"/>
</file>

<file path=xl/ctrlProps/ctrlProp105.xml><?xml version="1.0" encoding="utf-8"?>
<formControlPr xmlns="http://schemas.microsoft.com/office/spreadsheetml/2009/9/main" objectType="Button" lockText="1"/>
</file>

<file path=xl/ctrlProps/ctrlProp106.xml><?xml version="1.0" encoding="utf-8"?>
<formControlPr xmlns="http://schemas.microsoft.com/office/spreadsheetml/2009/9/main" objectType="Button" lockText="1"/>
</file>

<file path=xl/ctrlProps/ctrlProp107.xml><?xml version="1.0" encoding="utf-8"?>
<formControlPr xmlns="http://schemas.microsoft.com/office/spreadsheetml/2009/9/main" objectType="Button" lockText="1"/>
</file>

<file path=xl/ctrlProps/ctrlProp108.xml><?xml version="1.0" encoding="utf-8"?>
<formControlPr xmlns="http://schemas.microsoft.com/office/spreadsheetml/2009/9/main" objectType="Button" lockText="1"/>
</file>

<file path=xl/ctrlProps/ctrlProp109.xml><?xml version="1.0" encoding="utf-8"?>
<formControlPr xmlns="http://schemas.microsoft.com/office/spreadsheetml/2009/9/main" objectType="Button" lockText="1"/>
</file>

<file path=xl/ctrlProps/ctrlProp110.xml><?xml version="1.0" encoding="utf-8"?>
<formControlPr xmlns="http://schemas.microsoft.com/office/spreadsheetml/2009/9/main" objectType="Button" lockText="1"/>
</file>

<file path=xl/ctrlProps/ctrlProp111.xml><?xml version="1.0" encoding="utf-8"?>
<formControlPr xmlns="http://schemas.microsoft.com/office/spreadsheetml/2009/9/main" objectType="Button" lockText="1"/>
</file>

<file path=xl/ctrlProps/ctrlProp112.xml><?xml version="1.0" encoding="utf-8"?>
<formControlPr xmlns="http://schemas.microsoft.com/office/spreadsheetml/2009/9/main" objectType="Button" lockText="1"/>
</file>

<file path=xl/ctrlProps/ctrlProp113.xml><?xml version="1.0" encoding="utf-8"?>
<formControlPr xmlns="http://schemas.microsoft.com/office/spreadsheetml/2009/9/main" objectType="Button" lockText="1"/>
</file>

<file path=xl/ctrlProps/ctrlProp114.xml><?xml version="1.0" encoding="utf-8"?>
<formControlPr xmlns="http://schemas.microsoft.com/office/spreadsheetml/2009/9/main" objectType="Button" lockText="1"/>
</file>

<file path=xl/ctrlProps/ctrlProp115.xml><?xml version="1.0" encoding="utf-8"?>
<formControlPr xmlns="http://schemas.microsoft.com/office/spreadsheetml/2009/9/main" objectType="Button" lockText="1"/>
</file>

<file path=xl/ctrlProps/ctrlProp116.xml><?xml version="1.0" encoding="utf-8"?>
<formControlPr xmlns="http://schemas.microsoft.com/office/spreadsheetml/2009/9/main" objectType="Button" lockText="1"/>
</file>

<file path=xl/ctrlProps/ctrlProp117.xml><?xml version="1.0" encoding="utf-8"?>
<formControlPr xmlns="http://schemas.microsoft.com/office/spreadsheetml/2009/9/main" objectType="Button" lockText="1"/>
</file>

<file path=xl/ctrlProps/ctrlProp118.xml><?xml version="1.0" encoding="utf-8"?>
<formControlPr xmlns="http://schemas.microsoft.com/office/spreadsheetml/2009/9/main" objectType="Button" lockText="1"/>
</file>

<file path=xl/ctrlProps/ctrlProp119.xml><?xml version="1.0" encoding="utf-8"?>
<formControlPr xmlns="http://schemas.microsoft.com/office/spreadsheetml/2009/9/main" objectType="Button" lockText="1"/>
</file>

<file path=xl/ctrlProps/ctrlProp120.xml><?xml version="1.0" encoding="utf-8"?>
<formControlPr xmlns="http://schemas.microsoft.com/office/spreadsheetml/2009/9/main" objectType="Button" lockText="1"/>
</file>

<file path=xl/ctrlProps/ctrlProp121.xml><?xml version="1.0" encoding="utf-8"?>
<formControlPr xmlns="http://schemas.microsoft.com/office/spreadsheetml/2009/9/main" objectType="Button" lockText="1"/>
</file>

<file path=xl/ctrlProps/ctrlProp122.xml><?xml version="1.0" encoding="utf-8"?>
<formControlPr xmlns="http://schemas.microsoft.com/office/spreadsheetml/2009/9/main" objectType="Button" lockText="1"/>
</file>

<file path=xl/ctrlProps/ctrlProp123.xml><?xml version="1.0" encoding="utf-8"?>
<formControlPr xmlns="http://schemas.microsoft.com/office/spreadsheetml/2009/9/main" objectType="Button" lockText="1"/>
</file>

<file path=xl/ctrlProps/ctrlProp124.xml><?xml version="1.0" encoding="utf-8"?>
<formControlPr xmlns="http://schemas.microsoft.com/office/spreadsheetml/2009/9/main" objectType="Button" lockText="1"/>
</file>

<file path=xl/ctrlProps/ctrlProp125.xml><?xml version="1.0" encoding="utf-8"?>
<formControlPr xmlns="http://schemas.microsoft.com/office/spreadsheetml/2009/9/main" objectType="Button" lockText="1"/>
</file>

<file path=xl/ctrlProps/ctrlProp126.xml><?xml version="1.0" encoding="utf-8"?>
<formControlPr xmlns="http://schemas.microsoft.com/office/spreadsheetml/2009/9/main" objectType="Button" lockText="1"/>
</file>

<file path=xl/ctrlProps/ctrlProp127.xml><?xml version="1.0" encoding="utf-8"?>
<formControlPr xmlns="http://schemas.microsoft.com/office/spreadsheetml/2009/9/main" objectType="Button" lockText="1"/>
</file>

<file path=xl/ctrlProps/ctrlProp128.xml><?xml version="1.0" encoding="utf-8"?>
<formControlPr xmlns="http://schemas.microsoft.com/office/spreadsheetml/2009/9/main" objectType="Button" lockText="1"/>
</file>

<file path=xl/ctrlProps/ctrlProp129.xml><?xml version="1.0" encoding="utf-8"?>
<formControlPr xmlns="http://schemas.microsoft.com/office/spreadsheetml/2009/9/main" objectType="Button" lockText="1"/>
</file>

<file path=xl/ctrlProps/ctrlProp130.xml><?xml version="1.0" encoding="utf-8"?>
<formControlPr xmlns="http://schemas.microsoft.com/office/spreadsheetml/2009/9/main" objectType="Button" lockText="1"/>
</file>

<file path=xl/ctrlProps/ctrlProp131.xml><?xml version="1.0" encoding="utf-8"?>
<formControlPr xmlns="http://schemas.microsoft.com/office/spreadsheetml/2009/9/main" objectType="Button" lockText="1"/>
</file>

<file path=xl/ctrlProps/ctrlProp132.xml><?xml version="1.0" encoding="utf-8"?>
<formControlPr xmlns="http://schemas.microsoft.com/office/spreadsheetml/2009/9/main" objectType="Button" lockText="1"/>
</file>

<file path=xl/ctrlProps/ctrlProp133.xml><?xml version="1.0" encoding="utf-8"?>
<formControlPr xmlns="http://schemas.microsoft.com/office/spreadsheetml/2009/9/main" objectType="Button" lockText="1"/>
</file>

<file path=xl/ctrlProps/ctrlProp134.xml><?xml version="1.0" encoding="utf-8"?>
<formControlPr xmlns="http://schemas.microsoft.com/office/spreadsheetml/2009/9/main" objectType="Button" lockText="1"/>
</file>

<file path=xl/ctrlProps/ctrlProp135.xml><?xml version="1.0" encoding="utf-8"?>
<formControlPr xmlns="http://schemas.microsoft.com/office/spreadsheetml/2009/9/main" objectType="Button" lockText="1"/>
</file>

<file path=xl/ctrlProps/ctrlProp136.xml><?xml version="1.0" encoding="utf-8"?>
<formControlPr xmlns="http://schemas.microsoft.com/office/spreadsheetml/2009/9/main" objectType="Button" lockText="1"/>
</file>

<file path=xl/ctrlProps/ctrlProp137.xml><?xml version="1.0" encoding="utf-8"?>
<formControlPr xmlns="http://schemas.microsoft.com/office/spreadsheetml/2009/9/main" objectType="Button" lockText="1"/>
</file>

<file path=xl/ctrlProps/ctrlProp138.xml><?xml version="1.0" encoding="utf-8"?>
<formControlPr xmlns="http://schemas.microsoft.com/office/spreadsheetml/2009/9/main" objectType="Button" lockText="1"/>
</file>

<file path=xl/ctrlProps/ctrlProp139.xml><?xml version="1.0" encoding="utf-8"?>
<formControlPr xmlns="http://schemas.microsoft.com/office/spreadsheetml/2009/9/main" objectType="Button" lockText="1"/>
</file>

<file path=xl/ctrlProps/ctrlProp140.xml><?xml version="1.0" encoding="utf-8"?>
<formControlPr xmlns="http://schemas.microsoft.com/office/spreadsheetml/2009/9/main" objectType="Button" lockText="1"/>
</file>

<file path=xl/ctrlProps/ctrlProp141.xml><?xml version="1.0" encoding="utf-8"?>
<formControlPr xmlns="http://schemas.microsoft.com/office/spreadsheetml/2009/9/main" objectType="Button" lockText="1"/>
</file>

<file path=xl/ctrlProps/ctrlProp142.xml><?xml version="1.0" encoding="utf-8"?>
<formControlPr xmlns="http://schemas.microsoft.com/office/spreadsheetml/2009/9/main" objectType="Button" lockText="1"/>
</file>

<file path=xl/ctrlProps/ctrlProp143.xml><?xml version="1.0" encoding="utf-8"?>
<formControlPr xmlns="http://schemas.microsoft.com/office/spreadsheetml/2009/9/main" objectType="Button" lockText="1"/>
</file>

<file path=xl/ctrlProps/ctrlProp144.xml><?xml version="1.0" encoding="utf-8"?>
<formControlPr xmlns="http://schemas.microsoft.com/office/spreadsheetml/2009/9/main" objectType="Button" lockText="1"/>
</file>

<file path=xl/ctrlProps/ctrlProp145.xml><?xml version="1.0" encoding="utf-8"?>
<formControlPr xmlns="http://schemas.microsoft.com/office/spreadsheetml/2009/9/main" objectType="Button" lockText="1"/>
</file>

<file path=xl/ctrlProps/ctrlProp146.xml><?xml version="1.0" encoding="utf-8"?>
<formControlPr xmlns="http://schemas.microsoft.com/office/spreadsheetml/2009/9/main" objectType="Button" lockText="1"/>
</file>

<file path=xl/ctrlProps/ctrlProp147.xml><?xml version="1.0" encoding="utf-8"?>
<formControlPr xmlns="http://schemas.microsoft.com/office/spreadsheetml/2009/9/main" objectType="Button" lockText="1"/>
</file>

<file path=xl/ctrlProps/ctrlProp148.xml><?xml version="1.0" encoding="utf-8"?>
<formControlPr xmlns="http://schemas.microsoft.com/office/spreadsheetml/2009/9/main" objectType="Button" lockText="1"/>
</file>

<file path=xl/ctrlProps/ctrlProp149.xml><?xml version="1.0" encoding="utf-8"?>
<formControlPr xmlns="http://schemas.microsoft.com/office/spreadsheetml/2009/9/main" objectType="Button" lockText="1"/>
</file>

<file path=xl/ctrlProps/ctrlProp150.xml><?xml version="1.0" encoding="utf-8"?>
<formControlPr xmlns="http://schemas.microsoft.com/office/spreadsheetml/2009/9/main" objectType="Button" lockText="1"/>
</file>

<file path=xl/ctrlProps/ctrlProp151.xml><?xml version="1.0" encoding="utf-8"?>
<formControlPr xmlns="http://schemas.microsoft.com/office/spreadsheetml/2009/9/main" objectType="Button" lockText="1"/>
</file>

<file path=xl/ctrlProps/ctrlProp152.xml><?xml version="1.0" encoding="utf-8"?>
<formControlPr xmlns="http://schemas.microsoft.com/office/spreadsheetml/2009/9/main" objectType="Button" lockText="1"/>
</file>

<file path=xl/ctrlProps/ctrlProp153.xml><?xml version="1.0" encoding="utf-8"?>
<formControlPr xmlns="http://schemas.microsoft.com/office/spreadsheetml/2009/9/main" objectType="Button" lockText="1"/>
</file>

<file path=xl/ctrlProps/ctrlProp154.xml><?xml version="1.0" encoding="utf-8"?>
<formControlPr xmlns="http://schemas.microsoft.com/office/spreadsheetml/2009/9/main" objectType="Button" lockText="1"/>
</file>

<file path=xl/ctrlProps/ctrlProp155.xml><?xml version="1.0" encoding="utf-8"?>
<formControlPr xmlns="http://schemas.microsoft.com/office/spreadsheetml/2009/9/main" objectType="Button" lockText="1"/>
</file>

<file path=xl/ctrlProps/ctrlProp156.xml><?xml version="1.0" encoding="utf-8"?>
<formControlPr xmlns="http://schemas.microsoft.com/office/spreadsheetml/2009/9/main" objectType="Button" lockText="1"/>
</file>

<file path=xl/ctrlProps/ctrlProp157.xml><?xml version="1.0" encoding="utf-8"?>
<formControlPr xmlns="http://schemas.microsoft.com/office/spreadsheetml/2009/9/main" objectType="Button" lockText="1"/>
</file>

<file path=xl/ctrlProps/ctrlProp158.xml><?xml version="1.0" encoding="utf-8"?>
<formControlPr xmlns="http://schemas.microsoft.com/office/spreadsheetml/2009/9/main" objectType="Button" lockText="1"/>
</file>

<file path=xl/ctrlProps/ctrlProp159.xml><?xml version="1.0" encoding="utf-8"?>
<formControlPr xmlns="http://schemas.microsoft.com/office/spreadsheetml/2009/9/main" objectType="Button" lockText="1"/>
</file>

<file path=xl/ctrlProps/ctrlProp160.xml><?xml version="1.0" encoding="utf-8"?>
<formControlPr xmlns="http://schemas.microsoft.com/office/spreadsheetml/2009/9/main" objectType="Button" lockText="1"/>
</file>

<file path=xl/ctrlProps/ctrlProp161.xml><?xml version="1.0" encoding="utf-8"?>
<formControlPr xmlns="http://schemas.microsoft.com/office/spreadsheetml/2009/9/main" objectType="Button" lockText="1"/>
</file>

<file path=xl/ctrlProps/ctrlProp162.xml><?xml version="1.0" encoding="utf-8"?>
<formControlPr xmlns="http://schemas.microsoft.com/office/spreadsheetml/2009/9/main" objectType="Button" lockText="1"/>
</file>

<file path=xl/ctrlProps/ctrlProp163.xml><?xml version="1.0" encoding="utf-8"?>
<formControlPr xmlns="http://schemas.microsoft.com/office/spreadsheetml/2009/9/main" objectType="Button" lockText="1"/>
</file>

<file path=xl/ctrlProps/ctrlProp164.xml><?xml version="1.0" encoding="utf-8"?>
<formControlPr xmlns="http://schemas.microsoft.com/office/spreadsheetml/2009/9/main" objectType="Button" lockText="1"/>
</file>

<file path=xl/ctrlProps/ctrlProp165.xml><?xml version="1.0" encoding="utf-8"?>
<formControlPr xmlns="http://schemas.microsoft.com/office/spreadsheetml/2009/9/main" objectType="Button" lockText="1"/>
</file>

<file path=xl/ctrlProps/ctrlProp166.xml><?xml version="1.0" encoding="utf-8"?>
<formControlPr xmlns="http://schemas.microsoft.com/office/spreadsheetml/2009/9/main" objectType="Button" lockText="1"/>
</file>

<file path=xl/ctrlProps/ctrlProp167.xml><?xml version="1.0" encoding="utf-8"?>
<formControlPr xmlns="http://schemas.microsoft.com/office/spreadsheetml/2009/9/main" objectType="Button" lockText="1"/>
</file>

<file path=xl/ctrlProps/ctrlProp168.xml><?xml version="1.0" encoding="utf-8"?>
<formControlPr xmlns="http://schemas.microsoft.com/office/spreadsheetml/2009/9/main" objectType="Button" lockText="1"/>
</file>

<file path=xl/ctrlProps/ctrlProp169.xml><?xml version="1.0" encoding="utf-8"?>
<formControlPr xmlns="http://schemas.microsoft.com/office/spreadsheetml/2009/9/main" objectType="Button" lockText="1"/>
</file>

<file path=xl/ctrlProps/ctrlProp170.xml><?xml version="1.0" encoding="utf-8"?>
<formControlPr xmlns="http://schemas.microsoft.com/office/spreadsheetml/2009/9/main" objectType="Button" lockText="1"/>
</file>

<file path=xl/ctrlProps/ctrlProp171.xml><?xml version="1.0" encoding="utf-8"?>
<formControlPr xmlns="http://schemas.microsoft.com/office/spreadsheetml/2009/9/main" objectType="Button" lockText="1"/>
</file>

<file path=xl/ctrlProps/ctrlProp172.xml><?xml version="1.0" encoding="utf-8"?>
<formControlPr xmlns="http://schemas.microsoft.com/office/spreadsheetml/2009/9/main" objectType="Button" lockText="1"/>
</file>

<file path=xl/ctrlProps/ctrlProp173.xml><?xml version="1.0" encoding="utf-8"?>
<formControlPr xmlns="http://schemas.microsoft.com/office/spreadsheetml/2009/9/main" objectType="Button" lockText="1"/>
</file>

<file path=xl/ctrlProps/ctrlProp174.xml><?xml version="1.0" encoding="utf-8"?>
<formControlPr xmlns="http://schemas.microsoft.com/office/spreadsheetml/2009/9/main" objectType="Button" lockText="1"/>
</file>

<file path=xl/ctrlProps/ctrlProp175.xml><?xml version="1.0" encoding="utf-8"?>
<formControlPr xmlns="http://schemas.microsoft.com/office/spreadsheetml/2009/9/main" objectType="Button" lockText="1"/>
</file>

<file path=xl/ctrlProps/ctrlProp176.xml><?xml version="1.0" encoding="utf-8"?>
<formControlPr xmlns="http://schemas.microsoft.com/office/spreadsheetml/2009/9/main" objectType="Button" lockText="1"/>
</file>

<file path=xl/ctrlProps/ctrlProp177.xml><?xml version="1.0" encoding="utf-8"?>
<formControlPr xmlns="http://schemas.microsoft.com/office/spreadsheetml/2009/9/main" objectType="Button" lockText="1"/>
</file>

<file path=xl/ctrlProps/ctrlProp178.xml><?xml version="1.0" encoding="utf-8"?>
<formControlPr xmlns="http://schemas.microsoft.com/office/spreadsheetml/2009/9/main" objectType="Button" lockText="1"/>
</file>

<file path=xl/ctrlProps/ctrlProp179.xml><?xml version="1.0" encoding="utf-8"?>
<formControlPr xmlns="http://schemas.microsoft.com/office/spreadsheetml/2009/9/main" objectType="Button" lockText="1"/>
</file>

<file path=xl/ctrlProps/ctrlProp180.xml><?xml version="1.0" encoding="utf-8"?>
<formControlPr xmlns="http://schemas.microsoft.com/office/spreadsheetml/2009/9/main" objectType="Button" lockText="1"/>
</file>

<file path=xl/ctrlProps/ctrlProp181.xml><?xml version="1.0" encoding="utf-8"?>
<formControlPr xmlns="http://schemas.microsoft.com/office/spreadsheetml/2009/9/main" objectType="Button" lockText="1"/>
</file>

<file path=xl/ctrlProps/ctrlProp182.xml><?xml version="1.0" encoding="utf-8"?>
<formControlPr xmlns="http://schemas.microsoft.com/office/spreadsheetml/2009/9/main" objectType="Button" lockText="1"/>
</file>

<file path=xl/ctrlProps/ctrlProp183.xml><?xml version="1.0" encoding="utf-8"?>
<formControlPr xmlns="http://schemas.microsoft.com/office/spreadsheetml/2009/9/main" objectType="Button" lockText="1"/>
</file>

<file path=xl/ctrlProps/ctrlProp184.xml><?xml version="1.0" encoding="utf-8"?>
<formControlPr xmlns="http://schemas.microsoft.com/office/spreadsheetml/2009/9/main" objectType="Button" lockText="1"/>
</file>

<file path=xl/ctrlProps/ctrlProp185.xml><?xml version="1.0" encoding="utf-8"?>
<formControlPr xmlns="http://schemas.microsoft.com/office/spreadsheetml/2009/9/main" objectType="Button" lockText="1"/>
</file>

<file path=xl/ctrlProps/ctrlProp186.xml><?xml version="1.0" encoding="utf-8"?>
<formControlPr xmlns="http://schemas.microsoft.com/office/spreadsheetml/2009/9/main" objectType="Button" lockText="1"/>
</file>

<file path=xl/ctrlProps/ctrlProp187.xml><?xml version="1.0" encoding="utf-8"?>
<formControlPr xmlns="http://schemas.microsoft.com/office/spreadsheetml/2009/9/main" objectType="Button" lockText="1"/>
</file>

<file path=xl/ctrlProps/ctrlProp188.xml><?xml version="1.0" encoding="utf-8"?>
<formControlPr xmlns="http://schemas.microsoft.com/office/spreadsheetml/2009/9/main" objectType="Button" lockText="1"/>
</file>

<file path=xl/ctrlProps/ctrlProp189.xml><?xml version="1.0" encoding="utf-8"?>
<formControlPr xmlns="http://schemas.microsoft.com/office/spreadsheetml/2009/9/main" objectType="Button" lockText="1"/>
</file>

<file path=xl/ctrlProps/ctrlProp190.xml><?xml version="1.0" encoding="utf-8"?>
<formControlPr xmlns="http://schemas.microsoft.com/office/spreadsheetml/2009/9/main" objectType="Button" lockText="1"/>
</file>

<file path=xl/ctrlProps/ctrlProp191.xml><?xml version="1.0" encoding="utf-8"?>
<formControlPr xmlns="http://schemas.microsoft.com/office/spreadsheetml/2009/9/main" objectType="Button" lockText="1"/>
</file>

<file path=xl/ctrlProps/ctrlProp192.xml><?xml version="1.0" encoding="utf-8"?>
<formControlPr xmlns="http://schemas.microsoft.com/office/spreadsheetml/2009/9/main" objectType="Button" lockText="1"/>
</file>

<file path=xl/ctrlProps/ctrlProp193.xml><?xml version="1.0" encoding="utf-8"?>
<formControlPr xmlns="http://schemas.microsoft.com/office/spreadsheetml/2009/9/main" objectType="Button" lockText="1"/>
</file>

<file path=xl/ctrlProps/ctrlProp194.xml><?xml version="1.0" encoding="utf-8"?>
<formControlPr xmlns="http://schemas.microsoft.com/office/spreadsheetml/2009/9/main" objectType="Button" lockText="1"/>
</file>

<file path=xl/ctrlProps/ctrlProp195.xml><?xml version="1.0" encoding="utf-8"?>
<formControlPr xmlns="http://schemas.microsoft.com/office/spreadsheetml/2009/9/main" objectType="Button" lockText="1"/>
</file>

<file path=xl/ctrlProps/ctrlProp196.xml><?xml version="1.0" encoding="utf-8"?>
<formControlPr xmlns="http://schemas.microsoft.com/office/spreadsheetml/2009/9/main" objectType="Button" lockText="1"/>
</file>

<file path=xl/ctrlProps/ctrlProp197.xml><?xml version="1.0" encoding="utf-8"?>
<formControlPr xmlns="http://schemas.microsoft.com/office/spreadsheetml/2009/9/main" objectType="Button" lockText="1"/>
</file>

<file path=xl/ctrlProps/ctrlProp198.xml><?xml version="1.0" encoding="utf-8"?>
<formControlPr xmlns="http://schemas.microsoft.com/office/spreadsheetml/2009/9/main" objectType="Button" lockText="1"/>
</file>

<file path=xl/ctrlProps/ctrlProp199.xml><?xml version="1.0" encoding="utf-8"?>
<formControlPr xmlns="http://schemas.microsoft.com/office/spreadsheetml/2009/9/main" objectType="Button" lockText="1"/>
</file>

<file path=xl/ctrlProps/ctrlProp200.xml><?xml version="1.0" encoding="utf-8"?>
<formControlPr xmlns="http://schemas.microsoft.com/office/spreadsheetml/2009/9/main" objectType="Button" lockText="1"/>
</file>

<file path=xl/ctrlProps/ctrlProp201.xml><?xml version="1.0" encoding="utf-8"?>
<formControlPr xmlns="http://schemas.microsoft.com/office/spreadsheetml/2009/9/main" objectType="Button" lockText="1"/>
</file>

<file path=xl/ctrlProps/ctrlProp202.xml><?xml version="1.0" encoding="utf-8"?>
<formControlPr xmlns="http://schemas.microsoft.com/office/spreadsheetml/2009/9/main" objectType="Button" lockText="1"/>
</file>

<file path=xl/ctrlProps/ctrlProp203.xml><?xml version="1.0" encoding="utf-8"?>
<formControlPr xmlns="http://schemas.microsoft.com/office/spreadsheetml/2009/9/main" objectType="Button" lockText="1"/>
</file>

<file path=xl/ctrlProps/ctrlProp204.xml><?xml version="1.0" encoding="utf-8"?>
<formControlPr xmlns="http://schemas.microsoft.com/office/spreadsheetml/2009/9/main" objectType="Button" lockText="1"/>
</file>

<file path=xl/ctrlProps/ctrlProp205.xml><?xml version="1.0" encoding="utf-8"?>
<formControlPr xmlns="http://schemas.microsoft.com/office/spreadsheetml/2009/9/main" objectType="Button" lockText="1"/>
</file>

<file path=xl/ctrlProps/ctrlProp206.xml><?xml version="1.0" encoding="utf-8"?>
<formControlPr xmlns="http://schemas.microsoft.com/office/spreadsheetml/2009/9/main" objectType="Button" lockText="1"/>
</file>

<file path=xl/ctrlProps/ctrlProp207.xml><?xml version="1.0" encoding="utf-8"?>
<formControlPr xmlns="http://schemas.microsoft.com/office/spreadsheetml/2009/9/main" objectType="Button" lockText="1"/>
</file>

<file path=xl/ctrlProps/ctrlProp208.xml><?xml version="1.0" encoding="utf-8"?>
<formControlPr xmlns="http://schemas.microsoft.com/office/spreadsheetml/2009/9/main" objectType="Button" lockText="1"/>
</file>

<file path=xl/ctrlProps/ctrlProp209.xml><?xml version="1.0" encoding="utf-8"?>
<formControlPr xmlns="http://schemas.microsoft.com/office/spreadsheetml/2009/9/main" objectType="Button" lockText="1"/>
</file>

<file path=xl/ctrlProps/ctrlProp210.xml><?xml version="1.0" encoding="utf-8"?>
<formControlPr xmlns="http://schemas.microsoft.com/office/spreadsheetml/2009/9/main" objectType="Button" lockText="1"/>
</file>

<file path=xl/ctrlProps/ctrlProp211.xml><?xml version="1.0" encoding="utf-8"?>
<formControlPr xmlns="http://schemas.microsoft.com/office/spreadsheetml/2009/9/main" objectType="Button" lockText="1"/>
</file>

<file path=xl/ctrlProps/ctrlProp212.xml><?xml version="1.0" encoding="utf-8"?>
<formControlPr xmlns="http://schemas.microsoft.com/office/spreadsheetml/2009/9/main" objectType="Button" lockText="1"/>
</file>

<file path=xl/ctrlProps/ctrlProp213.xml><?xml version="1.0" encoding="utf-8"?>
<formControlPr xmlns="http://schemas.microsoft.com/office/spreadsheetml/2009/9/main" objectType="Button" lockText="1"/>
</file>

<file path=xl/ctrlProps/ctrlProp214.xml><?xml version="1.0" encoding="utf-8"?>
<formControlPr xmlns="http://schemas.microsoft.com/office/spreadsheetml/2009/9/main" objectType="Button" lockText="1"/>
</file>

<file path=xl/ctrlProps/ctrlProp215.xml><?xml version="1.0" encoding="utf-8"?>
<formControlPr xmlns="http://schemas.microsoft.com/office/spreadsheetml/2009/9/main" objectType="Button" lockText="1"/>
</file>

<file path=xl/ctrlProps/ctrlProp216.xml><?xml version="1.0" encoding="utf-8"?>
<formControlPr xmlns="http://schemas.microsoft.com/office/spreadsheetml/2009/9/main" objectType="Button" lockText="1"/>
</file>

<file path=xl/ctrlProps/ctrlProp217.xml><?xml version="1.0" encoding="utf-8"?>
<formControlPr xmlns="http://schemas.microsoft.com/office/spreadsheetml/2009/9/main" objectType="Button" lockText="1"/>
</file>

<file path=xl/ctrlProps/ctrlProp218.xml><?xml version="1.0" encoding="utf-8"?>
<formControlPr xmlns="http://schemas.microsoft.com/office/spreadsheetml/2009/9/main" objectType="Button" lockText="1"/>
</file>

<file path=xl/ctrlProps/ctrlProp219.xml><?xml version="1.0" encoding="utf-8"?>
<formControlPr xmlns="http://schemas.microsoft.com/office/spreadsheetml/2009/9/main" objectType="Button" lockText="1"/>
</file>

<file path=xl/ctrlProps/ctrlProp220.xml><?xml version="1.0" encoding="utf-8"?>
<formControlPr xmlns="http://schemas.microsoft.com/office/spreadsheetml/2009/9/main" objectType="Button" lockText="1"/>
</file>

<file path=xl/ctrlProps/ctrlProp221.xml><?xml version="1.0" encoding="utf-8"?>
<formControlPr xmlns="http://schemas.microsoft.com/office/spreadsheetml/2009/9/main" objectType="Button" lockText="1"/>
</file>

<file path=xl/ctrlProps/ctrlProp222.xml><?xml version="1.0" encoding="utf-8"?>
<formControlPr xmlns="http://schemas.microsoft.com/office/spreadsheetml/2009/9/main" objectType="Button" lockText="1"/>
</file>

<file path=xl/ctrlProps/ctrlProp223.xml><?xml version="1.0" encoding="utf-8"?>
<formControlPr xmlns="http://schemas.microsoft.com/office/spreadsheetml/2009/9/main" objectType="Button" lockText="1"/>
</file>

<file path=xl/ctrlProps/ctrlProp224.xml><?xml version="1.0" encoding="utf-8"?>
<formControlPr xmlns="http://schemas.microsoft.com/office/spreadsheetml/2009/9/main" objectType="Button" lockText="1"/>
</file>

<file path=xl/ctrlProps/ctrlProp225.xml><?xml version="1.0" encoding="utf-8"?>
<formControlPr xmlns="http://schemas.microsoft.com/office/spreadsheetml/2009/9/main" objectType="Button" lockText="1"/>
</file>

<file path=xl/ctrlProps/ctrlProp226.xml><?xml version="1.0" encoding="utf-8"?>
<formControlPr xmlns="http://schemas.microsoft.com/office/spreadsheetml/2009/9/main" objectType="Button" lockText="1"/>
</file>

<file path=xl/ctrlProps/ctrlProp227.xml><?xml version="1.0" encoding="utf-8"?>
<formControlPr xmlns="http://schemas.microsoft.com/office/spreadsheetml/2009/9/main" objectType="Button" lockText="1"/>
</file>

<file path=xl/ctrlProps/ctrlProp228.xml><?xml version="1.0" encoding="utf-8"?>
<formControlPr xmlns="http://schemas.microsoft.com/office/spreadsheetml/2009/9/main" objectType="Button" lockText="1"/>
</file>

<file path=xl/ctrlProps/ctrlProp229.xml><?xml version="1.0" encoding="utf-8"?>
<formControlPr xmlns="http://schemas.microsoft.com/office/spreadsheetml/2009/9/main" objectType="Button" lockText="1"/>
</file>

<file path=xl/ctrlProps/ctrlProp230.xml><?xml version="1.0" encoding="utf-8"?>
<formControlPr xmlns="http://schemas.microsoft.com/office/spreadsheetml/2009/9/main" objectType="Button" lockText="1"/>
</file>

<file path=xl/ctrlProps/ctrlProp231.xml><?xml version="1.0" encoding="utf-8"?>
<formControlPr xmlns="http://schemas.microsoft.com/office/spreadsheetml/2009/9/main" objectType="Button" lockText="1"/>
</file>

<file path=xl/ctrlProps/ctrlProp232.xml><?xml version="1.0" encoding="utf-8"?>
<formControlPr xmlns="http://schemas.microsoft.com/office/spreadsheetml/2009/9/main" objectType="Button" lockText="1"/>
</file>

<file path=xl/ctrlProps/ctrlProp233.xml><?xml version="1.0" encoding="utf-8"?>
<formControlPr xmlns="http://schemas.microsoft.com/office/spreadsheetml/2009/9/main" objectType="Button" lockText="1"/>
</file>

<file path=xl/ctrlProps/ctrlProp234.xml><?xml version="1.0" encoding="utf-8"?>
<formControlPr xmlns="http://schemas.microsoft.com/office/spreadsheetml/2009/9/main" objectType="Button" lockText="1"/>
</file>

<file path=xl/ctrlProps/ctrlProp235.xml><?xml version="1.0" encoding="utf-8"?>
<formControlPr xmlns="http://schemas.microsoft.com/office/spreadsheetml/2009/9/main" objectType="Button" lockText="1"/>
</file>

<file path=xl/ctrlProps/ctrlProp236.xml><?xml version="1.0" encoding="utf-8"?>
<formControlPr xmlns="http://schemas.microsoft.com/office/spreadsheetml/2009/9/main" objectType="Button" lockText="1"/>
</file>

<file path=xl/ctrlProps/ctrlProp237.xml><?xml version="1.0" encoding="utf-8"?>
<formControlPr xmlns="http://schemas.microsoft.com/office/spreadsheetml/2009/9/main" objectType="Button" lockText="1"/>
</file>

<file path=xl/ctrlProps/ctrlProp238.xml><?xml version="1.0" encoding="utf-8"?>
<formControlPr xmlns="http://schemas.microsoft.com/office/spreadsheetml/2009/9/main" objectType="Button" lockText="1"/>
</file>

<file path=xl/ctrlProps/ctrlProp239.xml><?xml version="1.0" encoding="utf-8"?>
<formControlPr xmlns="http://schemas.microsoft.com/office/spreadsheetml/2009/9/main" objectType="Button" lockText="1"/>
</file>

<file path=xl/ctrlProps/ctrlProp240.xml><?xml version="1.0" encoding="utf-8"?>
<formControlPr xmlns="http://schemas.microsoft.com/office/spreadsheetml/2009/9/main" objectType="Button" lockText="1"/>
</file>

<file path=xl/ctrlProps/ctrlProp241.xml><?xml version="1.0" encoding="utf-8"?>
<formControlPr xmlns="http://schemas.microsoft.com/office/spreadsheetml/2009/9/main" objectType="Button" lockText="1"/>
</file>

<file path=xl/ctrlProps/ctrlProp242.xml><?xml version="1.0" encoding="utf-8"?>
<formControlPr xmlns="http://schemas.microsoft.com/office/spreadsheetml/2009/9/main" objectType="Button" lockText="1"/>
</file>

<file path=xl/ctrlProps/ctrlProp243.xml><?xml version="1.0" encoding="utf-8"?>
<formControlPr xmlns="http://schemas.microsoft.com/office/spreadsheetml/2009/9/main" objectType="Button" lockText="1"/>
</file>

<file path=xl/ctrlProps/ctrlProp244.xml><?xml version="1.0" encoding="utf-8"?>
<formControlPr xmlns="http://schemas.microsoft.com/office/spreadsheetml/2009/9/main" objectType="Button" lockText="1"/>
</file>

<file path=xl/ctrlProps/ctrlProp245.xml><?xml version="1.0" encoding="utf-8"?>
<formControlPr xmlns="http://schemas.microsoft.com/office/spreadsheetml/2009/9/main" objectType="Button" lockText="1"/>
</file>

<file path=xl/ctrlProps/ctrlProp246.xml><?xml version="1.0" encoding="utf-8"?>
<formControlPr xmlns="http://schemas.microsoft.com/office/spreadsheetml/2009/9/main" objectType="Button" lockText="1"/>
</file>

<file path=xl/ctrlProps/ctrlProp247.xml><?xml version="1.0" encoding="utf-8"?>
<formControlPr xmlns="http://schemas.microsoft.com/office/spreadsheetml/2009/9/main" objectType="Button" lockText="1"/>
</file>

<file path=xl/ctrlProps/ctrlProp248.xml><?xml version="1.0" encoding="utf-8"?>
<formControlPr xmlns="http://schemas.microsoft.com/office/spreadsheetml/2009/9/main" objectType="Button" lockText="1"/>
</file>

<file path=xl/ctrlProps/ctrlProp249.xml><?xml version="1.0" encoding="utf-8"?>
<formControlPr xmlns="http://schemas.microsoft.com/office/spreadsheetml/2009/9/main" objectType="Button" lockText="1"/>
</file>

<file path=xl/ctrlProps/ctrlProp250.xml><?xml version="1.0" encoding="utf-8"?>
<formControlPr xmlns="http://schemas.microsoft.com/office/spreadsheetml/2009/9/main" objectType="Button" lockText="1"/>
</file>

<file path=xl/ctrlProps/ctrlProp251.xml><?xml version="1.0" encoding="utf-8"?>
<formControlPr xmlns="http://schemas.microsoft.com/office/spreadsheetml/2009/9/main" objectType="Button" lockText="1"/>
</file>

<file path=xl/ctrlProps/ctrlProp252.xml><?xml version="1.0" encoding="utf-8"?>
<formControlPr xmlns="http://schemas.microsoft.com/office/spreadsheetml/2009/9/main" objectType="Button" lockText="1"/>
</file>

<file path=xl/ctrlProps/ctrlProp253.xml><?xml version="1.0" encoding="utf-8"?>
<formControlPr xmlns="http://schemas.microsoft.com/office/spreadsheetml/2009/9/main" objectType="Button" lockText="1"/>
</file>

<file path=xl/ctrlProps/ctrlProp254.xml><?xml version="1.0" encoding="utf-8"?>
<formControlPr xmlns="http://schemas.microsoft.com/office/spreadsheetml/2009/9/main" objectType="Button" lockText="1"/>
</file>

<file path=xl/ctrlProps/ctrlProp255.xml><?xml version="1.0" encoding="utf-8"?>
<formControlPr xmlns="http://schemas.microsoft.com/office/spreadsheetml/2009/9/main" objectType="Button" lockText="1"/>
</file>

<file path=xl/ctrlProps/ctrlProp256.xml><?xml version="1.0" encoding="utf-8"?>
<formControlPr xmlns="http://schemas.microsoft.com/office/spreadsheetml/2009/9/main" objectType="Button" lockText="1"/>
</file>

<file path=xl/ctrlProps/ctrlProp257.xml><?xml version="1.0" encoding="utf-8"?>
<formControlPr xmlns="http://schemas.microsoft.com/office/spreadsheetml/2009/9/main" objectType="Button" lockText="1"/>
</file>

<file path=xl/ctrlProps/ctrlProp258.xml><?xml version="1.0" encoding="utf-8"?>
<formControlPr xmlns="http://schemas.microsoft.com/office/spreadsheetml/2009/9/main" objectType="Button" lockText="1"/>
</file>

<file path=xl/ctrlProps/ctrlProp259.xml><?xml version="1.0" encoding="utf-8"?>
<formControlPr xmlns="http://schemas.microsoft.com/office/spreadsheetml/2009/9/main" objectType="Button" lockText="1"/>
</file>

<file path=xl/ctrlProps/ctrlProp260.xml><?xml version="1.0" encoding="utf-8"?>
<formControlPr xmlns="http://schemas.microsoft.com/office/spreadsheetml/2009/9/main" objectType="Button" lockText="1"/>
</file>

<file path=xl/ctrlProps/ctrlProp261.xml><?xml version="1.0" encoding="utf-8"?>
<formControlPr xmlns="http://schemas.microsoft.com/office/spreadsheetml/2009/9/main" objectType="Button" lockText="1"/>
</file>

<file path=xl/ctrlProps/ctrlProp262.xml><?xml version="1.0" encoding="utf-8"?>
<formControlPr xmlns="http://schemas.microsoft.com/office/spreadsheetml/2009/9/main" objectType="Button" lockText="1"/>
</file>

<file path=xl/ctrlProps/ctrlProp263.xml><?xml version="1.0" encoding="utf-8"?>
<formControlPr xmlns="http://schemas.microsoft.com/office/spreadsheetml/2009/9/main" objectType="Button" lockText="1"/>
</file>

<file path=xl/ctrlProps/ctrlProp264.xml><?xml version="1.0" encoding="utf-8"?>
<formControlPr xmlns="http://schemas.microsoft.com/office/spreadsheetml/2009/9/main" objectType="Button" lockText="1"/>
</file>

<file path=xl/ctrlProps/ctrlProp265.xml><?xml version="1.0" encoding="utf-8"?>
<formControlPr xmlns="http://schemas.microsoft.com/office/spreadsheetml/2009/9/main" objectType="Button" lockText="1"/>
</file>

<file path=xl/ctrlProps/ctrlProp266.xml><?xml version="1.0" encoding="utf-8"?>
<formControlPr xmlns="http://schemas.microsoft.com/office/spreadsheetml/2009/9/main" objectType="Button" lockText="1"/>
</file>

<file path=xl/ctrlProps/ctrlProp267.xml><?xml version="1.0" encoding="utf-8"?>
<formControlPr xmlns="http://schemas.microsoft.com/office/spreadsheetml/2009/9/main" objectType="Button" lockText="1"/>
</file>

<file path=xl/ctrlProps/ctrlProp268.xml><?xml version="1.0" encoding="utf-8"?>
<formControlPr xmlns="http://schemas.microsoft.com/office/spreadsheetml/2009/9/main" objectType="Button" lockText="1"/>
</file>

<file path=xl/ctrlProps/ctrlProp269.xml><?xml version="1.0" encoding="utf-8"?>
<formControlPr xmlns="http://schemas.microsoft.com/office/spreadsheetml/2009/9/main" objectType="Button" lockText="1"/>
</file>

<file path=xl/ctrlProps/ctrlProp270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76200</xdr:rowOff>
        </xdr:from>
        <xdr:to>
          <xdr:col>27</xdr:col>
          <xdr:colOff>47625</xdr:colOff>
          <xdr:row>0</xdr:row>
          <xdr:rowOff>295275</xdr:rowOff>
        </xdr:to>
        <xdr:sp macro="" textlink="">
          <xdr:nvSpPr>
            <xdr:cNvPr id="13313" name="表示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0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76200</xdr:rowOff>
        </xdr:from>
        <xdr:to>
          <xdr:col>31</xdr:col>
          <xdr:colOff>76200</xdr:colOff>
          <xdr:row>0</xdr:row>
          <xdr:rowOff>295275</xdr:rowOff>
        </xdr:to>
        <xdr:sp macro="" textlink="">
          <xdr:nvSpPr>
            <xdr:cNvPr id="13314" name="表示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0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390525</xdr:rowOff>
        </xdr:from>
        <xdr:to>
          <xdr:col>4</xdr:col>
          <xdr:colOff>200025</xdr:colOff>
          <xdr:row>0</xdr:row>
          <xdr:rowOff>609600</xdr:rowOff>
        </xdr:to>
        <xdr:sp macro="" textlink="">
          <xdr:nvSpPr>
            <xdr:cNvPr id="13315" name="呼出" hidden="1">
              <a:extLst>
                <a:ext uri="{63B3BB69-23CF-44E3-9099-C40C66FF867C}">
                  <a14:compatExt spid="_x0000_s13315"/>
                </a:ext>
                <a:ext uri="{FF2B5EF4-FFF2-40B4-BE49-F238E27FC236}">
                  <a16:creationId xmlns:a16="http://schemas.microsoft.com/office/drawing/2014/main" id="{00000000-0008-0000-0000-00000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呼出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390525</xdr:rowOff>
        </xdr:from>
        <xdr:to>
          <xdr:col>8</xdr:col>
          <xdr:colOff>123825</xdr:colOff>
          <xdr:row>0</xdr:row>
          <xdr:rowOff>609600</xdr:rowOff>
        </xdr:to>
        <xdr:sp macro="" textlink="">
          <xdr:nvSpPr>
            <xdr:cNvPr id="13316" name="保存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:a16="http://schemas.microsoft.com/office/drawing/2014/main" id="{00000000-0008-0000-0000-00000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保存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390525</xdr:rowOff>
        </xdr:from>
        <xdr:to>
          <xdr:col>44</xdr:col>
          <xdr:colOff>142875</xdr:colOff>
          <xdr:row>0</xdr:row>
          <xdr:rowOff>609600</xdr:rowOff>
        </xdr:to>
        <xdr:sp macro="" textlink="">
          <xdr:nvSpPr>
            <xdr:cNvPr id="13317" name="終了" hidden="1">
              <a:extLst>
                <a:ext uri="{63B3BB69-23CF-44E3-9099-C40C66FF867C}">
                  <a14:compatExt spid="_x0000_s13317"/>
                </a:ext>
                <a:ext uri="{FF2B5EF4-FFF2-40B4-BE49-F238E27FC236}">
                  <a16:creationId xmlns:a16="http://schemas.microsoft.com/office/drawing/2014/main" id="{00000000-0008-0000-0000-00000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終了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76200</xdr:rowOff>
        </xdr:from>
        <xdr:to>
          <xdr:col>13</xdr:col>
          <xdr:colOff>114300</xdr:colOff>
          <xdr:row>0</xdr:row>
          <xdr:rowOff>295275</xdr:rowOff>
        </xdr:to>
        <xdr:sp macro="" textlink="">
          <xdr:nvSpPr>
            <xdr:cNvPr id="13318" name="印刷" hidden="1">
              <a:extLst>
                <a:ext uri="{63B3BB69-23CF-44E3-9099-C40C66FF867C}">
                  <a14:compatExt spid="_x0000_s13318"/>
                </a:ext>
                <a:ext uri="{FF2B5EF4-FFF2-40B4-BE49-F238E27FC236}">
                  <a16:creationId xmlns:a16="http://schemas.microsoft.com/office/drawing/2014/main" id="{00000000-0008-0000-0000-00000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76200</xdr:rowOff>
        </xdr:from>
        <xdr:to>
          <xdr:col>4</xdr:col>
          <xdr:colOff>200025</xdr:colOff>
          <xdr:row>0</xdr:row>
          <xdr:rowOff>295275</xdr:rowOff>
        </xdr:to>
        <xdr:sp macro="" textlink="">
          <xdr:nvSpPr>
            <xdr:cNvPr id="13319" name="入力" hidden="1">
              <a:extLst>
                <a:ext uri="{63B3BB69-23CF-44E3-9099-C40C66FF867C}">
                  <a14:compatExt spid="_x0000_s13319"/>
                </a:ext>
                <a:ext uri="{FF2B5EF4-FFF2-40B4-BE49-F238E27FC236}">
                  <a16:creationId xmlns:a16="http://schemas.microsoft.com/office/drawing/2014/main" id="{00000000-0008-0000-0000-00000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76200</xdr:rowOff>
        </xdr:from>
        <xdr:to>
          <xdr:col>22</xdr:col>
          <xdr:colOff>66675</xdr:colOff>
          <xdr:row>0</xdr:row>
          <xdr:rowOff>295275</xdr:rowOff>
        </xdr:to>
        <xdr:sp macro="" textlink="">
          <xdr:nvSpPr>
            <xdr:cNvPr id="13320" name="削除" hidden="1">
              <a:extLst>
                <a:ext uri="{63B3BB69-23CF-44E3-9099-C40C66FF867C}">
                  <a14:compatExt spid="_x0000_s13320"/>
                </a:ext>
                <a:ext uri="{FF2B5EF4-FFF2-40B4-BE49-F238E27FC236}">
                  <a16:creationId xmlns:a16="http://schemas.microsoft.com/office/drawing/2014/main" id="{00000000-0008-0000-0000-000008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76200</xdr:rowOff>
        </xdr:from>
        <xdr:to>
          <xdr:col>35</xdr:col>
          <xdr:colOff>47625</xdr:colOff>
          <xdr:row>0</xdr:row>
          <xdr:rowOff>295275</xdr:rowOff>
        </xdr:to>
        <xdr:sp macro="" textlink="">
          <xdr:nvSpPr>
            <xdr:cNvPr id="13321" name="合計無" hidden="1">
              <a:extLst>
                <a:ext uri="{63B3BB69-23CF-44E3-9099-C40C66FF867C}">
                  <a14:compatExt spid="_x0000_s13321"/>
                </a:ext>
                <a:ext uri="{FF2B5EF4-FFF2-40B4-BE49-F238E27FC236}">
                  <a16:creationId xmlns:a16="http://schemas.microsoft.com/office/drawing/2014/main" id="{00000000-0008-0000-0000-000009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合計無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76200</xdr:rowOff>
        </xdr:from>
        <xdr:to>
          <xdr:col>44</xdr:col>
          <xdr:colOff>142875</xdr:colOff>
          <xdr:row>0</xdr:row>
          <xdr:rowOff>295275</xdr:rowOff>
        </xdr:to>
        <xdr:sp macro="" textlink="">
          <xdr:nvSpPr>
            <xdr:cNvPr id="13322" name="ヘルプ" hidden="1">
              <a:extLst>
                <a:ext uri="{63B3BB69-23CF-44E3-9099-C40C66FF867C}">
                  <a14:compatExt spid="_x0000_s13322"/>
                </a:ext>
                <a:ext uri="{FF2B5EF4-FFF2-40B4-BE49-F238E27FC236}">
                  <a16:creationId xmlns:a16="http://schemas.microsoft.com/office/drawing/2014/main" id="{00000000-0008-0000-0000-00000A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400050</xdr:rowOff>
        </xdr:from>
        <xdr:to>
          <xdr:col>35</xdr:col>
          <xdr:colOff>47625</xdr:colOff>
          <xdr:row>0</xdr:row>
          <xdr:rowOff>619125</xdr:rowOff>
        </xdr:to>
        <xdr:sp macro="" textlink="">
          <xdr:nvSpPr>
            <xdr:cNvPr id="13323" name="税無" hidden="1">
              <a:extLst>
                <a:ext uri="{63B3BB69-23CF-44E3-9099-C40C66FF867C}">
                  <a14:compatExt spid="_x0000_s13323"/>
                </a:ext>
                <a:ext uri="{FF2B5EF4-FFF2-40B4-BE49-F238E27FC236}">
                  <a16:creationId xmlns:a16="http://schemas.microsoft.com/office/drawing/2014/main" id="{00000000-0008-0000-0000-00000B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税無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390525</xdr:rowOff>
        </xdr:from>
        <xdr:to>
          <xdr:col>13</xdr:col>
          <xdr:colOff>114300</xdr:colOff>
          <xdr:row>0</xdr:row>
          <xdr:rowOff>609600</xdr:rowOff>
        </xdr:to>
        <xdr:sp macro="" textlink="">
          <xdr:nvSpPr>
            <xdr:cNvPr id="13324" name="画像" hidden="1">
              <a:extLst>
                <a:ext uri="{63B3BB69-23CF-44E3-9099-C40C66FF867C}">
                  <a14:compatExt spid="_x0000_s13324"/>
                </a:ext>
                <a:ext uri="{FF2B5EF4-FFF2-40B4-BE49-F238E27FC236}">
                  <a16:creationId xmlns:a16="http://schemas.microsoft.com/office/drawing/2014/main" id="{00000000-0008-0000-0000-00000C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390525</xdr:rowOff>
        </xdr:from>
        <xdr:to>
          <xdr:col>18</xdr:col>
          <xdr:colOff>9525</xdr:colOff>
          <xdr:row>0</xdr:row>
          <xdr:rowOff>609600</xdr:rowOff>
        </xdr:to>
        <xdr:sp macro="" textlink="">
          <xdr:nvSpPr>
            <xdr:cNvPr id="13325" name="画像PW" hidden="1">
              <a:extLst>
                <a:ext uri="{63B3BB69-23CF-44E3-9099-C40C66FF867C}">
                  <a14:compatExt spid="_x0000_s13325"/>
                </a:ext>
                <a:ext uri="{FF2B5EF4-FFF2-40B4-BE49-F238E27FC236}">
                  <a16:creationId xmlns:a16="http://schemas.microsoft.com/office/drawing/2014/main" id="{00000000-0008-0000-0000-00000D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印鑑PW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76200</xdr:rowOff>
        </xdr:from>
        <xdr:to>
          <xdr:col>8</xdr:col>
          <xdr:colOff>123825</xdr:colOff>
          <xdr:row>0</xdr:row>
          <xdr:rowOff>304800</xdr:rowOff>
        </xdr:to>
        <xdr:sp macro="" textlink="">
          <xdr:nvSpPr>
            <xdr:cNvPr id="13326" name="明細入力" hidden="1">
              <a:extLst>
                <a:ext uri="{63B3BB69-23CF-44E3-9099-C40C66FF867C}">
                  <a14:compatExt spid="_x0000_s13326"/>
                </a:ext>
                <a:ext uri="{FF2B5EF4-FFF2-40B4-BE49-F238E27FC236}">
                  <a16:creationId xmlns:a16="http://schemas.microsoft.com/office/drawing/2014/main" id="{00000000-0008-0000-0000-00000E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390525</xdr:rowOff>
        </xdr:from>
        <xdr:to>
          <xdr:col>27</xdr:col>
          <xdr:colOff>47625</xdr:colOff>
          <xdr:row>0</xdr:row>
          <xdr:rowOff>609600</xdr:rowOff>
        </xdr:to>
        <xdr:sp macro="" textlink="">
          <xdr:nvSpPr>
            <xdr:cNvPr id="13327" name="明細書" hidden="1">
              <a:extLst>
                <a:ext uri="{63B3BB69-23CF-44E3-9099-C40C66FF867C}">
                  <a14:compatExt spid="_x0000_s13327"/>
                </a:ext>
                <a:ext uri="{FF2B5EF4-FFF2-40B4-BE49-F238E27FC236}">
                  <a16:creationId xmlns:a16="http://schemas.microsoft.com/office/drawing/2014/main" id="{00000000-0008-0000-0000-00000F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明細書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29</xdr:col>
      <xdr:colOff>47625</xdr:colOff>
      <xdr:row>8</xdr:row>
      <xdr:rowOff>9525</xdr:rowOff>
    </xdr:from>
    <xdr:to>
      <xdr:col>45</xdr:col>
      <xdr:colOff>19050</xdr:colOff>
      <xdr:row>9</xdr:row>
      <xdr:rowOff>0</xdr:rowOff>
    </xdr:to>
    <xdr:sp macro="" textlink="">
      <xdr:nvSpPr>
        <xdr:cNvPr id="2" name="自社名">
          <a:extLst>
            <a:ext uri="{FF2B5EF4-FFF2-40B4-BE49-F238E27FC236}">
              <a16:creationId xmlns:a16="http://schemas.microsoft.com/office/drawing/2014/main" id="{3612D31C-A0DA-40F9-B559-720C94809D21}"/>
            </a:ext>
          </a:extLst>
        </xdr:cNvPr>
        <xdr:cNvSpPr>
          <a:spLocks noChangeArrowheads="1"/>
        </xdr:cNvSpPr>
      </xdr:nvSpPr>
      <xdr:spPr bwMode="auto">
        <a:xfrm>
          <a:off x="5038725" y="2076450"/>
          <a:ext cx="25717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株式会社リンシュンドウ</a:t>
          </a:r>
          <a:endParaRPr lang="ja-JP" altLang="en-US"/>
        </a:p>
      </xdr:txBody>
    </xdr:sp>
    <xdr:clientData/>
  </xdr:twoCellAnchor>
  <xdr:twoCellAnchor editAs="oneCell">
    <xdr:from>
      <xdr:col>30</xdr:col>
      <xdr:colOff>76201</xdr:colOff>
      <xdr:row>9</xdr:row>
      <xdr:rowOff>63500</xdr:rowOff>
    </xdr:from>
    <xdr:to>
      <xdr:col>40</xdr:col>
      <xdr:colOff>76200</xdr:colOff>
      <xdr:row>9</xdr:row>
      <xdr:rowOff>292100</xdr:rowOff>
    </xdr:to>
    <xdr:sp macro="" textlink="">
      <xdr:nvSpPr>
        <xdr:cNvPr id="3" name="自社郵便">
          <a:extLst>
            <a:ext uri="{FF2B5EF4-FFF2-40B4-BE49-F238E27FC236}">
              <a16:creationId xmlns:a16="http://schemas.microsoft.com/office/drawing/2014/main" id="{A525D921-178B-4651-B693-066B3E89996E}"/>
            </a:ext>
          </a:extLst>
        </xdr:cNvPr>
        <xdr:cNvSpPr>
          <a:spLocks noChangeArrowheads="1"/>
        </xdr:cNvSpPr>
      </xdr:nvSpPr>
      <xdr:spPr bwMode="auto">
        <a:xfrm>
          <a:off x="5229226" y="2320925"/>
          <a:ext cx="1609724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47625</xdr:colOff>
      <xdr:row>9</xdr:row>
      <xdr:rowOff>247650</xdr:rowOff>
    </xdr:from>
    <xdr:to>
      <xdr:col>45</xdr:col>
      <xdr:colOff>19050</xdr:colOff>
      <xdr:row>10</xdr:row>
      <xdr:rowOff>76200</xdr:rowOff>
    </xdr:to>
    <xdr:sp macro="" textlink="">
      <xdr:nvSpPr>
        <xdr:cNvPr id="4" name="自社住所">
          <a:extLst>
            <a:ext uri="{FF2B5EF4-FFF2-40B4-BE49-F238E27FC236}">
              <a16:creationId xmlns:a16="http://schemas.microsoft.com/office/drawing/2014/main" id="{28934F4B-E3C7-4DB0-B218-6CBB3BD0495B}"/>
            </a:ext>
          </a:extLst>
        </xdr:cNvPr>
        <xdr:cNvSpPr>
          <a:spLocks noChangeArrowheads="1"/>
        </xdr:cNvSpPr>
      </xdr:nvSpPr>
      <xdr:spPr bwMode="auto">
        <a:xfrm>
          <a:off x="4876800" y="2505075"/>
          <a:ext cx="273367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/>
            <a:t>502-0013 </a:t>
          </a:r>
          <a:r>
            <a:rPr lang="ja-JP" altLang="en-US"/>
            <a:t>岐阜市中川原４－４７サンマックスビル</a:t>
          </a:r>
        </a:p>
      </xdr:txBody>
    </xdr:sp>
    <xdr:clientData/>
  </xdr:twoCellAnchor>
  <xdr:twoCellAnchor editAs="oneCell">
    <xdr:from>
      <xdr:col>28</xdr:col>
      <xdr:colOff>57150</xdr:colOff>
      <xdr:row>10</xdr:row>
      <xdr:rowOff>28575</xdr:rowOff>
    </xdr:from>
    <xdr:to>
      <xdr:col>45</xdr:col>
      <xdr:colOff>19050</xdr:colOff>
      <xdr:row>11</xdr:row>
      <xdr:rowOff>28575</xdr:rowOff>
    </xdr:to>
    <xdr:sp macro="" textlink="">
      <xdr:nvSpPr>
        <xdr:cNvPr id="5" name="自社TEL-FAX">
          <a:extLst>
            <a:ext uri="{FF2B5EF4-FFF2-40B4-BE49-F238E27FC236}">
              <a16:creationId xmlns:a16="http://schemas.microsoft.com/office/drawing/2014/main" id="{C9C847DB-E24D-406B-B516-6FE70AA3D31A}"/>
            </a:ext>
          </a:extLst>
        </xdr:cNvPr>
        <xdr:cNvSpPr>
          <a:spLocks noChangeArrowheads="1"/>
        </xdr:cNvSpPr>
      </xdr:nvSpPr>
      <xdr:spPr bwMode="auto">
        <a:xfrm>
          <a:off x="4886325" y="2686050"/>
          <a:ext cx="27241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/>
            <a:t>登録番号</a:t>
          </a:r>
          <a:r>
            <a:rPr lang="en-US" altLang="ja-JP"/>
            <a:t>T6200001005823</a:t>
          </a:r>
          <a:endParaRPr lang="ja-JP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5</xdr:row>
          <xdr:rowOff>180975</xdr:rowOff>
        </xdr:from>
        <xdr:to>
          <xdr:col>0</xdr:col>
          <xdr:colOff>476250</xdr:colOff>
          <xdr:row>7</xdr:row>
          <xdr:rowOff>19050</xdr:rowOff>
        </xdr:to>
        <xdr:sp macro="" textlink="">
          <xdr:nvSpPr>
            <xdr:cNvPr id="13328" name="客呼" hidden="1">
              <a:extLst>
                <a:ext uri="{63B3BB69-23CF-44E3-9099-C40C66FF867C}">
                  <a14:compatExt spid="_x0000_s13328"/>
                </a:ext>
                <a:ext uri="{FF2B5EF4-FFF2-40B4-BE49-F238E27FC236}">
                  <a16:creationId xmlns:a16="http://schemas.microsoft.com/office/drawing/2014/main" id="{00000000-0008-0000-0000-000010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客呼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76200</xdr:rowOff>
        </xdr:from>
        <xdr:to>
          <xdr:col>0</xdr:col>
          <xdr:colOff>476250</xdr:colOff>
          <xdr:row>5</xdr:row>
          <xdr:rowOff>104775</xdr:rowOff>
        </xdr:to>
        <xdr:sp macro="" textlink="">
          <xdr:nvSpPr>
            <xdr:cNvPr id="13329" name="入力" hidden="1">
              <a:extLst>
                <a:ext uri="{63B3BB69-23CF-44E3-9099-C40C66FF867C}">
                  <a14:compatExt spid="_x0000_s13329"/>
                </a:ext>
                <a:ext uri="{FF2B5EF4-FFF2-40B4-BE49-F238E27FC236}">
                  <a16:creationId xmlns:a16="http://schemas.microsoft.com/office/drawing/2014/main" id="{00000000-0008-0000-0000-00001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95250</xdr:rowOff>
        </xdr:from>
        <xdr:to>
          <xdr:col>0</xdr:col>
          <xdr:colOff>476250</xdr:colOff>
          <xdr:row>8</xdr:row>
          <xdr:rowOff>123825</xdr:rowOff>
        </xdr:to>
        <xdr:sp macro="" textlink="">
          <xdr:nvSpPr>
            <xdr:cNvPr id="13330" name="担当呼出" hidden="1">
              <a:extLst>
                <a:ext uri="{63B3BB69-23CF-44E3-9099-C40C66FF867C}">
                  <a14:compatExt spid="_x0000_s13330"/>
                </a:ext>
                <a:ext uri="{FF2B5EF4-FFF2-40B4-BE49-F238E27FC236}">
                  <a16:creationId xmlns:a16="http://schemas.microsoft.com/office/drawing/2014/main" id="{00000000-0008-0000-0000-00001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担呼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95250</xdr:rowOff>
        </xdr:from>
        <xdr:to>
          <xdr:col>0</xdr:col>
          <xdr:colOff>476250</xdr:colOff>
          <xdr:row>25</xdr:row>
          <xdr:rowOff>314325</xdr:rowOff>
        </xdr:to>
        <xdr:sp macro="" textlink="">
          <xdr:nvSpPr>
            <xdr:cNvPr id="13331" name="品名呼出01" hidden="1">
              <a:extLst>
                <a:ext uri="{63B3BB69-23CF-44E3-9099-C40C66FF867C}">
                  <a14:compatExt spid="_x0000_s13331"/>
                </a:ext>
                <a:ext uri="{FF2B5EF4-FFF2-40B4-BE49-F238E27FC236}">
                  <a16:creationId xmlns:a16="http://schemas.microsoft.com/office/drawing/2014/main" id="{00000000-0008-0000-0000-00001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85725</xdr:rowOff>
        </xdr:from>
        <xdr:to>
          <xdr:col>0</xdr:col>
          <xdr:colOff>476250</xdr:colOff>
          <xdr:row>26</xdr:row>
          <xdr:rowOff>304800</xdr:rowOff>
        </xdr:to>
        <xdr:sp macro="" textlink="">
          <xdr:nvSpPr>
            <xdr:cNvPr id="13332" name="品名呼出02" hidden="1">
              <a:extLst>
                <a:ext uri="{63B3BB69-23CF-44E3-9099-C40C66FF867C}">
                  <a14:compatExt spid="_x0000_s13332"/>
                </a:ext>
                <a:ext uri="{FF2B5EF4-FFF2-40B4-BE49-F238E27FC236}">
                  <a16:creationId xmlns:a16="http://schemas.microsoft.com/office/drawing/2014/main" id="{00000000-0008-0000-0000-00001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95250</xdr:rowOff>
        </xdr:from>
        <xdr:to>
          <xdr:col>0</xdr:col>
          <xdr:colOff>476250</xdr:colOff>
          <xdr:row>27</xdr:row>
          <xdr:rowOff>314325</xdr:rowOff>
        </xdr:to>
        <xdr:sp macro="" textlink="">
          <xdr:nvSpPr>
            <xdr:cNvPr id="13333" name="品名呼出03" hidden="1">
              <a:extLst>
                <a:ext uri="{63B3BB69-23CF-44E3-9099-C40C66FF867C}">
                  <a14:compatExt spid="_x0000_s13333"/>
                </a:ext>
                <a:ext uri="{FF2B5EF4-FFF2-40B4-BE49-F238E27FC236}">
                  <a16:creationId xmlns:a16="http://schemas.microsoft.com/office/drawing/2014/main" id="{00000000-0008-0000-0000-00001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13334" name="品名呼出04" hidden="1">
              <a:extLst>
                <a:ext uri="{63B3BB69-23CF-44E3-9099-C40C66FF867C}">
                  <a14:compatExt spid="_x0000_s13334"/>
                </a:ext>
                <a:ext uri="{FF2B5EF4-FFF2-40B4-BE49-F238E27FC236}">
                  <a16:creationId xmlns:a16="http://schemas.microsoft.com/office/drawing/2014/main" id="{00000000-0008-0000-0000-00001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29</xdr:row>
          <xdr:rowOff>95250</xdr:rowOff>
        </xdr:from>
        <xdr:to>
          <xdr:col>0</xdr:col>
          <xdr:colOff>476250</xdr:colOff>
          <xdr:row>29</xdr:row>
          <xdr:rowOff>314325</xdr:rowOff>
        </xdr:to>
        <xdr:sp macro="" textlink="">
          <xdr:nvSpPr>
            <xdr:cNvPr id="13335" name="品名呼出05" hidden="1">
              <a:extLst>
                <a:ext uri="{63B3BB69-23CF-44E3-9099-C40C66FF867C}">
                  <a14:compatExt spid="_x0000_s13335"/>
                </a:ext>
                <a:ext uri="{FF2B5EF4-FFF2-40B4-BE49-F238E27FC236}">
                  <a16:creationId xmlns:a16="http://schemas.microsoft.com/office/drawing/2014/main" id="{00000000-0008-0000-0000-00001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30</xdr:row>
          <xdr:rowOff>95250</xdr:rowOff>
        </xdr:from>
        <xdr:to>
          <xdr:col>0</xdr:col>
          <xdr:colOff>476250</xdr:colOff>
          <xdr:row>30</xdr:row>
          <xdr:rowOff>314325</xdr:rowOff>
        </xdr:to>
        <xdr:sp macro="" textlink="">
          <xdr:nvSpPr>
            <xdr:cNvPr id="13336" name="品名呼出06" hidden="1">
              <a:extLst>
                <a:ext uri="{63B3BB69-23CF-44E3-9099-C40C66FF867C}">
                  <a14:compatExt spid="_x0000_s13336"/>
                </a:ext>
                <a:ext uri="{FF2B5EF4-FFF2-40B4-BE49-F238E27FC236}">
                  <a16:creationId xmlns:a16="http://schemas.microsoft.com/office/drawing/2014/main" id="{00000000-0008-0000-0000-000018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31</xdr:row>
          <xdr:rowOff>95250</xdr:rowOff>
        </xdr:from>
        <xdr:to>
          <xdr:col>0</xdr:col>
          <xdr:colOff>476250</xdr:colOff>
          <xdr:row>31</xdr:row>
          <xdr:rowOff>314325</xdr:rowOff>
        </xdr:to>
        <xdr:sp macro="" textlink="">
          <xdr:nvSpPr>
            <xdr:cNvPr id="13337" name="品名呼出07" hidden="1">
              <a:extLst>
                <a:ext uri="{63B3BB69-23CF-44E3-9099-C40C66FF867C}">
                  <a14:compatExt spid="_x0000_s13337"/>
                </a:ext>
                <a:ext uri="{FF2B5EF4-FFF2-40B4-BE49-F238E27FC236}">
                  <a16:creationId xmlns:a16="http://schemas.microsoft.com/office/drawing/2014/main" id="{00000000-0008-0000-0000-000019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32</xdr:row>
          <xdr:rowOff>95250</xdr:rowOff>
        </xdr:from>
        <xdr:to>
          <xdr:col>0</xdr:col>
          <xdr:colOff>476250</xdr:colOff>
          <xdr:row>32</xdr:row>
          <xdr:rowOff>314325</xdr:rowOff>
        </xdr:to>
        <xdr:sp macro="" textlink="">
          <xdr:nvSpPr>
            <xdr:cNvPr id="13338" name="品名呼出08" hidden="1">
              <a:extLst>
                <a:ext uri="{63B3BB69-23CF-44E3-9099-C40C66FF867C}">
                  <a14:compatExt spid="_x0000_s13338"/>
                </a:ext>
                <a:ext uri="{FF2B5EF4-FFF2-40B4-BE49-F238E27FC236}">
                  <a16:creationId xmlns:a16="http://schemas.microsoft.com/office/drawing/2014/main" id="{00000000-0008-0000-0000-00001A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33</xdr:row>
          <xdr:rowOff>95250</xdr:rowOff>
        </xdr:from>
        <xdr:to>
          <xdr:col>0</xdr:col>
          <xdr:colOff>476250</xdr:colOff>
          <xdr:row>33</xdr:row>
          <xdr:rowOff>314325</xdr:rowOff>
        </xdr:to>
        <xdr:sp macro="" textlink="">
          <xdr:nvSpPr>
            <xdr:cNvPr id="13339" name="品名呼出09" hidden="1">
              <a:extLst>
                <a:ext uri="{63B3BB69-23CF-44E3-9099-C40C66FF867C}">
                  <a14:compatExt spid="_x0000_s13339"/>
                </a:ext>
                <a:ext uri="{FF2B5EF4-FFF2-40B4-BE49-F238E27FC236}">
                  <a16:creationId xmlns:a16="http://schemas.microsoft.com/office/drawing/2014/main" id="{00000000-0008-0000-0000-00001B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34</xdr:row>
          <xdr:rowOff>95250</xdr:rowOff>
        </xdr:from>
        <xdr:to>
          <xdr:col>0</xdr:col>
          <xdr:colOff>476250</xdr:colOff>
          <xdr:row>34</xdr:row>
          <xdr:rowOff>314325</xdr:rowOff>
        </xdr:to>
        <xdr:sp macro="" textlink="">
          <xdr:nvSpPr>
            <xdr:cNvPr id="13340" name="品名呼出10" hidden="1">
              <a:extLst>
                <a:ext uri="{63B3BB69-23CF-44E3-9099-C40C66FF867C}">
                  <a14:compatExt spid="_x0000_s13340"/>
                </a:ext>
                <a:ext uri="{FF2B5EF4-FFF2-40B4-BE49-F238E27FC236}">
                  <a16:creationId xmlns:a16="http://schemas.microsoft.com/office/drawing/2014/main" id="{00000000-0008-0000-0000-00001C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35</xdr:row>
          <xdr:rowOff>95250</xdr:rowOff>
        </xdr:from>
        <xdr:to>
          <xdr:col>0</xdr:col>
          <xdr:colOff>476250</xdr:colOff>
          <xdr:row>35</xdr:row>
          <xdr:rowOff>314325</xdr:rowOff>
        </xdr:to>
        <xdr:sp macro="" textlink="">
          <xdr:nvSpPr>
            <xdr:cNvPr id="13341" name="品名呼出11" hidden="1">
              <a:extLst>
                <a:ext uri="{63B3BB69-23CF-44E3-9099-C40C66FF867C}">
                  <a14:compatExt spid="_x0000_s13341"/>
                </a:ext>
                <a:ext uri="{FF2B5EF4-FFF2-40B4-BE49-F238E27FC236}">
                  <a16:creationId xmlns:a16="http://schemas.microsoft.com/office/drawing/2014/main" id="{00000000-0008-0000-0000-00001D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36</xdr:row>
          <xdr:rowOff>95250</xdr:rowOff>
        </xdr:from>
        <xdr:to>
          <xdr:col>0</xdr:col>
          <xdr:colOff>476250</xdr:colOff>
          <xdr:row>36</xdr:row>
          <xdr:rowOff>314325</xdr:rowOff>
        </xdr:to>
        <xdr:sp macro="" textlink="">
          <xdr:nvSpPr>
            <xdr:cNvPr id="13342" name="品名呼出12" hidden="1">
              <a:extLst>
                <a:ext uri="{63B3BB69-23CF-44E3-9099-C40C66FF867C}">
                  <a14:compatExt spid="_x0000_s13342"/>
                </a:ext>
                <a:ext uri="{FF2B5EF4-FFF2-40B4-BE49-F238E27FC236}">
                  <a16:creationId xmlns:a16="http://schemas.microsoft.com/office/drawing/2014/main" id="{00000000-0008-0000-0000-00001E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</xdr:row>
          <xdr:rowOff>161925</xdr:rowOff>
        </xdr:from>
        <xdr:to>
          <xdr:col>0</xdr:col>
          <xdr:colOff>476250</xdr:colOff>
          <xdr:row>4</xdr:row>
          <xdr:rowOff>0</xdr:rowOff>
        </xdr:to>
        <xdr:sp macro="" textlink="">
          <xdr:nvSpPr>
            <xdr:cNvPr id="13343" name="更新" hidden="1">
              <a:extLst>
                <a:ext uri="{63B3BB69-23CF-44E3-9099-C40C66FF867C}">
                  <a14:compatExt spid="_x0000_s13343"/>
                </a:ext>
                <a:ext uri="{FF2B5EF4-FFF2-40B4-BE49-F238E27FC236}">
                  <a16:creationId xmlns:a16="http://schemas.microsoft.com/office/drawing/2014/main" id="{00000000-0008-0000-0000-00001F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76200</xdr:rowOff>
        </xdr:from>
        <xdr:to>
          <xdr:col>18</xdr:col>
          <xdr:colOff>9525</xdr:colOff>
          <xdr:row>0</xdr:row>
          <xdr:rowOff>295275</xdr:rowOff>
        </xdr:to>
        <xdr:sp macro="" textlink="">
          <xdr:nvSpPr>
            <xdr:cNvPr id="13344" name="プレビュー" hidden="1">
              <a:extLst>
                <a:ext uri="{63B3BB69-23CF-44E3-9099-C40C66FF867C}">
                  <a14:compatExt spid="_x0000_s13344"/>
                </a:ext>
                <a:ext uri="{FF2B5EF4-FFF2-40B4-BE49-F238E27FC236}">
                  <a16:creationId xmlns:a16="http://schemas.microsoft.com/office/drawing/2014/main" id="{00000000-0008-0000-0000-000020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400050</xdr:rowOff>
        </xdr:from>
        <xdr:to>
          <xdr:col>31</xdr:col>
          <xdr:colOff>76200</xdr:colOff>
          <xdr:row>0</xdr:row>
          <xdr:rowOff>619125</xdr:rowOff>
        </xdr:to>
        <xdr:sp macro="" textlink="">
          <xdr:nvSpPr>
            <xdr:cNvPr id="13345" name="環境設定" hidden="1">
              <a:extLst>
                <a:ext uri="{63B3BB69-23CF-44E3-9099-C40C66FF867C}">
                  <a14:compatExt spid="_x0000_s13345"/>
                </a:ext>
                <a:ext uri="{FF2B5EF4-FFF2-40B4-BE49-F238E27FC236}">
                  <a16:creationId xmlns:a16="http://schemas.microsoft.com/office/drawing/2014/main" id="{00000000-0008-0000-0000-00002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78</xdr:col>
          <xdr:colOff>76200</xdr:colOff>
          <xdr:row>98</xdr:row>
          <xdr:rowOff>66675</xdr:rowOff>
        </xdr:from>
        <xdr:to>
          <xdr:col>82</xdr:col>
          <xdr:colOff>57150</xdr:colOff>
          <xdr:row>99</xdr:row>
          <xdr:rowOff>95250</xdr:rowOff>
        </xdr:to>
        <xdr:sp macro="" textlink="">
          <xdr:nvSpPr>
            <xdr:cNvPr id="13346" name="詳細無" hidden="1">
              <a:extLst>
                <a:ext uri="{63B3BB69-23CF-44E3-9099-C40C66FF867C}">
                  <a14:compatExt spid="_x0000_s13346"/>
                </a:ext>
                <a:ext uri="{FF2B5EF4-FFF2-40B4-BE49-F238E27FC236}">
                  <a16:creationId xmlns:a16="http://schemas.microsoft.com/office/drawing/2014/main" id="{00000000-0008-0000-0000-00002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390525</xdr:rowOff>
        </xdr:from>
        <xdr:to>
          <xdr:col>22</xdr:col>
          <xdr:colOff>66675</xdr:colOff>
          <xdr:row>0</xdr:row>
          <xdr:rowOff>609600</xdr:rowOff>
        </xdr:to>
        <xdr:sp macro="" textlink="">
          <xdr:nvSpPr>
            <xdr:cNvPr id="13347" name="電卓" hidden="1">
              <a:extLst>
                <a:ext uri="{63B3BB69-23CF-44E3-9099-C40C66FF867C}">
                  <a14:compatExt spid="_x0000_s13347"/>
                </a:ext>
                <a:ext uri="{FF2B5EF4-FFF2-40B4-BE49-F238E27FC236}">
                  <a16:creationId xmlns:a16="http://schemas.microsoft.com/office/drawing/2014/main" id="{00000000-0008-0000-0000-00002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400</xdr:row>
          <xdr:rowOff>104775</xdr:rowOff>
        </xdr:from>
        <xdr:to>
          <xdr:col>156</xdr:col>
          <xdr:colOff>38100</xdr:colOff>
          <xdr:row>401</xdr:row>
          <xdr:rowOff>133350</xdr:rowOff>
        </xdr:to>
        <xdr:sp macro="" textlink="">
          <xdr:nvSpPr>
            <xdr:cNvPr id="13348" name="データ更新" hidden="1">
              <a:extLst>
                <a:ext uri="{63B3BB69-23CF-44E3-9099-C40C66FF867C}">
                  <a14:compatExt spid="_x0000_s13348"/>
                </a:ext>
                <a:ext uri="{FF2B5EF4-FFF2-40B4-BE49-F238E27FC236}">
                  <a16:creationId xmlns:a16="http://schemas.microsoft.com/office/drawing/2014/main" id="{00000000-0008-0000-0000-00002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ﾃﾞｰﾀ更新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76200</xdr:rowOff>
        </xdr:from>
        <xdr:to>
          <xdr:col>40</xdr:col>
          <xdr:colOff>76200</xdr:colOff>
          <xdr:row>0</xdr:row>
          <xdr:rowOff>295275</xdr:rowOff>
        </xdr:to>
        <xdr:sp macro="" textlink="">
          <xdr:nvSpPr>
            <xdr:cNvPr id="13349" name="並替" hidden="1">
              <a:extLst>
                <a:ext uri="{63B3BB69-23CF-44E3-9099-C40C66FF867C}">
                  <a14:compatExt spid="_x0000_s13349"/>
                </a:ext>
                <a:ext uri="{FF2B5EF4-FFF2-40B4-BE49-F238E27FC236}">
                  <a16:creationId xmlns:a16="http://schemas.microsoft.com/office/drawing/2014/main" id="{00000000-0008-0000-0000-00002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並替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403</xdr:row>
          <xdr:rowOff>104775</xdr:rowOff>
        </xdr:from>
        <xdr:to>
          <xdr:col>156</xdr:col>
          <xdr:colOff>38100</xdr:colOff>
          <xdr:row>404</xdr:row>
          <xdr:rowOff>133350</xdr:rowOff>
        </xdr:to>
        <xdr:sp macro="" textlink="">
          <xdr:nvSpPr>
            <xdr:cNvPr id="13350" name="戻る2" hidden="1">
              <a:extLst>
                <a:ext uri="{63B3BB69-23CF-44E3-9099-C40C66FF867C}">
                  <a14:compatExt spid="_x0000_s13350"/>
                </a:ext>
                <a:ext uri="{FF2B5EF4-FFF2-40B4-BE49-F238E27FC236}">
                  <a16:creationId xmlns:a16="http://schemas.microsoft.com/office/drawing/2014/main" id="{00000000-0008-0000-0000-00002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402</xdr:row>
          <xdr:rowOff>19050</xdr:rowOff>
        </xdr:from>
        <xdr:to>
          <xdr:col>156</xdr:col>
          <xdr:colOff>38100</xdr:colOff>
          <xdr:row>403</xdr:row>
          <xdr:rowOff>47625</xdr:rowOff>
        </xdr:to>
        <xdr:sp macro="" textlink="">
          <xdr:nvSpPr>
            <xdr:cNvPr id="13351" name="環境設定2" hidden="1">
              <a:extLst>
                <a:ext uri="{63B3BB69-23CF-44E3-9099-C40C66FF867C}">
                  <a14:compatExt spid="_x0000_s13351"/>
                </a:ext>
                <a:ext uri="{FF2B5EF4-FFF2-40B4-BE49-F238E27FC236}">
                  <a16:creationId xmlns:a16="http://schemas.microsoft.com/office/drawing/2014/main" id="{00000000-0008-0000-0000-00002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399</xdr:row>
          <xdr:rowOff>0</xdr:rowOff>
        </xdr:from>
        <xdr:to>
          <xdr:col>156</xdr:col>
          <xdr:colOff>38100</xdr:colOff>
          <xdr:row>400</xdr:row>
          <xdr:rowOff>28575</xdr:rowOff>
        </xdr:to>
        <xdr:sp macro="" textlink="">
          <xdr:nvSpPr>
            <xdr:cNvPr id="13352" name="再選択" hidden="1">
              <a:extLst>
                <a:ext uri="{63B3BB69-23CF-44E3-9099-C40C66FF867C}">
                  <a14:compatExt spid="_x0000_s13352"/>
                </a:ext>
                <a:ext uri="{FF2B5EF4-FFF2-40B4-BE49-F238E27FC236}">
                  <a16:creationId xmlns:a16="http://schemas.microsoft.com/office/drawing/2014/main" id="{00000000-0008-0000-0000-000028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再選択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400050</xdr:rowOff>
        </xdr:from>
        <xdr:to>
          <xdr:col>40</xdr:col>
          <xdr:colOff>76200</xdr:colOff>
          <xdr:row>0</xdr:row>
          <xdr:rowOff>619125</xdr:rowOff>
        </xdr:to>
        <xdr:sp macro="" textlink="">
          <xdr:nvSpPr>
            <xdr:cNvPr id="13353" name="ﾃﾞｰﾀ処理" hidden="1">
              <a:extLst>
                <a:ext uri="{63B3BB69-23CF-44E3-9099-C40C66FF867C}">
                  <a14:compatExt spid="_x0000_s13353"/>
                </a:ext>
                <a:ext uri="{FF2B5EF4-FFF2-40B4-BE49-F238E27FC236}">
                  <a16:creationId xmlns:a16="http://schemas.microsoft.com/office/drawing/2014/main" id="{00000000-0008-0000-0000-000029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ﾃﾞｰﾀ処理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82</xdr:col>
          <xdr:colOff>142875</xdr:colOff>
          <xdr:row>98</xdr:row>
          <xdr:rowOff>66675</xdr:rowOff>
        </xdr:from>
        <xdr:to>
          <xdr:col>88</xdr:col>
          <xdr:colOff>133350</xdr:colOff>
          <xdr:row>99</xdr:row>
          <xdr:rowOff>95250</xdr:rowOff>
        </xdr:to>
        <xdr:sp macro="" textlink="">
          <xdr:nvSpPr>
            <xdr:cNvPr id="13354" name="詳細無" hidden="1">
              <a:extLst>
                <a:ext uri="{63B3BB69-23CF-44E3-9099-C40C66FF867C}">
                  <a14:compatExt spid="_x0000_s13354"/>
                </a:ext>
                <a:ext uri="{FF2B5EF4-FFF2-40B4-BE49-F238E27FC236}">
                  <a16:creationId xmlns:a16="http://schemas.microsoft.com/office/drawing/2014/main" id="{00000000-0008-0000-0000-00002A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自社情報更新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118</xdr:row>
          <xdr:rowOff>9525</xdr:rowOff>
        </xdr:from>
        <xdr:to>
          <xdr:col>115</xdr:col>
          <xdr:colOff>447675</xdr:colOff>
          <xdr:row>118</xdr:row>
          <xdr:rowOff>180975</xdr:rowOff>
        </xdr:to>
        <xdr:sp macro="" textlink="">
          <xdr:nvSpPr>
            <xdr:cNvPr id="13355" name="参照1" hidden="1">
              <a:extLst>
                <a:ext uri="{63B3BB69-23CF-44E3-9099-C40C66FF867C}">
                  <a14:compatExt spid="_x0000_s13355"/>
                </a:ext>
                <a:ext uri="{FF2B5EF4-FFF2-40B4-BE49-F238E27FC236}">
                  <a16:creationId xmlns:a16="http://schemas.microsoft.com/office/drawing/2014/main" id="{00000000-0008-0000-0000-00002B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119</xdr:row>
          <xdr:rowOff>19050</xdr:rowOff>
        </xdr:from>
        <xdr:to>
          <xdr:col>115</xdr:col>
          <xdr:colOff>447675</xdr:colOff>
          <xdr:row>120</xdr:row>
          <xdr:rowOff>0</xdr:rowOff>
        </xdr:to>
        <xdr:sp macro="" textlink="">
          <xdr:nvSpPr>
            <xdr:cNvPr id="13356" name="参照2" hidden="1">
              <a:extLst>
                <a:ext uri="{63B3BB69-23CF-44E3-9099-C40C66FF867C}">
                  <a14:compatExt spid="_x0000_s13356"/>
                </a:ext>
                <a:ext uri="{FF2B5EF4-FFF2-40B4-BE49-F238E27FC236}">
                  <a16:creationId xmlns:a16="http://schemas.microsoft.com/office/drawing/2014/main" id="{00000000-0008-0000-0000-00002C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89</xdr:col>
          <xdr:colOff>57150</xdr:colOff>
          <xdr:row>98</xdr:row>
          <xdr:rowOff>57150</xdr:rowOff>
        </xdr:from>
        <xdr:to>
          <xdr:col>91</xdr:col>
          <xdr:colOff>142875</xdr:colOff>
          <xdr:row>99</xdr:row>
          <xdr:rowOff>85725</xdr:rowOff>
        </xdr:to>
        <xdr:sp macro="" textlink="">
          <xdr:nvSpPr>
            <xdr:cNvPr id="13357" name="入力" hidden="1">
              <a:extLst>
                <a:ext uri="{63B3BB69-23CF-44E3-9099-C40C66FF867C}">
                  <a14:compatExt spid="_x0000_s13357"/>
                </a:ext>
                <a:ext uri="{FF2B5EF4-FFF2-40B4-BE49-F238E27FC236}">
                  <a16:creationId xmlns:a16="http://schemas.microsoft.com/office/drawing/2014/main" id="{00000000-0008-0000-0000-00002D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認証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92</xdr:col>
          <xdr:colOff>66675</xdr:colOff>
          <xdr:row>98</xdr:row>
          <xdr:rowOff>57150</xdr:rowOff>
        </xdr:from>
        <xdr:to>
          <xdr:col>97</xdr:col>
          <xdr:colOff>85725</xdr:colOff>
          <xdr:row>99</xdr:row>
          <xdr:rowOff>85725</xdr:rowOff>
        </xdr:to>
        <xdr:sp macro="" textlink="">
          <xdr:nvSpPr>
            <xdr:cNvPr id="13358" name="入力" hidden="1">
              <a:extLst>
                <a:ext uri="{63B3BB69-23CF-44E3-9099-C40C66FF867C}">
                  <a14:compatExt spid="_x0000_s13358"/>
                </a:ext>
                <a:ext uri="{FF2B5EF4-FFF2-40B4-BE49-F238E27FC236}">
                  <a16:creationId xmlns:a16="http://schemas.microsoft.com/office/drawing/2014/main" id="{00000000-0008-0000-0000-00002E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MACアドレス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xdr:twoCellAnchor>
    <xdr:from>
      <xdr:col>28</xdr:col>
      <xdr:colOff>9525</xdr:colOff>
      <xdr:row>6</xdr:row>
      <xdr:rowOff>133350</xdr:rowOff>
    </xdr:from>
    <xdr:to>
      <xdr:col>44</xdr:col>
      <xdr:colOff>142875</xdr:colOff>
      <xdr:row>7</xdr:row>
      <xdr:rowOff>152400</xdr:rowOff>
    </xdr:to>
    <xdr:sp macro="" textlink="">
      <xdr:nvSpPr>
        <xdr:cNvPr id="6" name="自社タイトル">
          <a:extLst>
            <a:ext uri="{FF2B5EF4-FFF2-40B4-BE49-F238E27FC236}">
              <a16:creationId xmlns:a16="http://schemas.microsoft.com/office/drawing/2014/main" id="{BCD30449-A734-43A6-AD5E-C90BC59BB2DA}"/>
            </a:ext>
          </a:extLst>
        </xdr:cNvPr>
        <xdr:cNvSpPr>
          <a:spLocks noChangeArrowheads="1"/>
        </xdr:cNvSpPr>
      </xdr:nvSpPr>
      <xdr:spPr bwMode="auto">
        <a:xfrm>
          <a:off x="4838700" y="1819275"/>
          <a:ext cx="2733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サンマックスレーザー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FL/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GS/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LT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シリーズ</a:t>
          </a:r>
          <a:endParaRPr lang="ja-JP" altLang="en-US"/>
        </a:p>
      </xdr:txBody>
    </xdr:sp>
    <xdr:clientData/>
  </xdr:twoCellAnchor>
  <xdr:twoCellAnchor editAs="oneCell">
    <xdr:from>
      <xdr:col>39</xdr:col>
      <xdr:colOff>53975</xdr:colOff>
      <xdr:row>7</xdr:row>
      <xdr:rowOff>53975</xdr:rowOff>
    </xdr:from>
    <xdr:to>
      <xdr:col>44</xdr:col>
      <xdr:colOff>6350</xdr:colOff>
      <xdr:row>9</xdr:row>
      <xdr:rowOff>311150</xdr:rowOff>
    </xdr:to>
    <xdr:pic>
      <xdr:nvPicPr>
        <xdr:cNvPr id="7" name="Picture 393" descr="サンマックス">
          <a:extLst>
            <a:ext uri="{FF2B5EF4-FFF2-40B4-BE49-F238E27FC236}">
              <a16:creationId xmlns:a16="http://schemas.microsoft.com/office/drawing/2014/main" id="{EC379D67-A0E6-4C15-8A05-A240A1D39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1000" y="1930400"/>
          <a:ext cx="7048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18</xdr:row>
      <xdr:rowOff>142875</xdr:rowOff>
    </xdr:from>
    <xdr:to>
      <xdr:col>31</xdr:col>
      <xdr:colOff>0</xdr:colOff>
      <xdr:row>21</xdr:row>
      <xdr:rowOff>133350</xdr:rowOff>
    </xdr:to>
    <xdr:pic>
      <xdr:nvPicPr>
        <xdr:cNvPr id="8" name="Picture 395" descr="田中">
          <a:extLst>
            <a:ext uri="{FF2B5EF4-FFF2-40B4-BE49-F238E27FC236}">
              <a16:creationId xmlns:a16="http://schemas.microsoft.com/office/drawing/2014/main" id="{2E0954B0-938F-4BE9-996C-6EB8A8780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3800475"/>
          <a:ext cx="4476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76200</xdr:rowOff>
        </xdr:from>
        <xdr:to>
          <xdr:col>27</xdr:col>
          <xdr:colOff>47625</xdr:colOff>
          <xdr:row>0</xdr:row>
          <xdr:rowOff>295275</xdr:rowOff>
        </xdr:to>
        <xdr:sp macro="" textlink="">
          <xdr:nvSpPr>
            <xdr:cNvPr id="1025" name="表示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76200</xdr:rowOff>
        </xdr:from>
        <xdr:to>
          <xdr:col>31</xdr:col>
          <xdr:colOff>76200</xdr:colOff>
          <xdr:row>0</xdr:row>
          <xdr:rowOff>295275</xdr:rowOff>
        </xdr:to>
        <xdr:sp macro="" textlink="">
          <xdr:nvSpPr>
            <xdr:cNvPr id="1026" name="表示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390525</xdr:rowOff>
        </xdr:from>
        <xdr:to>
          <xdr:col>4</xdr:col>
          <xdr:colOff>200025</xdr:colOff>
          <xdr:row>0</xdr:row>
          <xdr:rowOff>609600</xdr:rowOff>
        </xdr:to>
        <xdr:sp macro="" textlink="">
          <xdr:nvSpPr>
            <xdr:cNvPr id="1027" name="呼出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1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呼出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390525</xdr:rowOff>
        </xdr:from>
        <xdr:to>
          <xdr:col>8</xdr:col>
          <xdr:colOff>123825</xdr:colOff>
          <xdr:row>0</xdr:row>
          <xdr:rowOff>609600</xdr:rowOff>
        </xdr:to>
        <xdr:sp macro="" textlink="">
          <xdr:nvSpPr>
            <xdr:cNvPr id="1028" name="保存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1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保存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390525</xdr:rowOff>
        </xdr:from>
        <xdr:to>
          <xdr:col>44</xdr:col>
          <xdr:colOff>142875</xdr:colOff>
          <xdr:row>0</xdr:row>
          <xdr:rowOff>609600</xdr:rowOff>
        </xdr:to>
        <xdr:sp macro="" textlink="">
          <xdr:nvSpPr>
            <xdr:cNvPr id="1029" name="終了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1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終了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76200</xdr:rowOff>
        </xdr:from>
        <xdr:to>
          <xdr:col>13</xdr:col>
          <xdr:colOff>114300</xdr:colOff>
          <xdr:row>0</xdr:row>
          <xdr:rowOff>295275</xdr:rowOff>
        </xdr:to>
        <xdr:sp macro="" textlink="">
          <xdr:nvSpPr>
            <xdr:cNvPr id="1030" name="印刷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1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76200</xdr:rowOff>
        </xdr:from>
        <xdr:to>
          <xdr:col>4</xdr:col>
          <xdr:colOff>200025</xdr:colOff>
          <xdr:row>0</xdr:row>
          <xdr:rowOff>295275</xdr:rowOff>
        </xdr:to>
        <xdr:sp macro="" textlink="">
          <xdr:nvSpPr>
            <xdr:cNvPr id="1031" name="入力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1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76200</xdr:rowOff>
        </xdr:from>
        <xdr:to>
          <xdr:col>22</xdr:col>
          <xdr:colOff>66675</xdr:colOff>
          <xdr:row>0</xdr:row>
          <xdr:rowOff>295275</xdr:rowOff>
        </xdr:to>
        <xdr:sp macro="" textlink="">
          <xdr:nvSpPr>
            <xdr:cNvPr id="1032" name="削除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1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76200</xdr:rowOff>
        </xdr:from>
        <xdr:to>
          <xdr:col>35</xdr:col>
          <xdr:colOff>47625</xdr:colOff>
          <xdr:row>0</xdr:row>
          <xdr:rowOff>295275</xdr:rowOff>
        </xdr:to>
        <xdr:sp macro="" textlink="">
          <xdr:nvSpPr>
            <xdr:cNvPr id="1033" name="合計無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1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合計無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76200</xdr:rowOff>
        </xdr:from>
        <xdr:to>
          <xdr:col>44</xdr:col>
          <xdr:colOff>142875</xdr:colOff>
          <xdr:row>0</xdr:row>
          <xdr:rowOff>295275</xdr:rowOff>
        </xdr:to>
        <xdr:sp macro="" textlink="">
          <xdr:nvSpPr>
            <xdr:cNvPr id="1034" name="ヘルプ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1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400050</xdr:rowOff>
        </xdr:from>
        <xdr:to>
          <xdr:col>35</xdr:col>
          <xdr:colOff>47625</xdr:colOff>
          <xdr:row>0</xdr:row>
          <xdr:rowOff>619125</xdr:rowOff>
        </xdr:to>
        <xdr:sp macro="" textlink="">
          <xdr:nvSpPr>
            <xdr:cNvPr id="1040" name="税無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1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税無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390525</xdr:rowOff>
        </xdr:from>
        <xdr:to>
          <xdr:col>13</xdr:col>
          <xdr:colOff>114300</xdr:colOff>
          <xdr:row>0</xdr:row>
          <xdr:rowOff>609600</xdr:rowOff>
        </xdr:to>
        <xdr:sp macro="" textlink="">
          <xdr:nvSpPr>
            <xdr:cNvPr id="1041" name="画像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1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390525</xdr:rowOff>
        </xdr:from>
        <xdr:to>
          <xdr:col>18</xdr:col>
          <xdr:colOff>9525</xdr:colOff>
          <xdr:row>0</xdr:row>
          <xdr:rowOff>609600</xdr:rowOff>
        </xdr:to>
        <xdr:sp macro="" textlink="">
          <xdr:nvSpPr>
            <xdr:cNvPr id="1042" name="画像PW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1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印鑑PW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76200</xdr:rowOff>
        </xdr:from>
        <xdr:to>
          <xdr:col>8</xdr:col>
          <xdr:colOff>123825</xdr:colOff>
          <xdr:row>0</xdr:row>
          <xdr:rowOff>304800</xdr:rowOff>
        </xdr:to>
        <xdr:sp macro="" textlink="">
          <xdr:nvSpPr>
            <xdr:cNvPr id="1044" name="明細入力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1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390525</xdr:rowOff>
        </xdr:from>
        <xdr:to>
          <xdr:col>27</xdr:col>
          <xdr:colOff>47625</xdr:colOff>
          <xdr:row>0</xdr:row>
          <xdr:rowOff>609600</xdr:rowOff>
        </xdr:to>
        <xdr:sp macro="" textlink="">
          <xdr:nvSpPr>
            <xdr:cNvPr id="1046" name="明細書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1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明細書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29</xdr:col>
      <xdr:colOff>47625</xdr:colOff>
      <xdr:row>8</xdr:row>
      <xdr:rowOff>9525</xdr:rowOff>
    </xdr:from>
    <xdr:to>
      <xdr:col>45</xdr:col>
      <xdr:colOff>19050</xdr:colOff>
      <xdr:row>9</xdr:row>
      <xdr:rowOff>0</xdr:rowOff>
    </xdr:to>
    <xdr:sp macro="" textlink="">
      <xdr:nvSpPr>
        <xdr:cNvPr id="1057" name="自社名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SpPr>
          <a:spLocks noChangeArrowheads="1"/>
        </xdr:cNvSpPr>
      </xdr:nvSpPr>
      <xdr:spPr bwMode="auto">
        <a:xfrm>
          <a:off x="5038725" y="2076450"/>
          <a:ext cx="25717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株式会社リンシュンドウ</a:t>
          </a:r>
          <a:endParaRPr lang="ja-JP" altLang="en-US"/>
        </a:p>
      </xdr:txBody>
    </xdr:sp>
    <xdr:clientData/>
  </xdr:twoCellAnchor>
  <xdr:twoCellAnchor editAs="oneCell">
    <xdr:from>
      <xdr:col>30</xdr:col>
      <xdr:colOff>76201</xdr:colOff>
      <xdr:row>9</xdr:row>
      <xdr:rowOff>63500</xdr:rowOff>
    </xdr:from>
    <xdr:to>
      <xdr:col>40</xdr:col>
      <xdr:colOff>76200</xdr:colOff>
      <xdr:row>9</xdr:row>
      <xdr:rowOff>292100</xdr:rowOff>
    </xdr:to>
    <xdr:sp macro="" textlink="">
      <xdr:nvSpPr>
        <xdr:cNvPr id="1058" name="自社郵便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>
          <a:spLocks noChangeArrowheads="1"/>
        </xdr:cNvSpPr>
      </xdr:nvSpPr>
      <xdr:spPr bwMode="auto">
        <a:xfrm>
          <a:off x="4743451" y="2317750"/>
          <a:ext cx="1466849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47625</xdr:colOff>
      <xdr:row>9</xdr:row>
      <xdr:rowOff>247650</xdr:rowOff>
    </xdr:from>
    <xdr:to>
      <xdr:col>45</xdr:col>
      <xdr:colOff>19050</xdr:colOff>
      <xdr:row>10</xdr:row>
      <xdr:rowOff>76200</xdr:rowOff>
    </xdr:to>
    <xdr:sp macro="" textlink="">
      <xdr:nvSpPr>
        <xdr:cNvPr id="1059" name="自社住所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>
          <a:spLocks noChangeArrowheads="1"/>
        </xdr:cNvSpPr>
      </xdr:nvSpPr>
      <xdr:spPr bwMode="auto">
        <a:xfrm>
          <a:off x="4876800" y="2505075"/>
          <a:ext cx="273367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/>
            <a:t>502-0013 </a:t>
          </a:r>
          <a:r>
            <a:rPr lang="ja-JP" altLang="en-US"/>
            <a:t>岐阜市中川原４－４７サンマックスビル</a:t>
          </a:r>
        </a:p>
      </xdr:txBody>
    </xdr:sp>
    <xdr:clientData/>
  </xdr:twoCellAnchor>
  <xdr:twoCellAnchor editAs="oneCell">
    <xdr:from>
      <xdr:col>28</xdr:col>
      <xdr:colOff>57150</xdr:colOff>
      <xdr:row>10</xdr:row>
      <xdr:rowOff>28575</xdr:rowOff>
    </xdr:from>
    <xdr:to>
      <xdr:col>45</xdr:col>
      <xdr:colOff>19050</xdr:colOff>
      <xdr:row>11</xdr:row>
      <xdr:rowOff>28575</xdr:rowOff>
    </xdr:to>
    <xdr:sp macro="" textlink="">
      <xdr:nvSpPr>
        <xdr:cNvPr id="1061" name="自社TEL-FAX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>
          <a:spLocks noChangeArrowheads="1"/>
        </xdr:cNvSpPr>
      </xdr:nvSpPr>
      <xdr:spPr bwMode="auto">
        <a:xfrm>
          <a:off x="4886325" y="2686050"/>
          <a:ext cx="27241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/>
            <a:t>登録番号</a:t>
          </a:r>
          <a:r>
            <a:rPr lang="en-US" altLang="ja-JP"/>
            <a:t>T6200001005823</a:t>
          </a:r>
          <a:endParaRPr lang="ja-JP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5</xdr:row>
          <xdr:rowOff>180975</xdr:rowOff>
        </xdr:from>
        <xdr:to>
          <xdr:col>0</xdr:col>
          <xdr:colOff>476250</xdr:colOff>
          <xdr:row>7</xdr:row>
          <xdr:rowOff>19050</xdr:rowOff>
        </xdr:to>
        <xdr:sp macro="" textlink="">
          <xdr:nvSpPr>
            <xdr:cNvPr id="1088" name="客呼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1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客呼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76200</xdr:rowOff>
        </xdr:from>
        <xdr:to>
          <xdr:col>0</xdr:col>
          <xdr:colOff>476250</xdr:colOff>
          <xdr:row>5</xdr:row>
          <xdr:rowOff>104775</xdr:rowOff>
        </xdr:to>
        <xdr:sp macro="" textlink="">
          <xdr:nvSpPr>
            <xdr:cNvPr id="1093" name="入力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1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95250</xdr:rowOff>
        </xdr:from>
        <xdr:to>
          <xdr:col>0</xdr:col>
          <xdr:colOff>476250</xdr:colOff>
          <xdr:row>8</xdr:row>
          <xdr:rowOff>123825</xdr:rowOff>
        </xdr:to>
        <xdr:sp macro="" textlink="">
          <xdr:nvSpPr>
            <xdr:cNvPr id="1096" name="担当呼出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1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担呼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95250</xdr:rowOff>
        </xdr:from>
        <xdr:to>
          <xdr:col>0</xdr:col>
          <xdr:colOff>476250</xdr:colOff>
          <xdr:row>25</xdr:row>
          <xdr:rowOff>314325</xdr:rowOff>
        </xdr:to>
        <xdr:sp macro="" textlink="">
          <xdr:nvSpPr>
            <xdr:cNvPr id="1097" name="品名呼出01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1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85725</xdr:rowOff>
        </xdr:from>
        <xdr:to>
          <xdr:col>0</xdr:col>
          <xdr:colOff>476250</xdr:colOff>
          <xdr:row>26</xdr:row>
          <xdr:rowOff>304800</xdr:rowOff>
        </xdr:to>
        <xdr:sp macro="" textlink="">
          <xdr:nvSpPr>
            <xdr:cNvPr id="1111" name="品名呼出02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1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95250</xdr:rowOff>
        </xdr:from>
        <xdr:to>
          <xdr:col>0</xdr:col>
          <xdr:colOff>476250</xdr:colOff>
          <xdr:row>27</xdr:row>
          <xdr:rowOff>314325</xdr:rowOff>
        </xdr:to>
        <xdr:sp macro="" textlink="">
          <xdr:nvSpPr>
            <xdr:cNvPr id="1112" name="品名呼出03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1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1113" name="品名呼出04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1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29</xdr:row>
          <xdr:rowOff>95250</xdr:rowOff>
        </xdr:from>
        <xdr:to>
          <xdr:col>0</xdr:col>
          <xdr:colOff>476250</xdr:colOff>
          <xdr:row>29</xdr:row>
          <xdr:rowOff>314325</xdr:rowOff>
        </xdr:to>
        <xdr:sp macro="" textlink="">
          <xdr:nvSpPr>
            <xdr:cNvPr id="1114" name="品名呼出05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1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30</xdr:row>
          <xdr:rowOff>95250</xdr:rowOff>
        </xdr:from>
        <xdr:to>
          <xdr:col>0</xdr:col>
          <xdr:colOff>476250</xdr:colOff>
          <xdr:row>30</xdr:row>
          <xdr:rowOff>314325</xdr:rowOff>
        </xdr:to>
        <xdr:sp macro="" textlink="">
          <xdr:nvSpPr>
            <xdr:cNvPr id="1115" name="品名呼出06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1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31</xdr:row>
          <xdr:rowOff>95250</xdr:rowOff>
        </xdr:from>
        <xdr:to>
          <xdr:col>0</xdr:col>
          <xdr:colOff>476250</xdr:colOff>
          <xdr:row>31</xdr:row>
          <xdr:rowOff>314325</xdr:rowOff>
        </xdr:to>
        <xdr:sp macro="" textlink="">
          <xdr:nvSpPr>
            <xdr:cNvPr id="1116" name="品名呼出07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1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32</xdr:row>
          <xdr:rowOff>95250</xdr:rowOff>
        </xdr:from>
        <xdr:to>
          <xdr:col>0</xdr:col>
          <xdr:colOff>476250</xdr:colOff>
          <xdr:row>32</xdr:row>
          <xdr:rowOff>314325</xdr:rowOff>
        </xdr:to>
        <xdr:sp macro="" textlink="">
          <xdr:nvSpPr>
            <xdr:cNvPr id="1117" name="品名呼出08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1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33</xdr:row>
          <xdr:rowOff>95250</xdr:rowOff>
        </xdr:from>
        <xdr:to>
          <xdr:col>0</xdr:col>
          <xdr:colOff>476250</xdr:colOff>
          <xdr:row>33</xdr:row>
          <xdr:rowOff>314325</xdr:rowOff>
        </xdr:to>
        <xdr:sp macro="" textlink="">
          <xdr:nvSpPr>
            <xdr:cNvPr id="1118" name="品名呼出09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1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34</xdr:row>
          <xdr:rowOff>95250</xdr:rowOff>
        </xdr:from>
        <xdr:to>
          <xdr:col>0</xdr:col>
          <xdr:colOff>476250</xdr:colOff>
          <xdr:row>34</xdr:row>
          <xdr:rowOff>314325</xdr:rowOff>
        </xdr:to>
        <xdr:sp macro="" textlink="">
          <xdr:nvSpPr>
            <xdr:cNvPr id="1119" name="品名呼出10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1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35</xdr:row>
          <xdr:rowOff>95250</xdr:rowOff>
        </xdr:from>
        <xdr:to>
          <xdr:col>0</xdr:col>
          <xdr:colOff>476250</xdr:colOff>
          <xdr:row>35</xdr:row>
          <xdr:rowOff>314325</xdr:rowOff>
        </xdr:to>
        <xdr:sp macro="" textlink="">
          <xdr:nvSpPr>
            <xdr:cNvPr id="1120" name="品名呼出11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1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36</xdr:row>
          <xdr:rowOff>95250</xdr:rowOff>
        </xdr:from>
        <xdr:to>
          <xdr:col>0</xdr:col>
          <xdr:colOff>476250</xdr:colOff>
          <xdr:row>36</xdr:row>
          <xdr:rowOff>314325</xdr:rowOff>
        </xdr:to>
        <xdr:sp macro="" textlink="">
          <xdr:nvSpPr>
            <xdr:cNvPr id="1121" name="品名呼出12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1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</xdr:row>
          <xdr:rowOff>161925</xdr:rowOff>
        </xdr:from>
        <xdr:to>
          <xdr:col>0</xdr:col>
          <xdr:colOff>476250</xdr:colOff>
          <xdr:row>4</xdr:row>
          <xdr:rowOff>0</xdr:rowOff>
        </xdr:to>
        <xdr:sp macro="" textlink="">
          <xdr:nvSpPr>
            <xdr:cNvPr id="1191" name="更新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1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76200</xdr:rowOff>
        </xdr:from>
        <xdr:to>
          <xdr:col>18</xdr:col>
          <xdr:colOff>9525</xdr:colOff>
          <xdr:row>0</xdr:row>
          <xdr:rowOff>295275</xdr:rowOff>
        </xdr:to>
        <xdr:sp macro="" textlink="">
          <xdr:nvSpPr>
            <xdr:cNvPr id="1201" name="プレビュー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1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400050</xdr:rowOff>
        </xdr:from>
        <xdr:to>
          <xdr:col>31</xdr:col>
          <xdr:colOff>76200</xdr:colOff>
          <xdr:row>0</xdr:row>
          <xdr:rowOff>619125</xdr:rowOff>
        </xdr:to>
        <xdr:sp macro="" textlink="">
          <xdr:nvSpPr>
            <xdr:cNvPr id="1231" name="環境設定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1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78</xdr:col>
          <xdr:colOff>76200</xdr:colOff>
          <xdr:row>98</xdr:row>
          <xdr:rowOff>66675</xdr:rowOff>
        </xdr:from>
        <xdr:to>
          <xdr:col>82</xdr:col>
          <xdr:colOff>57150</xdr:colOff>
          <xdr:row>99</xdr:row>
          <xdr:rowOff>95250</xdr:rowOff>
        </xdr:to>
        <xdr:sp macro="" textlink="">
          <xdr:nvSpPr>
            <xdr:cNvPr id="1232" name="詳細無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1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390525</xdr:rowOff>
        </xdr:from>
        <xdr:to>
          <xdr:col>22</xdr:col>
          <xdr:colOff>66675</xdr:colOff>
          <xdr:row>0</xdr:row>
          <xdr:rowOff>609600</xdr:rowOff>
        </xdr:to>
        <xdr:sp macro="" textlink="">
          <xdr:nvSpPr>
            <xdr:cNvPr id="1251" name="電卓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1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400</xdr:row>
          <xdr:rowOff>104775</xdr:rowOff>
        </xdr:from>
        <xdr:to>
          <xdr:col>156</xdr:col>
          <xdr:colOff>38100</xdr:colOff>
          <xdr:row>401</xdr:row>
          <xdr:rowOff>133350</xdr:rowOff>
        </xdr:to>
        <xdr:sp macro="" textlink="">
          <xdr:nvSpPr>
            <xdr:cNvPr id="1325" name="データ更新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00000000-0008-0000-0100-00002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ﾃﾞｰﾀ更新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76200</xdr:rowOff>
        </xdr:from>
        <xdr:to>
          <xdr:col>40</xdr:col>
          <xdr:colOff>76200</xdr:colOff>
          <xdr:row>0</xdr:row>
          <xdr:rowOff>295275</xdr:rowOff>
        </xdr:to>
        <xdr:sp macro="" textlink="">
          <xdr:nvSpPr>
            <xdr:cNvPr id="1327" name="並替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00000000-0008-0000-0100-00002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並替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403</xdr:row>
          <xdr:rowOff>104775</xdr:rowOff>
        </xdr:from>
        <xdr:to>
          <xdr:col>156</xdr:col>
          <xdr:colOff>38100</xdr:colOff>
          <xdr:row>404</xdr:row>
          <xdr:rowOff>133350</xdr:rowOff>
        </xdr:to>
        <xdr:sp macro="" textlink="">
          <xdr:nvSpPr>
            <xdr:cNvPr id="1328" name="戻る2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00000000-0008-0000-0100-00003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402</xdr:row>
          <xdr:rowOff>19050</xdr:rowOff>
        </xdr:from>
        <xdr:to>
          <xdr:col>156</xdr:col>
          <xdr:colOff>38100</xdr:colOff>
          <xdr:row>403</xdr:row>
          <xdr:rowOff>47625</xdr:rowOff>
        </xdr:to>
        <xdr:sp macro="" textlink="">
          <xdr:nvSpPr>
            <xdr:cNvPr id="1329" name="環境設定2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00000000-0008-0000-0100-00003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399</xdr:row>
          <xdr:rowOff>0</xdr:rowOff>
        </xdr:from>
        <xdr:to>
          <xdr:col>156</xdr:col>
          <xdr:colOff>38100</xdr:colOff>
          <xdr:row>400</xdr:row>
          <xdr:rowOff>28575</xdr:rowOff>
        </xdr:to>
        <xdr:sp macro="" textlink="">
          <xdr:nvSpPr>
            <xdr:cNvPr id="1332" name="再選択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1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再選択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400050</xdr:rowOff>
        </xdr:from>
        <xdr:to>
          <xdr:col>40</xdr:col>
          <xdr:colOff>76200</xdr:colOff>
          <xdr:row>0</xdr:row>
          <xdr:rowOff>619125</xdr:rowOff>
        </xdr:to>
        <xdr:sp macro="" textlink="">
          <xdr:nvSpPr>
            <xdr:cNvPr id="1334" name="ﾃﾞｰﾀ処理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1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ﾃﾞｰﾀ処理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82</xdr:col>
          <xdr:colOff>142875</xdr:colOff>
          <xdr:row>98</xdr:row>
          <xdr:rowOff>66675</xdr:rowOff>
        </xdr:from>
        <xdr:to>
          <xdr:col>88</xdr:col>
          <xdr:colOff>133350</xdr:colOff>
          <xdr:row>99</xdr:row>
          <xdr:rowOff>95250</xdr:rowOff>
        </xdr:to>
        <xdr:sp macro="" textlink="">
          <xdr:nvSpPr>
            <xdr:cNvPr id="1352" name="詳細無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00000000-0008-0000-0100-00004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自社情報更新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118</xdr:row>
          <xdr:rowOff>9525</xdr:rowOff>
        </xdr:from>
        <xdr:to>
          <xdr:col>115</xdr:col>
          <xdr:colOff>447675</xdr:colOff>
          <xdr:row>118</xdr:row>
          <xdr:rowOff>180975</xdr:rowOff>
        </xdr:to>
        <xdr:sp macro="" textlink="">
          <xdr:nvSpPr>
            <xdr:cNvPr id="1359" name="参照1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00000000-0008-0000-0100-00004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119</xdr:row>
          <xdr:rowOff>19050</xdr:rowOff>
        </xdr:from>
        <xdr:to>
          <xdr:col>115</xdr:col>
          <xdr:colOff>447675</xdr:colOff>
          <xdr:row>120</xdr:row>
          <xdr:rowOff>0</xdr:rowOff>
        </xdr:to>
        <xdr:sp macro="" textlink="">
          <xdr:nvSpPr>
            <xdr:cNvPr id="1361" name="参照2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00000000-0008-0000-0100-00005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89</xdr:col>
          <xdr:colOff>57150</xdr:colOff>
          <xdr:row>98</xdr:row>
          <xdr:rowOff>57150</xdr:rowOff>
        </xdr:from>
        <xdr:to>
          <xdr:col>91</xdr:col>
          <xdr:colOff>142875</xdr:colOff>
          <xdr:row>99</xdr:row>
          <xdr:rowOff>85725</xdr:rowOff>
        </xdr:to>
        <xdr:sp macro="" textlink="">
          <xdr:nvSpPr>
            <xdr:cNvPr id="1379" name="入力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00000000-0008-0000-0100-00006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認証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92</xdr:col>
          <xdr:colOff>66675</xdr:colOff>
          <xdr:row>98</xdr:row>
          <xdr:rowOff>57150</xdr:rowOff>
        </xdr:from>
        <xdr:to>
          <xdr:col>97</xdr:col>
          <xdr:colOff>85725</xdr:colOff>
          <xdr:row>99</xdr:row>
          <xdr:rowOff>85725</xdr:rowOff>
        </xdr:to>
        <xdr:sp macro="" textlink="">
          <xdr:nvSpPr>
            <xdr:cNvPr id="1381" name="入力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id="{00000000-0008-0000-0100-00006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MACアドレス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xdr:twoCellAnchor>
    <xdr:from>
      <xdr:col>28</xdr:col>
      <xdr:colOff>9525</xdr:colOff>
      <xdr:row>6</xdr:row>
      <xdr:rowOff>133350</xdr:rowOff>
    </xdr:from>
    <xdr:to>
      <xdr:col>44</xdr:col>
      <xdr:colOff>142875</xdr:colOff>
      <xdr:row>7</xdr:row>
      <xdr:rowOff>152400</xdr:rowOff>
    </xdr:to>
    <xdr:sp macro="" textlink="">
      <xdr:nvSpPr>
        <xdr:cNvPr id="1383" name="自社タイトル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SpPr>
          <a:spLocks noChangeArrowheads="1"/>
        </xdr:cNvSpPr>
      </xdr:nvSpPr>
      <xdr:spPr bwMode="auto">
        <a:xfrm>
          <a:off x="4838700" y="1819275"/>
          <a:ext cx="2733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サンマックスレーザー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FL/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GS/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LT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シリーズ</a:t>
          </a:r>
          <a:endParaRPr lang="ja-JP" altLang="en-US"/>
        </a:p>
      </xdr:txBody>
    </xdr:sp>
    <xdr:clientData/>
  </xdr:twoCellAnchor>
  <xdr:twoCellAnchor editAs="oneCell">
    <xdr:from>
      <xdr:col>39</xdr:col>
      <xdr:colOff>53975</xdr:colOff>
      <xdr:row>7</xdr:row>
      <xdr:rowOff>53975</xdr:rowOff>
    </xdr:from>
    <xdr:to>
      <xdr:col>44</xdr:col>
      <xdr:colOff>6350</xdr:colOff>
      <xdr:row>9</xdr:row>
      <xdr:rowOff>311150</xdr:rowOff>
    </xdr:to>
    <xdr:pic>
      <xdr:nvPicPr>
        <xdr:cNvPr id="1683" name="Picture 393" descr="サンマックス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1875" y="1927225"/>
          <a:ext cx="63182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18</xdr:row>
      <xdr:rowOff>142875</xdr:rowOff>
    </xdr:from>
    <xdr:to>
      <xdr:col>31</xdr:col>
      <xdr:colOff>0</xdr:colOff>
      <xdr:row>21</xdr:row>
      <xdr:rowOff>133350</xdr:rowOff>
    </xdr:to>
    <xdr:pic>
      <xdr:nvPicPr>
        <xdr:cNvPr id="1684" name="Picture 395" descr="田中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3800475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76200</xdr:rowOff>
        </xdr:from>
        <xdr:to>
          <xdr:col>27</xdr:col>
          <xdr:colOff>47625</xdr:colOff>
          <xdr:row>0</xdr:row>
          <xdr:rowOff>295275</xdr:rowOff>
        </xdr:to>
        <xdr:sp macro="" textlink="">
          <xdr:nvSpPr>
            <xdr:cNvPr id="8193" name="表示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2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76200</xdr:rowOff>
        </xdr:from>
        <xdr:to>
          <xdr:col>31</xdr:col>
          <xdr:colOff>76200</xdr:colOff>
          <xdr:row>0</xdr:row>
          <xdr:rowOff>295275</xdr:rowOff>
        </xdr:to>
        <xdr:sp macro="" textlink="">
          <xdr:nvSpPr>
            <xdr:cNvPr id="8194" name="表示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2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390525</xdr:rowOff>
        </xdr:from>
        <xdr:to>
          <xdr:col>4</xdr:col>
          <xdr:colOff>200025</xdr:colOff>
          <xdr:row>0</xdr:row>
          <xdr:rowOff>609600</xdr:rowOff>
        </xdr:to>
        <xdr:sp macro="" textlink="">
          <xdr:nvSpPr>
            <xdr:cNvPr id="8195" name="呼出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2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呼出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390525</xdr:rowOff>
        </xdr:from>
        <xdr:to>
          <xdr:col>8</xdr:col>
          <xdr:colOff>123825</xdr:colOff>
          <xdr:row>0</xdr:row>
          <xdr:rowOff>609600</xdr:rowOff>
        </xdr:to>
        <xdr:sp macro="" textlink="">
          <xdr:nvSpPr>
            <xdr:cNvPr id="8196" name="保存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0200-00000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保存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390525</xdr:rowOff>
        </xdr:from>
        <xdr:to>
          <xdr:col>44</xdr:col>
          <xdr:colOff>142875</xdr:colOff>
          <xdr:row>0</xdr:row>
          <xdr:rowOff>609600</xdr:rowOff>
        </xdr:to>
        <xdr:sp macro="" textlink="">
          <xdr:nvSpPr>
            <xdr:cNvPr id="8197" name="終了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00000000-0008-0000-0200-00000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終了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76200</xdr:rowOff>
        </xdr:from>
        <xdr:to>
          <xdr:col>13</xdr:col>
          <xdr:colOff>114300</xdr:colOff>
          <xdr:row>0</xdr:row>
          <xdr:rowOff>295275</xdr:rowOff>
        </xdr:to>
        <xdr:sp macro="" textlink="">
          <xdr:nvSpPr>
            <xdr:cNvPr id="8198" name="印刷" hidden="1">
              <a:extLst>
                <a:ext uri="{63B3BB69-23CF-44E3-9099-C40C66FF867C}">
                  <a14:compatExt spid="_x0000_s8198"/>
                </a:ext>
                <a:ext uri="{FF2B5EF4-FFF2-40B4-BE49-F238E27FC236}">
                  <a16:creationId xmlns:a16="http://schemas.microsoft.com/office/drawing/2014/main" id="{00000000-0008-0000-0200-00000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76200</xdr:rowOff>
        </xdr:from>
        <xdr:to>
          <xdr:col>4</xdr:col>
          <xdr:colOff>200025</xdr:colOff>
          <xdr:row>0</xdr:row>
          <xdr:rowOff>295275</xdr:rowOff>
        </xdr:to>
        <xdr:sp macro="" textlink="">
          <xdr:nvSpPr>
            <xdr:cNvPr id="8199" name="入力" hidden="1">
              <a:extLst>
                <a:ext uri="{63B3BB69-23CF-44E3-9099-C40C66FF867C}">
                  <a14:compatExt spid="_x0000_s8199"/>
                </a:ext>
                <a:ext uri="{FF2B5EF4-FFF2-40B4-BE49-F238E27FC236}">
                  <a16:creationId xmlns:a16="http://schemas.microsoft.com/office/drawing/2014/main" id="{00000000-0008-0000-0200-00000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76200</xdr:rowOff>
        </xdr:from>
        <xdr:to>
          <xdr:col>22</xdr:col>
          <xdr:colOff>66675</xdr:colOff>
          <xdr:row>0</xdr:row>
          <xdr:rowOff>295275</xdr:rowOff>
        </xdr:to>
        <xdr:sp macro="" textlink="">
          <xdr:nvSpPr>
            <xdr:cNvPr id="8200" name="削除" hidden="1">
              <a:extLst>
                <a:ext uri="{63B3BB69-23CF-44E3-9099-C40C66FF867C}">
                  <a14:compatExt spid="_x0000_s8200"/>
                </a:ext>
                <a:ext uri="{FF2B5EF4-FFF2-40B4-BE49-F238E27FC236}">
                  <a16:creationId xmlns:a16="http://schemas.microsoft.com/office/drawing/2014/main" id="{00000000-0008-0000-0200-00000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76200</xdr:rowOff>
        </xdr:from>
        <xdr:to>
          <xdr:col>35</xdr:col>
          <xdr:colOff>47625</xdr:colOff>
          <xdr:row>0</xdr:row>
          <xdr:rowOff>295275</xdr:rowOff>
        </xdr:to>
        <xdr:sp macro="" textlink="">
          <xdr:nvSpPr>
            <xdr:cNvPr id="8201" name="合計無" hidden="1">
              <a:extLst>
                <a:ext uri="{63B3BB69-23CF-44E3-9099-C40C66FF867C}">
                  <a14:compatExt spid="_x0000_s8201"/>
                </a:ext>
                <a:ext uri="{FF2B5EF4-FFF2-40B4-BE49-F238E27FC236}">
                  <a16:creationId xmlns:a16="http://schemas.microsoft.com/office/drawing/2014/main" id="{00000000-0008-0000-0200-00000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合計無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76200</xdr:rowOff>
        </xdr:from>
        <xdr:to>
          <xdr:col>44</xdr:col>
          <xdr:colOff>142875</xdr:colOff>
          <xdr:row>0</xdr:row>
          <xdr:rowOff>295275</xdr:rowOff>
        </xdr:to>
        <xdr:sp macro="" textlink="">
          <xdr:nvSpPr>
            <xdr:cNvPr id="8202" name="ヘルプ" hidden="1">
              <a:extLst>
                <a:ext uri="{63B3BB69-23CF-44E3-9099-C40C66FF867C}">
                  <a14:compatExt spid="_x0000_s8202"/>
                </a:ext>
                <a:ext uri="{FF2B5EF4-FFF2-40B4-BE49-F238E27FC236}">
                  <a16:creationId xmlns:a16="http://schemas.microsoft.com/office/drawing/2014/main" id="{00000000-0008-0000-0200-00000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400050</xdr:rowOff>
        </xdr:from>
        <xdr:to>
          <xdr:col>35</xdr:col>
          <xdr:colOff>47625</xdr:colOff>
          <xdr:row>0</xdr:row>
          <xdr:rowOff>619125</xdr:rowOff>
        </xdr:to>
        <xdr:sp macro="" textlink="">
          <xdr:nvSpPr>
            <xdr:cNvPr id="8203" name="税無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00000000-0008-0000-0200-00000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税無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390525</xdr:rowOff>
        </xdr:from>
        <xdr:to>
          <xdr:col>13</xdr:col>
          <xdr:colOff>114300</xdr:colOff>
          <xdr:row>0</xdr:row>
          <xdr:rowOff>609600</xdr:rowOff>
        </xdr:to>
        <xdr:sp macro="" textlink="">
          <xdr:nvSpPr>
            <xdr:cNvPr id="8204" name="画像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00000000-0008-0000-0200-00000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390525</xdr:rowOff>
        </xdr:from>
        <xdr:to>
          <xdr:col>18</xdr:col>
          <xdr:colOff>9525</xdr:colOff>
          <xdr:row>0</xdr:row>
          <xdr:rowOff>609600</xdr:rowOff>
        </xdr:to>
        <xdr:sp macro="" textlink="">
          <xdr:nvSpPr>
            <xdr:cNvPr id="8205" name="画像PW" hidden="1">
              <a:extLst>
                <a:ext uri="{63B3BB69-23CF-44E3-9099-C40C66FF867C}">
                  <a14:compatExt spid="_x0000_s8205"/>
                </a:ext>
                <a:ext uri="{FF2B5EF4-FFF2-40B4-BE49-F238E27FC236}">
                  <a16:creationId xmlns:a16="http://schemas.microsoft.com/office/drawing/2014/main" id="{00000000-0008-0000-0200-00000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印鑑PW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76200</xdr:rowOff>
        </xdr:from>
        <xdr:to>
          <xdr:col>8</xdr:col>
          <xdr:colOff>123825</xdr:colOff>
          <xdr:row>0</xdr:row>
          <xdr:rowOff>304800</xdr:rowOff>
        </xdr:to>
        <xdr:sp macro="" textlink="">
          <xdr:nvSpPr>
            <xdr:cNvPr id="8206" name="明細入力" hidden="1">
              <a:extLst>
                <a:ext uri="{63B3BB69-23CF-44E3-9099-C40C66FF867C}">
                  <a14:compatExt spid="_x0000_s8206"/>
                </a:ext>
                <a:ext uri="{FF2B5EF4-FFF2-40B4-BE49-F238E27FC236}">
                  <a16:creationId xmlns:a16="http://schemas.microsoft.com/office/drawing/2014/main" id="{00000000-0008-0000-0200-00000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390525</xdr:rowOff>
        </xdr:from>
        <xdr:to>
          <xdr:col>27</xdr:col>
          <xdr:colOff>47625</xdr:colOff>
          <xdr:row>0</xdr:row>
          <xdr:rowOff>609600</xdr:rowOff>
        </xdr:to>
        <xdr:sp macro="" textlink="">
          <xdr:nvSpPr>
            <xdr:cNvPr id="8207" name="明細書" hidden="1">
              <a:extLst>
                <a:ext uri="{63B3BB69-23CF-44E3-9099-C40C66FF867C}">
                  <a14:compatExt spid="_x0000_s8207"/>
                </a:ext>
                <a:ext uri="{FF2B5EF4-FFF2-40B4-BE49-F238E27FC236}">
                  <a16:creationId xmlns:a16="http://schemas.microsoft.com/office/drawing/2014/main" id="{00000000-0008-0000-0200-00000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明細書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29</xdr:col>
      <xdr:colOff>47625</xdr:colOff>
      <xdr:row>8</xdr:row>
      <xdr:rowOff>9525</xdr:rowOff>
    </xdr:from>
    <xdr:to>
      <xdr:col>45</xdr:col>
      <xdr:colOff>19050</xdr:colOff>
      <xdr:row>9</xdr:row>
      <xdr:rowOff>0</xdr:rowOff>
    </xdr:to>
    <xdr:sp macro="" textlink="">
      <xdr:nvSpPr>
        <xdr:cNvPr id="2" name="自社名">
          <a:extLst>
            <a:ext uri="{FF2B5EF4-FFF2-40B4-BE49-F238E27FC236}">
              <a16:creationId xmlns:a16="http://schemas.microsoft.com/office/drawing/2014/main" id="{B71E9367-5BD0-4088-A9F4-917FE313743E}"/>
            </a:ext>
          </a:extLst>
        </xdr:cNvPr>
        <xdr:cNvSpPr>
          <a:spLocks noChangeArrowheads="1"/>
        </xdr:cNvSpPr>
      </xdr:nvSpPr>
      <xdr:spPr bwMode="auto">
        <a:xfrm>
          <a:off x="5038725" y="2076450"/>
          <a:ext cx="25717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株式会社リンシュンドウ</a:t>
          </a:r>
          <a:endParaRPr lang="ja-JP" altLang="en-US"/>
        </a:p>
      </xdr:txBody>
    </xdr:sp>
    <xdr:clientData/>
  </xdr:twoCellAnchor>
  <xdr:twoCellAnchor editAs="oneCell">
    <xdr:from>
      <xdr:col>30</xdr:col>
      <xdr:colOff>76201</xdr:colOff>
      <xdr:row>9</xdr:row>
      <xdr:rowOff>63500</xdr:rowOff>
    </xdr:from>
    <xdr:to>
      <xdr:col>40</xdr:col>
      <xdr:colOff>76200</xdr:colOff>
      <xdr:row>9</xdr:row>
      <xdr:rowOff>292100</xdr:rowOff>
    </xdr:to>
    <xdr:sp macro="" textlink="">
      <xdr:nvSpPr>
        <xdr:cNvPr id="3" name="自社郵便">
          <a:extLst>
            <a:ext uri="{FF2B5EF4-FFF2-40B4-BE49-F238E27FC236}">
              <a16:creationId xmlns:a16="http://schemas.microsoft.com/office/drawing/2014/main" id="{E4B00678-B9AF-407A-9359-261CD0FBBBF8}"/>
            </a:ext>
          </a:extLst>
        </xdr:cNvPr>
        <xdr:cNvSpPr>
          <a:spLocks noChangeArrowheads="1"/>
        </xdr:cNvSpPr>
      </xdr:nvSpPr>
      <xdr:spPr bwMode="auto">
        <a:xfrm>
          <a:off x="5229226" y="2320925"/>
          <a:ext cx="1609724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47625</xdr:colOff>
      <xdr:row>9</xdr:row>
      <xdr:rowOff>247650</xdr:rowOff>
    </xdr:from>
    <xdr:to>
      <xdr:col>45</xdr:col>
      <xdr:colOff>19050</xdr:colOff>
      <xdr:row>10</xdr:row>
      <xdr:rowOff>76200</xdr:rowOff>
    </xdr:to>
    <xdr:sp macro="" textlink="">
      <xdr:nvSpPr>
        <xdr:cNvPr id="4" name="自社住所">
          <a:extLst>
            <a:ext uri="{FF2B5EF4-FFF2-40B4-BE49-F238E27FC236}">
              <a16:creationId xmlns:a16="http://schemas.microsoft.com/office/drawing/2014/main" id="{48E4EA8E-AF32-4D86-B4C8-346FA015DCA3}"/>
            </a:ext>
          </a:extLst>
        </xdr:cNvPr>
        <xdr:cNvSpPr>
          <a:spLocks noChangeArrowheads="1"/>
        </xdr:cNvSpPr>
      </xdr:nvSpPr>
      <xdr:spPr bwMode="auto">
        <a:xfrm>
          <a:off x="4876800" y="2505075"/>
          <a:ext cx="273367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/>
            <a:t>502-0013 </a:t>
          </a:r>
          <a:r>
            <a:rPr lang="ja-JP" altLang="en-US"/>
            <a:t>岐阜市中川原４－４７サンマックスビル</a:t>
          </a:r>
        </a:p>
      </xdr:txBody>
    </xdr:sp>
    <xdr:clientData/>
  </xdr:twoCellAnchor>
  <xdr:twoCellAnchor editAs="oneCell">
    <xdr:from>
      <xdr:col>28</xdr:col>
      <xdr:colOff>57150</xdr:colOff>
      <xdr:row>10</xdr:row>
      <xdr:rowOff>28575</xdr:rowOff>
    </xdr:from>
    <xdr:to>
      <xdr:col>45</xdr:col>
      <xdr:colOff>19050</xdr:colOff>
      <xdr:row>11</xdr:row>
      <xdr:rowOff>28575</xdr:rowOff>
    </xdr:to>
    <xdr:sp macro="" textlink="">
      <xdr:nvSpPr>
        <xdr:cNvPr id="5" name="自社TEL-FAX">
          <a:extLst>
            <a:ext uri="{FF2B5EF4-FFF2-40B4-BE49-F238E27FC236}">
              <a16:creationId xmlns:a16="http://schemas.microsoft.com/office/drawing/2014/main" id="{B79E89EC-507B-4D30-A820-887E63BD96D5}"/>
            </a:ext>
          </a:extLst>
        </xdr:cNvPr>
        <xdr:cNvSpPr>
          <a:spLocks noChangeArrowheads="1"/>
        </xdr:cNvSpPr>
      </xdr:nvSpPr>
      <xdr:spPr bwMode="auto">
        <a:xfrm>
          <a:off x="4886325" y="2686050"/>
          <a:ext cx="27241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/>
            <a:t>登録番号</a:t>
          </a:r>
          <a:r>
            <a:rPr lang="en-US" altLang="ja-JP"/>
            <a:t>T6200001005823</a:t>
          </a:r>
          <a:endParaRPr lang="ja-JP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5</xdr:row>
          <xdr:rowOff>180975</xdr:rowOff>
        </xdr:from>
        <xdr:to>
          <xdr:col>0</xdr:col>
          <xdr:colOff>476250</xdr:colOff>
          <xdr:row>7</xdr:row>
          <xdr:rowOff>19050</xdr:rowOff>
        </xdr:to>
        <xdr:sp macro="" textlink="">
          <xdr:nvSpPr>
            <xdr:cNvPr id="8208" name="客呼" hidden="1">
              <a:extLst>
                <a:ext uri="{63B3BB69-23CF-44E3-9099-C40C66FF867C}">
                  <a14:compatExt spid="_x0000_s8208"/>
                </a:ext>
                <a:ext uri="{FF2B5EF4-FFF2-40B4-BE49-F238E27FC236}">
                  <a16:creationId xmlns:a16="http://schemas.microsoft.com/office/drawing/2014/main" id="{00000000-0008-0000-0200-00001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客呼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76200</xdr:rowOff>
        </xdr:from>
        <xdr:to>
          <xdr:col>0</xdr:col>
          <xdr:colOff>476250</xdr:colOff>
          <xdr:row>5</xdr:row>
          <xdr:rowOff>104775</xdr:rowOff>
        </xdr:to>
        <xdr:sp macro="" textlink="">
          <xdr:nvSpPr>
            <xdr:cNvPr id="8209" name="入力" hidden="1">
              <a:extLst>
                <a:ext uri="{63B3BB69-23CF-44E3-9099-C40C66FF867C}">
                  <a14:compatExt spid="_x0000_s8209"/>
                </a:ext>
                <a:ext uri="{FF2B5EF4-FFF2-40B4-BE49-F238E27FC236}">
                  <a16:creationId xmlns:a16="http://schemas.microsoft.com/office/drawing/2014/main" id="{00000000-0008-0000-0200-00001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95250</xdr:rowOff>
        </xdr:from>
        <xdr:to>
          <xdr:col>0</xdr:col>
          <xdr:colOff>476250</xdr:colOff>
          <xdr:row>8</xdr:row>
          <xdr:rowOff>123825</xdr:rowOff>
        </xdr:to>
        <xdr:sp macro="" textlink="">
          <xdr:nvSpPr>
            <xdr:cNvPr id="8210" name="担当呼出" hidden="1">
              <a:extLst>
                <a:ext uri="{63B3BB69-23CF-44E3-9099-C40C66FF867C}">
                  <a14:compatExt spid="_x0000_s8210"/>
                </a:ext>
                <a:ext uri="{FF2B5EF4-FFF2-40B4-BE49-F238E27FC236}">
                  <a16:creationId xmlns:a16="http://schemas.microsoft.com/office/drawing/2014/main" id="{00000000-0008-0000-0200-00001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担呼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95250</xdr:rowOff>
        </xdr:from>
        <xdr:to>
          <xdr:col>0</xdr:col>
          <xdr:colOff>476250</xdr:colOff>
          <xdr:row>25</xdr:row>
          <xdr:rowOff>314325</xdr:rowOff>
        </xdr:to>
        <xdr:sp macro="" textlink="">
          <xdr:nvSpPr>
            <xdr:cNvPr id="8211" name="品名呼出01" hidden="1">
              <a:extLst>
                <a:ext uri="{63B3BB69-23CF-44E3-9099-C40C66FF867C}">
                  <a14:compatExt spid="_x0000_s8211"/>
                </a:ext>
                <a:ext uri="{FF2B5EF4-FFF2-40B4-BE49-F238E27FC236}">
                  <a16:creationId xmlns:a16="http://schemas.microsoft.com/office/drawing/2014/main" id="{00000000-0008-0000-0200-00001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85725</xdr:rowOff>
        </xdr:from>
        <xdr:to>
          <xdr:col>0</xdr:col>
          <xdr:colOff>476250</xdr:colOff>
          <xdr:row>26</xdr:row>
          <xdr:rowOff>304800</xdr:rowOff>
        </xdr:to>
        <xdr:sp macro="" textlink="">
          <xdr:nvSpPr>
            <xdr:cNvPr id="8212" name="品名呼出02" hidden="1">
              <a:extLst>
                <a:ext uri="{63B3BB69-23CF-44E3-9099-C40C66FF867C}">
                  <a14:compatExt spid="_x0000_s8212"/>
                </a:ext>
                <a:ext uri="{FF2B5EF4-FFF2-40B4-BE49-F238E27FC236}">
                  <a16:creationId xmlns:a16="http://schemas.microsoft.com/office/drawing/2014/main" id="{00000000-0008-0000-0200-00001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95250</xdr:rowOff>
        </xdr:from>
        <xdr:to>
          <xdr:col>0</xdr:col>
          <xdr:colOff>476250</xdr:colOff>
          <xdr:row>27</xdr:row>
          <xdr:rowOff>314325</xdr:rowOff>
        </xdr:to>
        <xdr:sp macro="" textlink="">
          <xdr:nvSpPr>
            <xdr:cNvPr id="8213" name="品名呼出03" hidden="1">
              <a:extLst>
                <a:ext uri="{63B3BB69-23CF-44E3-9099-C40C66FF867C}">
                  <a14:compatExt spid="_x0000_s8213"/>
                </a:ext>
                <a:ext uri="{FF2B5EF4-FFF2-40B4-BE49-F238E27FC236}">
                  <a16:creationId xmlns:a16="http://schemas.microsoft.com/office/drawing/2014/main" id="{00000000-0008-0000-0200-00001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8214" name="品名呼出04" hidden="1">
              <a:extLst>
                <a:ext uri="{63B3BB69-23CF-44E3-9099-C40C66FF867C}">
                  <a14:compatExt spid="_x0000_s8214"/>
                </a:ext>
                <a:ext uri="{FF2B5EF4-FFF2-40B4-BE49-F238E27FC236}">
                  <a16:creationId xmlns:a16="http://schemas.microsoft.com/office/drawing/2014/main" id="{00000000-0008-0000-0200-00001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29</xdr:row>
          <xdr:rowOff>95250</xdr:rowOff>
        </xdr:from>
        <xdr:to>
          <xdr:col>0</xdr:col>
          <xdr:colOff>476250</xdr:colOff>
          <xdr:row>29</xdr:row>
          <xdr:rowOff>314325</xdr:rowOff>
        </xdr:to>
        <xdr:sp macro="" textlink="">
          <xdr:nvSpPr>
            <xdr:cNvPr id="8215" name="品名呼出05" hidden="1">
              <a:extLst>
                <a:ext uri="{63B3BB69-23CF-44E3-9099-C40C66FF867C}">
                  <a14:compatExt spid="_x0000_s8215"/>
                </a:ext>
                <a:ext uri="{FF2B5EF4-FFF2-40B4-BE49-F238E27FC236}">
                  <a16:creationId xmlns:a16="http://schemas.microsoft.com/office/drawing/2014/main" id="{00000000-0008-0000-0200-00001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30</xdr:row>
          <xdr:rowOff>95250</xdr:rowOff>
        </xdr:from>
        <xdr:to>
          <xdr:col>0</xdr:col>
          <xdr:colOff>476250</xdr:colOff>
          <xdr:row>30</xdr:row>
          <xdr:rowOff>314325</xdr:rowOff>
        </xdr:to>
        <xdr:sp macro="" textlink="">
          <xdr:nvSpPr>
            <xdr:cNvPr id="8216" name="品名呼出06" hidden="1">
              <a:extLst>
                <a:ext uri="{63B3BB69-23CF-44E3-9099-C40C66FF867C}">
                  <a14:compatExt spid="_x0000_s8216"/>
                </a:ext>
                <a:ext uri="{FF2B5EF4-FFF2-40B4-BE49-F238E27FC236}">
                  <a16:creationId xmlns:a16="http://schemas.microsoft.com/office/drawing/2014/main" id="{00000000-0008-0000-0200-00001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31</xdr:row>
          <xdr:rowOff>95250</xdr:rowOff>
        </xdr:from>
        <xdr:to>
          <xdr:col>0</xdr:col>
          <xdr:colOff>476250</xdr:colOff>
          <xdr:row>31</xdr:row>
          <xdr:rowOff>314325</xdr:rowOff>
        </xdr:to>
        <xdr:sp macro="" textlink="">
          <xdr:nvSpPr>
            <xdr:cNvPr id="8217" name="品名呼出07" hidden="1">
              <a:extLst>
                <a:ext uri="{63B3BB69-23CF-44E3-9099-C40C66FF867C}">
                  <a14:compatExt spid="_x0000_s8217"/>
                </a:ext>
                <a:ext uri="{FF2B5EF4-FFF2-40B4-BE49-F238E27FC236}">
                  <a16:creationId xmlns:a16="http://schemas.microsoft.com/office/drawing/2014/main" id="{00000000-0008-0000-0200-00001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32</xdr:row>
          <xdr:rowOff>95250</xdr:rowOff>
        </xdr:from>
        <xdr:to>
          <xdr:col>0</xdr:col>
          <xdr:colOff>476250</xdr:colOff>
          <xdr:row>32</xdr:row>
          <xdr:rowOff>314325</xdr:rowOff>
        </xdr:to>
        <xdr:sp macro="" textlink="">
          <xdr:nvSpPr>
            <xdr:cNvPr id="8218" name="品名呼出08" hidden="1">
              <a:extLst>
                <a:ext uri="{63B3BB69-23CF-44E3-9099-C40C66FF867C}">
                  <a14:compatExt spid="_x0000_s8218"/>
                </a:ext>
                <a:ext uri="{FF2B5EF4-FFF2-40B4-BE49-F238E27FC236}">
                  <a16:creationId xmlns:a16="http://schemas.microsoft.com/office/drawing/2014/main" id="{00000000-0008-0000-0200-00001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33</xdr:row>
          <xdr:rowOff>95250</xdr:rowOff>
        </xdr:from>
        <xdr:to>
          <xdr:col>0</xdr:col>
          <xdr:colOff>476250</xdr:colOff>
          <xdr:row>33</xdr:row>
          <xdr:rowOff>314325</xdr:rowOff>
        </xdr:to>
        <xdr:sp macro="" textlink="">
          <xdr:nvSpPr>
            <xdr:cNvPr id="8219" name="品名呼出09" hidden="1">
              <a:extLst>
                <a:ext uri="{63B3BB69-23CF-44E3-9099-C40C66FF867C}">
                  <a14:compatExt spid="_x0000_s8219"/>
                </a:ext>
                <a:ext uri="{FF2B5EF4-FFF2-40B4-BE49-F238E27FC236}">
                  <a16:creationId xmlns:a16="http://schemas.microsoft.com/office/drawing/2014/main" id="{00000000-0008-0000-0200-00001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34</xdr:row>
          <xdr:rowOff>95250</xdr:rowOff>
        </xdr:from>
        <xdr:to>
          <xdr:col>0</xdr:col>
          <xdr:colOff>476250</xdr:colOff>
          <xdr:row>34</xdr:row>
          <xdr:rowOff>314325</xdr:rowOff>
        </xdr:to>
        <xdr:sp macro="" textlink="">
          <xdr:nvSpPr>
            <xdr:cNvPr id="8220" name="品名呼出10" hidden="1">
              <a:extLst>
                <a:ext uri="{63B3BB69-23CF-44E3-9099-C40C66FF867C}">
                  <a14:compatExt spid="_x0000_s8220"/>
                </a:ext>
                <a:ext uri="{FF2B5EF4-FFF2-40B4-BE49-F238E27FC236}">
                  <a16:creationId xmlns:a16="http://schemas.microsoft.com/office/drawing/2014/main" id="{00000000-0008-0000-0200-00001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35</xdr:row>
          <xdr:rowOff>95250</xdr:rowOff>
        </xdr:from>
        <xdr:to>
          <xdr:col>0</xdr:col>
          <xdr:colOff>476250</xdr:colOff>
          <xdr:row>35</xdr:row>
          <xdr:rowOff>314325</xdr:rowOff>
        </xdr:to>
        <xdr:sp macro="" textlink="">
          <xdr:nvSpPr>
            <xdr:cNvPr id="8221" name="品名呼出11" hidden="1">
              <a:extLst>
                <a:ext uri="{63B3BB69-23CF-44E3-9099-C40C66FF867C}">
                  <a14:compatExt spid="_x0000_s8221"/>
                </a:ext>
                <a:ext uri="{FF2B5EF4-FFF2-40B4-BE49-F238E27FC236}">
                  <a16:creationId xmlns:a16="http://schemas.microsoft.com/office/drawing/2014/main" id="{00000000-0008-0000-0200-00001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36</xdr:row>
          <xdr:rowOff>95250</xdr:rowOff>
        </xdr:from>
        <xdr:to>
          <xdr:col>0</xdr:col>
          <xdr:colOff>476250</xdr:colOff>
          <xdr:row>36</xdr:row>
          <xdr:rowOff>314325</xdr:rowOff>
        </xdr:to>
        <xdr:sp macro="" textlink="">
          <xdr:nvSpPr>
            <xdr:cNvPr id="8222" name="品名呼出12" hidden="1">
              <a:extLst>
                <a:ext uri="{63B3BB69-23CF-44E3-9099-C40C66FF867C}">
                  <a14:compatExt spid="_x0000_s8222"/>
                </a:ext>
                <a:ext uri="{FF2B5EF4-FFF2-40B4-BE49-F238E27FC236}">
                  <a16:creationId xmlns:a16="http://schemas.microsoft.com/office/drawing/2014/main" id="{00000000-0008-0000-0200-00001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</xdr:row>
          <xdr:rowOff>161925</xdr:rowOff>
        </xdr:from>
        <xdr:to>
          <xdr:col>0</xdr:col>
          <xdr:colOff>476250</xdr:colOff>
          <xdr:row>4</xdr:row>
          <xdr:rowOff>0</xdr:rowOff>
        </xdr:to>
        <xdr:sp macro="" textlink="">
          <xdr:nvSpPr>
            <xdr:cNvPr id="8223" name="更新" hidden="1">
              <a:extLst>
                <a:ext uri="{63B3BB69-23CF-44E3-9099-C40C66FF867C}">
                  <a14:compatExt spid="_x0000_s8223"/>
                </a:ext>
                <a:ext uri="{FF2B5EF4-FFF2-40B4-BE49-F238E27FC236}">
                  <a16:creationId xmlns:a16="http://schemas.microsoft.com/office/drawing/2014/main" id="{00000000-0008-0000-0200-00001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76200</xdr:rowOff>
        </xdr:from>
        <xdr:to>
          <xdr:col>18</xdr:col>
          <xdr:colOff>9525</xdr:colOff>
          <xdr:row>0</xdr:row>
          <xdr:rowOff>295275</xdr:rowOff>
        </xdr:to>
        <xdr:sp macro="" textlink="">
          <xdr:nvSpPr>
            <xdr:cNvPr id="8224" name="プレビュー" hidden="1">
              <a:extLst>
                <a:ext uri="{63B3BB69-23CF-44E3-9099-C40C66FF867C}">
                  <a14:compatExt spid="_x0000_s8224"/>
                </a:ext>
                <a:ext uri="{FF2B5EF4-FFF2-40B4-BE49-F238E27FC236}">
                  <a16:creationId xmlns:a16="http://schemas.microsoft.com/office/drawing/2014/main" id="{00000000-0008-0000-0200-00002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400050</xdr:rowOff>
        </xdr:from>
        <xdr:to>
          <xdr:col>31</xdr:col>
          <xdr:colOff>76200</xdr:colOff>
          <xdr:row>0</xdr:row>
          <xdr:rowOff>619125</xdr:rowOff>
        </xdr:to>
        <xdr:sp macro="" textlink="">
          <xdr:nvSpPr>
            <xdr:cNvPr id="8225" name="環境設定" hidden="1">
              <a:extLst>
                <a:ext uri="{63B3BB69-23CF-44E3-9099-C40C66FF867C}">
                  <a14:compatExt spid="_x0000_s8225"/>
                </a:ext>
                <a:ext uri="{FF2B5EF4-FFF2-40B4-BE49-F238E27FC236}">
                  <a16:creationId xmlns:a16="http://schemas.microsoft.com/office/drawing/2014/main" id="{00000000-0008-0000-0200-00002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78</xdr:col>
          <xdr:colOff>76200</xdr:colOff>
          <xdr:row>98</xdr:row>
          <xdr:rowOff>66675</xdr:rowOff>
        </xdr:from>
        <xdr:to>
          <xdr:col>82</xdr:col>
          <xdr:colOff>57150</xdr:colOff>
          <xdr:row>99</xdr:row>
          <xdr:rowOff>95250</xdr:rowOff>
        </xdr:to>
        <xdr:sp macro="" textlink="">
          <xdr:nvSpPr>
            <xdr:cNvPr id="8226" name="詳細無" hidden="1">
              <a:extLst>
                <a:ext uri="{63B3BB69-23CF-44E3-9099-C40C66FF867C}">
                  <a14:compatExt spid="_x0000_s8226"/>
                </a:ext>
                <a:ext uri="{FF2B5EF4-FFF2-40B4-BE49-F238E27FC236}">
                  <a16:creationId xmlns:a16="http://schemas.microsoft.com/office/drawing/2014/main" id="{00000000-0008-0000-0200-00002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390525</xdr:rowOff>
        </xdr:from>
        <xdr:to>
          <xdr:col>22</xdr:col>
          <xdr:colOff>66675</xdr:colOff>
          <xdr:row>0</xdr:row>
          <xdr:rowOff>609600</xdr:rowOff>
        </xdr:to>
        <xdr:sp macro="" textlink="">
          <xdr:nvSpPr>
            <xdr:cNvPr id="8227" name="電卓" hidden="1">
              <a:extLst>
                <a:ext uri="{63B3BB69-23CF-44E3-9099-C40C66FF867C}">
                  <a14:compatExt spid="_x0000_s8227"/>
                </a:ext>
                <a:ext uri="{FF2B5EF4-FFF2-40B4-BE49-F238E27FC236}">
                  <a16:creationId xmlns:a16="http://schemas.microsoft.com/office/drawing/2014/main" id="{00000000-0008-0000-0200-00002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400</xdr:row>
          <xdr:rowOff>104775</xdr:rowOff>
        </xdr:from>
        <xdr:to>
          <xdr:col>156</xdr:col>
          <xdr:colOff>38100</xdr:colOff>
          <xdr:row>401</xdr:row>
          <xdr:rowOff>133350</xdr:rowOff>
        </xdr:to>
        <xdr:sp macro="" textlink="">
          <xdr:nvSpPr>
            <xdr:cNvPr id="8228" name="データ更新" hidden="1">
              <a:extLst>
                <a:ext uri="{63B3BB69-23CF-44E3-9099-C40C66FF867C}">
                  <a14:compatExt spid="_x0000_s8228"/>
                </a:ext>
                <a:ext uri="{FF2B5EF4-FFF2-40B4-BE49-F238E27FC236}">
                  <a16:creationId xmlns:a16="http://schemas.microsoft.com/office/drawing/2014/main" id="{00000000-0008-0000-0200-00002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ﾃﾞｰﾀ更新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76200</xdr:rowOff>
        </xdr:from>
        <xdr:to>
          <xdr:col>40</xdr:col>
          <xdr:colOff>76200</xdr:colOff>
          <xdr:row>0</xdr:row>
          <xdr:rowOff>295275</xdr:rowOff>
        </xdr:to>
        <xdr:sp macro="" textlink="">
          <xdr:nvSpPr>
            <xdr:cNvPr id="8229" name="並替" hidden="1">
              <a:extLst>
                <a:ext uri="{63B3BB69-23CF-44E3-9099-C40C66FF867C}">
                  <a14:compatExt spid="_x0000_s8229"/>
                </a:ext>
                <a:ext uri="{FF2B5EF4-FFF2-40B4-BE49-F238E27FC236}">
                  <a16:creationId xmlns:a16="http://schemas.microsoft.com/office/drawing/2014/main" id="{00000000-0008-0000-0200-00002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並替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403</xdr:row>
          <xdr:rowOff>104775</xdr:rowOff>
        </xdr:from>
        <xdr:to>
          <xdr:col>156</xdr:col>
          <xdr:colOff>38100</xdr:colOff>
          <xdr:row>404</xdr:row>
          <xdr:rowOff>133350</xdr:rowOff>
        </xdr:to>
        <xdr:sp macro="" textlink="">
          <xdr:nvSpPr>
            <xdr:cNvPr id="8230" name="戻る2" hidden="1">
              <a:extLst>
                <a:ext uri="{63B3BB69-23CF-44E3-9099-C40C66FF867C}">
                  <a14:compatExt spid="_x0000_s8230"/>
                </a:ext>
                <a:ext uri="{FF2B5EF4-FFF2-40B4-BE49-F238E27FC236}">
                  <a16:creationId xmlns:a16="http://schemas.microsoft.com/office/drawing/2014/main" id="{00000000-0008-0000-0200-00002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402</xdr:row>
          <xdr:rowOff>19050</xdr:rowOff>
        </xdr:from>
        <xdr:to>
          <xdr:col>156</xdr:col>
          <xdr:colOff>38100</xdr:colOff>
          <xdr:row>403</xdr:row>
          <xdr:rowOff>47625</xdr:rowOff>
        </xdr:to>
        <xdr:sp macro="" textlink="">
          <xdr:nvSpPr>
            <xdr:cNvPr id="8231" name="環境設定2" hidden="1">
              <a:extLst>
                <a:ext uri="{63B3BB69-23CF-44E3-9099-C40C66FF867C}">
                  <a14:compatExt spid="_x0000_s8231"/>
                </a:ext>
                <a:ext uri="{FF2B5EF4-FFF2-40B4-BE49-F238E27FC236}">
                  <a16:creationId xmlns:a16="http://schemas.microsoft.com/office/drawing/2014/main" id="{00000000-0008-0000-0200-00002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399</xdr:row>
          <xdr:rowOff>0</xdr:rowOff>
        </xdr:from>
        <xdr:to>
          <xdr:col>156</xdr:col>
          <xdr:colOff>38100</xdr:colOff>
          <xdr:row>400</xdr:row>
          <xdr:rowOff>28575</xdr:rowOff>
        </xdr:to>
        <xdr:sp macro="" textlink="">
          <xdr:nvSpPr>
            <xdr:cNvPr id="8232" name="再選択" hidden="1">
              <a:extLst>
                <a:ext uri="{63B3BB69-23CF-44E3-9099-C40C66FF867C}">
                  <a14:compatExt spid="_x0000_s8232"/>
                </a:ext>
                <a:ext uri="{FF2B5EF4-FFF2-40B4-BE49-F238E27FC236}">
                  <a16:creationId xmlns:a16="http://schemas.microsoft.com/office/drawing/2014/main" id="{00000000-0008-0000-0200-00002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再選択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400050</xdr:rowOff>
        </xdr:from>
        <xdr:to>
          <xdr:col>40</xdr:col>
          <xdr:colOff>76200</xdr:colOff>
          <xdr:row>0</xdr:row>
          <xdr:rowOff>619125</xdr:rowOff>
        </xdr:to>
        <xdr:sp macro="" textlink="">
          <xdr:nvSpPr>
            <xdr:cNvPr id="8233" name="ﾃﾞｰﾀ処理" hidden="1">
              <a:extLst>
                <a:ext uri="{63B3BB69-23CF-44E3-9099-C40C66FF867C}">
                  <a14:compatExt spid="_x0000_s8233"/>
                </a:ext>
                <a:ext uri="{FF2B5EF4-FFF2-40B4-BE49-F238E27FC236}">
                  <a16:creationId xmlns:a16="http://schemas.microsoft.com/office/drawing/2014/main" id="{00000000-0008-0000-0200-00002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ﾃﾞｰﾀ処理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82</xdr:col>
          <xdr:colOff>142875</xdr:colOff>
          <xdr:row>98</xdr:row>
          <xdr:rowOff>66675</xdr:rowOff>
        </xdr:from>
        <xdr:to>
          <xdr:col>88</xdr:col>
          <xdr:colOff>133350</xdr:colOff>
          <xdr:row>99</xdr:row>
          <xdr:rowOff>95250</xdr:rowOff>
        </xdr:to>
        <xdr:sp macro="" textlink="">
          <xdr:nvSpPr>
            <xdr:cNvPr id="8234" name="詳細無" hidden="1">
              <a:extLst>
                <a:ext uri="{63B3BB69-23CF-44E3-9099-C40C66FF867C}">
                  <a14:compatExt spid="_x0000_s8234"/>
                </a:ext>
                <a:ext uri="{FF2B5EF4-FFF2-40B4-BE49-F238E27FC236}">
                  <a16:creationId xmlns:a16="http://schemas.microsoft.com/office/drawing/2014/main" id="{00000000-0008-0000-0200-00002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自社情報更新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118</xdr:row>
          <xdr:rowOff>9525</xdr:rowOff>
        </xdr:from>
        <xdr:to>
          <xdr:col>115</xdr:col>
          <xdr:colOff>447675</xdr:colOff>
          <xdr:row>118</xdr:row>
          <xdr:rowOff>180975</xdr:rowOff>
        </xdr:to>
        <xdr:sp macro="" textlink="">
          <xdr:nvSpPr>
            <xdr:cNvPr id="8235" name="参照1" hidden="1">
              <a:extLst>
                <a:ext uri="{63B3BB69-23CF-44E3-9099-C40C66FF867C}">
                  <a14:compatExt spid="_x0000_s8235"/>
                </a:ext>
                <a:ext uri="{FF2B5EF4-FFF2-40B4-BE49-F238E27FC236}">
                  <a16:creationId xmlns:a16="http://schemas.microsoft.com/office/drawing/2014/main" id="{00000000-0008-0000-0200-00002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119</xdr:row>
          <xdr:rowOff>19050</xdr:rowOff>
        </xdr:from>
        <xdr:to>
          <xdr:col>115</xdr:col>
          <xdr:colOff>447675</xdr:colOff>
          <xdr:row>120</xdr:row>
          <xdr:rowOff>0</xdr:rowOff>
        </xdr:to>
        <xdr:sp macro="" textlink="">
          <xdr:nvSpPr>
            <xdr:cNvPr id="8236" name="参照2" hidden="1">
              <a:extLst>
                <a:ext uri="{63B3BB69-23CF-44E3-9099-C40C66FF867C}">
                  <a14:compatExt spid="_x0000_s8236"/>
                </a:ext>
                <a:ext uri="{FF2B5EF4-FFF2-40B4-BE49-F238E27FC236}">
                  <a16:creationId xmlns:a16="http://schemas.microsoft.com/office/drawing/2014/main" id="{00000000-0008-0000-0200-00002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89</xdr:col>
          <xdr:colOff>57150</xdr:colOff>
          <xdr:row>98</xdr:row>
          <xdr:rowOff>57150</xdr:rowOff>
        </xdr:from>
        <xdr:to>
          <xdr:col>91</xdr:col>
          <xdr:colOff>142875</xdr:colOff>
          <xdr:row>99</xdr:row>
          <xdr:rowOff>85725</xdr:rowOff>
        </xdr:to>
        <xdr:sp macro="" textlink="">
          <xdr:nvSpPr>
            <xdr:cNvPr id="8237" name="入力" hidden="1">
              <a:extLst>
                <a:ext uri="{63B3BB69-23CF-44E3-9099-C40C66FF867C}">
                  <a14:compatExt spid="_x0000_s8237"/>
                </a:ext>
                <a:ext uri="{FF2B5EF4-FFF2-40B4-BE49-F238E27FC236}">
                  <a16:creationId xmlns:a16="http://schemas.microsoft.com/office/drawing/2014/main" id="{00000000-0008-0000-0200-00002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認証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92</xdr:col>
          <xdr:colOff>66675</xdr:colOff>
          <xdr:row>98</xdr:row>
          <xdr:rowOff>57150</xdr:rowOff>
        </xdr:from>
        <xdr:to>
          <xdr:col>97</xdr:col>
          <xdr:colOff>85725</xdr:colOff>
          <xdr:row>99</xdr:row>
          <xdr:rowOff>85725</xdr:rowOff>
        </xdr:to>
        <xdr:sp macro="" textlink="">
          <xdr:nvSpPr>
            <xdr:cNvPr id="8238" name="入力" hidden="1">
              <a:extLst>
                <a:ext uri="{63B3BB69-23CF-44E3-9099-C40C66FF867C}">
                  <a14:compatExt spid="_x0000_s8238"/>
                </a:ext>
                <a:ext uri="{FF2B5EF4-FFF2-40B4-BE49-F238E27FC236}">
                  <a16:creationId xmlns:a16="http://schemas.microsoft.com/office/drawing/2014/main" id="{00000000-0008-0000-0200-00002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MACアドレス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xdr:twoCellAnchor>
    <xdr:from>
      <xdr:col>28</xdr:col>
      <xdr:colOff>9525</xdr:colOff>
      <xdr:row>6</xdr:row>
      <xdr:rowOff>133350</xdr:rowOff>
    </xdr:from>
    <xdr:to>
      <xdr:col>44</xdr:col>
      <xdr:colOff>142875</xdr:colOff>
      <xdr:row>7</xdr:row>
      <xdr:rowOff>152400</xdr:rowOff>
    </xdr:to>
    <xdr:sp macro="" textlink="">
      <xdr:nvSpPr>
        <xdr:cNvPr id="6" name="自社タイトル">
          <a:extLst>
            <a:ext uri="{FF2B5EF4-FFF2-40B4-BE49-F238E27FC236}">
              <a16:creationId xmlns:a16="http://schemas.microsoft.com/office/drawing/2014/main" id="{B03FDBE0-F67E-4F76-BD2B-F3DBDF646616}"/>
            </a:ext>
          </a:extLst>
        </xdr:cNvPr>
        <xdr:cNvSpPr>
          <a:spLocks noChangeArrowheads="1"/>
        </xdr:cNvSpPr>
      </xdr:nvSpPr>
      <xdr:spPr bwMode="auto">
        <a:xfrm>
          <a:off x="4838700" y="1819275"/>
          <a:ext cx="2733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サンマックスレーザー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FL/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GS/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LT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シリーズ</a:t>
          </a:r>
          <a:endParaRPr lang="ja-JP" altLang="en-US"/>
        </a:p>
      </xdr:txBody>
    </xdr:sp>
    <xdr:clientData/>
  </xdr:twoCellAnchor>
  <xdr:twoCellAnchor editAs="oneCell">
    <xdr:from>
      <xdr:col>39</xdr:col>
      <xdr:colOff>53975</xdr:colOff>
      <xdr:row>7</xdr:row>
      <xdr:rowOff>53975</xdr:rowOff>
    </xdr:from>
    <xdr:to>
      <xdr:col>44</xdr:col>
      <xdr:colOff>6350</xdr:colOff>
      <xdr:row>9</xdr:row>
      <xdr:rowOff>311150</xdr:rowOff>
    </xdr:to>
    <xdr:pic>
      <xdr:nvPicPr>
        <xdr:cNvPr id="7" name="Picture 393" descr="サンマックス">
          <a:extLst>
            <a:ext uri="{FF2B5EF4-FFF2-40B4-BE49-F238E27FC236}">
              <a16:creationId xmlns:a16="http://schemas.microsoft.com/office/drawing/2014/main" id="{3A2FA549-4FD8-44DC-8534-16CA8611C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1000" y="1930400"/>
          <a:ext cx="7048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18</xdr:row>
      <xdr:rowOff>142875</xdr:rowOff>
    </xdr:from>
    <xdr:to>
      <xdr:col>31</xdr:col>
      <xdr:colOff>0</xdr:colOff>
      <xdr:row>21</xdr:row>
      <xdr:rowOff>133350</xdr:rowOff>
    </xdr:to>
    <xdr:pic>
      <xdr:nvPicPr>
        <xdr:cNvPr id="8" name="Picture 395" descr="田中">
          <a:extLst>
            <a:ext uri="{FF2B5EF4-FFF2-40B4-BE49-F238E27FC236}">
              <a16:creationId xmlns:a16="http://schemas.microsoft.com/office/drawing/2014/main" id="{A0409512-A3A0-4169-9CEC-7D96FAAA4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3800475"/>
          <a:ext cx="4476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4097" name="明細入力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4098" name="表示1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4099" name="明細入力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4100" name="明細入力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43</xdr:col>
          <xdr:colOff>0</xdr:colOff>
          <xdr:row>1</xdr:row>
          <xdr:rowOff>142875</xdr:rowOff>
        </xdr:to>
        <xdr:sp macro="" textlink="">
          <xdr:nvSpPr>
            <xdr:cNvPr id="4101" name="明細入力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4102" name="品名呼出201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4103" name="品名呼出202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1</xdr:col>
          <xdr:colOff>0</xdr:colOff>
          <xdr:row>8</xdr:row>
          <xdr:rowOff>295275</xdr:rowOff>
        </xdr:to>
        <xdr:sp macro="" textlink="">
          <xdr:nvSpPr>
            <xdr:cNvPr id="4104" name="品名呼出203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1</xdr:col>
          <xdr:colOff>0</xdr:colOff>
          <xdr:row>9</xdr:row>
          <xdr:rowOff>314325</xdr:rowOff>
        </xdr:to>
        <xdr:sp macro="" textlink="">
          <xdr:nvSpPr>
            <xdr:cNvPr id="4105" name="品名呼出204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4106" name="品名呼出205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1</xdr:col>
          <xdr:colOff>0</xdr:colOff>
          <xdr:row>11</xdr:row>
          <xdr:rowOff>314325</xdr:rowOff>
        </xdr:to>
        <xdr:sp macro="" textlink="">
          <xdr:nvSpPr>
            <xdr:cNvPr id="4107" name="品名呼出206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1</xdr:col>
          <xdr:colOff>0</xdr:colOff>
          <xdr:row>12</xdr:row>
          <xdr:rowOff>314325</xdr:rowOff>
        </xdr:to>
        <xdr:sp macro="" textlink="">
          <xdr:nvSpPr>
            <xdr:cNvPr id="4108" name="品名呼出207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4109" name="品名呼出208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1</xdr:col>
          <xdr:colOff>0</xdr:colOff>
          <xdr:row>14</xdr:row>
          <xdr:rowOff>295275</xdr:rowOff>
        </xdr:to>
        <xdr:sp macro="" textlink="">
          <xdr:nvSpPr>
            <xdr:cNvPr id="4110" name="品名呼出209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1</xdr:col>
          <xdr:colOff>0</xdr:colOff>
          <xdr:row>15</xdr:row>
          <xdr:rowOff>333375</xdr:rowOff>
        </xdr:to>
        <xdr:sp macro="" textlink="">
          <xdr:nvSpPr>
            <xdr:cNvPr id="4111" name="品名呼出210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1</xdr:col>
          <xdr:colOff>0</xdr:colOff>
          <xdr:row>16</xdr:row>
          <xdr:rowOff>314325</xdr:rowOff>
        </xdr:to>
        <xdr:sp macro="" textlink="">
          <xdr:nvSpPr>
            <xdr:cNvPr id="4112" name="品名呼出211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4113" name="品名呼出212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1</xdr:col>
          <xdr:colOff>0</xdr:colOff>
          <xdr:row>18</xdr:row>
          <xdr:rowOff>314325</xdr:rowOff>
        </xdr:to>
        <xdr:sp macro="" textlink="">
          <xdr:nvSpPr>
            <xdr:cNvPr id="4114" name="品名呼出213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4115" name="品名呼出214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4116" name="品名呼出215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4117" name="品名呼出216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00000000-0008-0000-0300-00001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1</xdr:col>
          <xdr:colOff>0</xdr:colOff>
          <xdr:row>22</xdr:row>
          <xdr:rowOff>314325</xdr:rowOff>
        </xdr:to>
        <xdr:sp macro="" textlink="">
          <xdr:nvSpPr>
            <xdr:cNvPr id="4118" name="品名呼出217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0000000-0008-0000-03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4119" name="品名呼出218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3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4120" name="品名呼出219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00000000-0008-0000-03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4121" name="品名呼出220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1</xdr:col>
          <xdr:colOff>0</xdr:colOff>
          <xdr:row>26</xdr:row>
          <xdr:rowOff>295275</xdr:rowOff>
        </xdr:to>
        <xdr:sp macro="" textlink="">
          <xdr:nvSpPr>
            <xdr:cNvPr id="4122" name="品名呼出221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4123" name="品名呼出222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1</xdr:col>
          <xdr:colOff>0</xdr:colOff>
          <xdr:row>28</xdr:row>
          <xdr:rowOff>314325</xdr:rowOff>
        </xdr:to>
        <xdr:sp macro="" textlink="">
          <xdr:nvSpPr>
            <xdr:cNvPr id="4124" name="品名呼出223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1</xdr:col>
          <xdr:colOff>0</xdr:colOff>
          <xdr:row>5</xdr:row>
          <xdr:rowOff>142875</xdr:rowOff>
        </xdr:to>
        <xdr:sp macro="" textlink="">
          <xdr:nvSpPr>
            <xdr:cNvPr id="4125" name="入力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4126" name="表示1" hidden="1">
              <a:extLst>
                <a:ext uri="{63B3BB69-23CF-44E3-9099-C40C66FF867C}">
                  <a14:compatExt spid="_x0000_s4126"/>
                </a:ext>
                <a:ext uri="{FF2B5EF4-FFF2-40B4-BE49-F238E27FC236}">
                  <a16:creationId xmlns:a16="http://schemas.microsoft.com/office/drawing/2014/main" id="{00000000-0008-0000-0300-00001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4127" name="表示2" hidden="1">
              <a:extLst>
                <a:ext uri="{63B3BB69-23CF-44E3-9099-C40C66FF867C}">
                  <a14:compatExt spid="_x0000_s4127"/>
                </a:ext>
                <a:ext uri="{FF2B5EF4-FFF2-40B4-BE49-F238E27FC236}">
                  <a16:creationId xmlns:a16="http://schemas.microsoft.com/office/drawing/2014/main" id="{00000000-0008-0000-0300-00001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4128" name="プレビュー" hidden="1">
              <a:extLst>
                <a:ext uri="{63B3BB69-23CF-44E3-9099-C40C66FF867C}">
                  <a14:compatExt spid="_x0000_s4128"/>
                </a:ext>
                <a:ext uri="{FF2B5EF4-FFF2-40B4-BE49-F238E27FC236}">
                  <a16:creationId xmlns:a16="http://schemas.microsoft.com/office/drawing/2014/main" id="{00000000-0008-0000-0300-00002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4129" name="電卓" hidden="1">
              <a:extLst>
                <a:ext uri="{63B3BB69-23CF-44E3-9099-C40C66FF867C}">
                  <a14:compatExt spid="_x0000_s4129"/>
                </a:ext>
                <a:ext uri="{FF2B5EF4-FFF2-40B4-BE49-F238E27FC236}">
                  <a16:creationId xmlns:a16="http://schemas.microsoft.com/office/drawing/2014/main" id="{00000000-0008-0000-0300-00002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5121" name="明細入力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4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5122" name="表示1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4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5123" name="明細入力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4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5124" name="明細入力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4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43</xdr:col>
          <xdr:colOff>0</xdr:colOff>
          <xdr:row>1</xdr:row>
          <xdr:rowOff>142875</xdr:rowOff>
        </xdr:to>
        <xdr:sp macro="" textlink="">
          <xdr:nvSpPr>
            <xdr:cNvPr id="5125" name="明細入力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4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5126" name="品名呼出201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4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5127" name="品名呼出202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0000000-0008-0000-0400-00000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1</xdr:col>
          <xdr:colOff>0</xdr:colOff>
          <xdr:row>8</xdr:row>
          <xdr:rowOff>295275</xdr:rowOff>
        </xdr:to>
        <xdr:sp macro="" textlink="">
          <xdr:nvSpPr>
            <xdr:cNvPr id="5128" name="品名呼出203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00000000-0008-0000-0400-00000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1</xdr:col>
          <xdr:colOff>0</xdr:colOff>
          <xdr:row>9</xdr:row>
          <xdr:rowOff>314325</xdr:rowOff>
        </xdr:to>
        <xdr:sp macro="" textlink="">
          <xdr:nvSpPr>
            <xdr:cNvPr id="5129" name="品名呼出204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0400-00000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5130" name="品名呼出205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4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1</xdr:col>
          <xdr:colOff>0</xdr:colOff>
          <xdr:row>11</xdr:row>
          <xdr:rowOff>314325</xdr:rowOff>
        </xdr:to>
        <xdr:sp macro="" textlink="">
          <xdr:nvSpPr>
            <xdr:cNvPr id="5131" name="品名呼出206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00000000-0008-0000-0400-00000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1</xdr:col>
          <xdr:colOff>0</xdr:colOff>
          <xdr:row>12</xdr:row>
          <xdr:rowOff>314325</xdr:rowOff>
        </xdr:to>
        <xdr:sp macro="" textlink="">
          <xdr:nvSpPr>
            <xdr:cNvPr id="5132" name="品名呼出207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00000000-0008-0000-0400-00000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5133" name="品名呼出208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00000000-0008-0000-0400-00000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1</xdr:col>
          <xdr:colOff>0</xdr:colOff>
          <xdr:row>14</xdr:row>
          <xdr:rowOff>295275</xdr:rowOff>
        </xdr:to>
        <xdr:sp macro="" textlink="">
          <xdr:nvSpPr>
            <xdr:cNvPr id="5134" name="品名呼出209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00000000-0008-0000-0400-00000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1</xdr:col>
          <xdr:colOff>0</xdr:colOff>
          <xdr:row>15</xdr:row>
          <xdr:rowOff>333375</xdr:rowOff>
        </xdr:to>
        <xdr:sp macro="" textlink="">
          <xdr:nvSpPr>
            <xdr:cNvPr id="5135" name="品名呼出210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00000000-0008-0000-0400-00000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1</xdr:col>
          <xdr:colOff>0</xdr:colOff>
          <xdr:row>16</xdr:row>
          <xdr:rowOff>314325</xdr:rowOff>
        </xdr:to>
        <xdr:sp macro="" textlink="">
          <xdr:nvSpPr>
            <xdr:cNvPr id="5136" name="品名呼出211" hidden="1">
              <a:extLst>
                <a:ext uri="{63B3BB69-23CF-44E3-9099-C40C66FF867C}">
                  <a14:compatExt spid="_x0000_s5136"/>
                </a:ext>
                <a:ext uri="{FF2B5EF4-FFF2-40B4-BE49-F238E27FC236}">
                  <a16:creationId xmlns:a16="http://schemas.microsoft.com/office/drawing/2014/main" id="{00000000-0008-0000-0400-00001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5137" name="品名呼出212" hidden="1">
              <a:extLst>
                <a:ext uri="{63B3BB69-23CF-44E3-9099-C40C66FF867C}">
                  <a14:compatExt spid="_x0000_s5137"/>
                </a:ext>
                <a:ext uri="{FF2B5EF4-FFF2-40B4-BE49-F238E27FC236}">
                  <a16:creationId xmlns:a16="http://schemas.microsoft.com/office/drawing/2014/main" id="{00000000-0008-0000-0400-00001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1</xdr:col>
          <xdr:colOff>0</xdr:colOff>
          <xdr:row>18</xdr:row>
          <xdr:rowOff>314325</xdr:rowOff>
        </xdr:to>
        <xdr:sp macro="" textlink="">
          <xdr:nvSpPr>
            <xdr:cNvPr id="5138" name="品名呼出213" hidden="1">
              <a:extLst>
                <a:ext uri="{63B3BB69-23CF-44E3-9099-C40C66FF867C}">
                  <a14:compatExt spid="_x0000_s5138"/>
                </a:ext>
                <a:ext uri="{FF2B5EF4-FFF2-40B4-BE49-F238E27FC236}">
                  <a16:creationId xmlns:a16="http://schemas.microsoft.com/office/drawing/2014/main" id="{00000000-0008-0000-0400-00001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5139" name="品名呼出214" hidden="1">
              <a:extLst>
                <a:ext uri="{63B3BB69-23CF-44E3-9099-C40C66FF867C}">
                  <a14:compatExt spid="_x0000_s5139"/>
                </a:ext>
                <a:ext uri="{FF2B5EF4-FFF2-40B4-BE49-F238E27FC236}">
                  <a16:creationId xmlns:a16="http://schemas.microsoft.com/office/drawing/2014/main" id="{00000000-0008-0000-0400-00001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5140" name="品名呼出215" hidden="1">
              <a:extLst>
                <a:ext uri="{63B3BB69-23CF-44E3-9099-C40C66FF867C}">
                  <a14:compatExt spid="_x0000_s5140"/>
                </a:ext>
                <a:ext uri="{FF2B5EF4-FFF2-40B4-BE49-F238E27FC236}">
                  <a16:creationId xmlns:a16="http://schemas.microsoft.com/office/drawing/2014/main" id="{00000000-0008-0000-0400-00001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5141" name="品名呼出216" hidden="1">
              <a:extLst>
                <a:ext uri="{63B3BB69-23CF-44E3-9099-C40C66FF867C}">
                  <a14:compatExt spid="_x0000_s5141"/>
                </a:ext>
                <a:ext uri="{FF2B5EF4-FFF2-40B4-BE49-F238E27FC236}">
                  <a16:creationId xmlns:a16="http://schemas.microsoft.com/office/drawing/2014/main" id="{00000000-0008-0000-0400-00001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1</xdr:col>
          <xdr:colOff>0</xdr:colOff>
          <xdr:row>22</xdr:row>
          <xdr:rowOff>314325</xdr:rowOff>
        </xdr:to>
        <xdr:sp macro="" textlink="">
          <xdr:nvSpPr>
            <xdr:cNvPr id="5142" name="品名呼出217" hidden="1">
              <a:extLst>
                <a:ext uri="{63B3BB69-23CF-44E3-9099-C40C66FF867C}">
                  <a14:compatExt spid="_x0000_s5142"/>
                </a:ext>
                <a:ext uri="{FF2B5EF4-FFF2-40B4-BE49-F238E27FC236}">
                  <a16:creationId xmlns:a16="http://schemas.microsoft.com/office/drawing/2014/main" id="{00000000-0008-0000-0400-00001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5143" name="品名呼出218" hidden="1">
              <a:extLst>
                <a:ext uri="{63B3BB69-23CF-44E3-9099-C40C66FF867C}">
                  <a14:compatExt spid="_x0000_s5143"/>
                </a:ext>
                <a:ext uri="{FF2B5EF4-FFF2-40B4-BE49-F238E27FC236}">
                  <a16:creationId xmlns:a16="http://schemas.microsoft.com/office/drawing/2014/main" id="{00000000-0008-0000-0400-00001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5144" name="品名呼出219" hidden="1">
              <a:extLst>
                <a:ext uri="{63B3BB69-23CF-44E3-9099-C40C66FF867C}">
                  <a14:compatExt spid="_x0000_s5144"/>
                </a:ext>
                <a:ext uri="{FF2B5EF4-FFF2-40B4-BE49-F238E27FC236}">
                  <a16:creationId xmlns:a16="http://schemas.microsoft.com/office/drawing/2014/main" id="{00000000-0008-0000-0400-00001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5145" name="品名呼出220" hidden="1">
              <a:extLst>
                <a:ext uri="{63B3BB69-23CF-44E3-9099-C40C66FF867C}">
                  <a14:compatExt spid="_x0000_s5145"/>
                </a:ext>
                <a:ext uri="{FF2B5EF4-FFF2-40B4-BE49-F238E27FC236}">
                  <a16:creationId xmlns:a16="http://schemas.microsoft.com/office/drawing/2014/main" id="{00000000-0008-0000-0400-00001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1</xdr:col>
          <xdr:colOff>0</xdr:colOff>
          <xdr:row>26</xdr:row>
          <xdr:rowOff>295275</xdr:rowOff>
        </xdr:to>
        <xdr:sp macro="" textlink="">
          <xdr:nvSpPr>
            <xdr:cNvPr id="5146" name="品名呼出221" hidden="1">
              <a:extLst>
                <a:ext uri="{63B3BB69-23CF-44E3-9099-C40C66FF867C}">
                  <a14:compatExt spid="_x0000_s5146"/>
                </a:ext>
                <a:ext uri="{FF2B5EF4-FFF2-40B4-BE49-F238E27FC236}">
                  <a16:creationId xmlns:a16="http://schemas.microsoft.com/office/drawing/2014/main" id="{00000000-0008-0000-0400-00001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5147" name="品名呼出222" hidden="1">
              <a:extLst>
                <a:ext uri="{63B3BB69-23CF-44E3-9099-C40C66FF867C}">
                  <a14:compatExt spid="_x0000_s5147"/>
                </a:ext>
                <a:ext uri="{FF2B5EF4-FFF2-40B4-BE49-F238E27FC236}">
                  <a16:creationId xmlns:a16="http://schemas.microsoft.com/office/drawing/2014/main" id="{00000000-0008-0000-0400-00001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1</xdr:col>
          <xdr:colOff>0</xdr:colOff>
          <xdr:row>28</xdr:row>
          <xdr:rowOff>314325</xdr:rowOff>
        </xdr:to>
        <xdr:sp macro="" textlink="">
          <xdr:nvSpPr>
            <xdr:cNvPr id="5148" name="品名呼出223" hidden="1">
              <a:extLst>
                <a:ext uri="{63B3BB69-23CF-44E3-9099-C40C66FF867C}">
                  <a14:compatExt spid="_x0000_s5148"/>
                </a:ext>
                <a:ext uri="{FF2B5EF4-FFF2-40B4-BE49-F238E27FC236}">
                  <a16:creationId xmlns:a16="http://schemas.microsoft.com/office/drawing/2014/main" id="{00000000-0008-0000-0400-00001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1</xdr:col>
          <xdr:colOff>0</xdr:colOff>
          <xdr:row>5</xdr:row>
          <xdr:rowOff>142875</xdr:rowOff>
        </xdr:to>
        <xdr:sp macro="" textlink="">
          <xdr:nvSpPr>
            <xdr:cNvPr id="5149" name="入力" hidden="1">
              <a:extLst>
                <a:ext uri="{63B3BB69-23CF-44E3-9099-C40C66FF867C}">
                  <a14:compatExt spid="_x0000_s5149"/>
                </a:ext>
                <a:ext uri="{FF2B5EF4-FFF2-40B4-BE49-F238E27FC236}">
                  <a16:creationId xmlns:a16="http://schemas.microsoft.com/office/drawing/2014/main" id="{00000000-0008-0000-0400-00001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5150" name="表示1" hidden="1">
              <a:extLst>
                <a:ext uri="{63B3BB69-23CF-44E3-9099-C40C66FF867C}">
                  <a14:compatExt spid="_x0000_s5150"/>
                </a:ext>
                <a:ext uri="{FF2B5EF4-FFF2-40B4-BE49-F238E27FC236}">
                  <a16:creationId xmlns:a16="http://schemas.microsoft.com/office/drawing/2014/main" id="{00000000-0008-0000-0400-00001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5151" name="表示2" hidden="1">
              <a:extLst>
                <a:ext uri="{63B3BB69-23CF-44E3-9099-C40C66FF867C}">
                  <a14:compatExt spid="_x0000_s5151"/>
                </a:ext>
                <a:ext uri="{FF2B5EF4-FFF2-40B4-BE49-F238E27FC236}">
                  <a16:creationId xmlns:a16="http://schemas.microsoft.com/office/drawing/2014/main" id="{00000000-0008-0000-0400-00001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5152" name="プレビュー" hidden="1">
              <a:extLst>
                <a:ext uri="{63B3BB69-23CF-44E3-9099-C40C66FF867C}">
                  <a14:compatExt spid="_x0000_s5152"/>
                </a:ext>
                <a:ext uri="{FF2B5EF4-FFF2-40B4-BE49-F238E27FC236}">
                  <a16:creationId xmlns:a16="http://schemas.microsoft.com/office/drawing/2014/main" id="{00000000-0008-0000-0400-00002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5153" name="電卓" hidden="1">
              <a:extLst>
                <a:ext uri="{63B3BB69-23CF-44E3-9099-C40C66FF867C}">
                  <a14:compatExt spid="_x0000_s5153"/>
                </a:ext>
                <a:ext uri="{FF2B5EF4-FFF2-40B4-BE49-F238E27FC236}">
                  <a16:creationId xmlns:a16="http://schemas.microsoft.com/office/drawing/2014/main" id="{00000000-0008-0000-0400-00002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5</xdr:col>
          <xdr:colOff>152400</xdr:colOff>
          <xdr:row>1</xdr:row>
          <xdr:rowOff>133350</xdr:rowOff>
        </xdr:to>
        <xdr:sp macro="" textlink="">
          <xdr:nvSpPr>
            <xdr:cNvPr id="2050" name="明細入力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5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19</xdr:col>
          <xdr:colOff>152400</xdr:colOff>
          <xdr:row>1</xdr:row>
          <xdr:rowOff>133350</xdr:rowOff>
        </xdr:to>
        <xdr:sp macro="" textlink="">
          <xdr:nvSpPr>
            <xdr:cNvPr id="2051" name="表示1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5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2052" name="明細入力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5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2053" name="明細入力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5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42</xdr:col>
          <xdr:colOff>152400</xdr:colOff>
          <xdr:row>1</xdr:row>
          <xdr:rowOff>142875</xdr:rowOff>
        </xdr:to>
        <xdr:sp macro="" textlink="">
          <xdr:nvSpPr>
            <xdr:cNvPr id="2054" name="明細入力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5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0</xdr:col>
          <xdr:colOff>476250</xdr:colOff>
          <xdr:row>6</xdr:row>
          <xdr:rowOff>323850</xdr:rowOff>
        </xdr:to>
        <xdr:sp macro="" textlink="">
          <xdr:nvSpPr>
            <xdr:cNvPr id="2058" name="品名呼出201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5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0</xdr:col>
          <xdr:colOff>476250</xdr:colOff>
          <xdr:row>7</xdr:row>
          <xdr:rowOff>285750</xdr:rowOff>
        </xdr:to>
        <xdr:sp macro="" textlink="">
          <xdr:nvSpPr>
            <xdr:cNvPr id="2059" name="品名呼出202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5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0</xdr:col>
          <xdr:colOff>476250</xdr:colOff>
          <xdr:row>8</xdr:row>
          <xdr:rowOff>295275</xdr:rowOff>
        </xdr:to>
        <xdr:sp macro="" textlink="">
          <xdr:nvSpPr>
            <xdr:cNvPr id="2060" name="品名呼出203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0</xdr:col>
          <xdr:colOff>476250</xdr:colOff>
          <xdr:row>9</xdr:row>
          <xdr:rowOff>314325</xdr:rowOff>
        </xdr:to>
        <xdr:sp macro="" textlink="">
          <xdr:nvSpPr>
            <xdr:cNvPr id="2061" name="品名呼出204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0</xdr:col>
          <xdr:colOff>476250</xdr:colOff>
          <xdr:row>10</xdr:row>
          <xdr:rowOff>304800</xdr:rowOff>
        </xdr:to>
        <xdr:sp macro="" textlink="">
          <xdr:nvSpPr>
            <xdr:cNvPr id="2062" name="品名呼出205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5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0</xdr:col>
          <xdr:colOff>476250</xdr:colOff>
          <xdr:row>11</xdr:row>
          <xdr:rowOff>314325</xdr:rowOff>
        </xdr:to>
        <xdr:sp macro="" textlink="">
          <xdr:nvSpPr>
            <xdr:cNvPr id="2063" name="品名呼出206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5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0</xdr:col>
          <xdr:colOff>476250</xdr:colOff>
          <xdr:row>12</xdr:row>
          <xdr:rowOff>314325</xdr:rowOff>
        </xdr:to>
        <xdr:sp macro="" textlink="">
          <xdr:nvSpPr>
            <xdr:cNvPr id="2064" name="品名呼出207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5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0</xdr:col>
          <xdr:colOff>476250</xdr:colOff>
          <xdr:row>13</xdr:row>
          <xdr:rowOff>304800</xdr:rowOff>
        </xdr:to>
        <xdr:sp macro="" textlink="">
          <xdr:nvSpPr>
            <xdr:cNvPr id="2065" name="品名呼出208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5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0</xdr:col>
          <xdr:colOff>476250</xdr:colOff>
          <xdr:row>14</xdr:row>
          <xdr:rowOff>295275</xdr:rowOff>
        </xdr:to>
        <xdr:sp macro="" textlink="">
          <xdr:nvSpPr>
            <xdr:cNvPr id="2066" name="品名呼出209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5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0</xdr:col>
          <xdr:colOff>476250</xdr:colOff>
          <xdr:row>15</xdr:row>
          <xdr:rowOff>333375</xdr:rowOff>
        </xdr:to>
        <xdr:sp macro="" textlink="">
          <xdr:nvSpPr>
            <xdr:cNvPr id="2067" name="品名呼出210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5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0</xdr:col>
          <xdr:colOff>476250</xdr:colOff>
          <xdr:row>16</xdr:row>
          <xdr:rowOff>314325</xdr:rowOff>
        </xdr:to>
        <xdr:sp macro="" textlink="">
          <xdr:nvSpPr>
            <xdr:cNvPr id="2068" name="品名呼出211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5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0</xdr:col>
          <xdr:colOff>476250</xdr:colOff>
          <xdr:row>17</xdr:row>
          <xdr:rowOff>304800</xdr:rowOff>
        </xdr:to>
        <xdr:sp macro="" textlink="">
          <xdr:nvSpPr>
            <xdr:cNvPr id="2069" name="品名呼出212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5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0</xdr:col>
          <xdr:colOff>476250</xdr:colOff>
          <xdr:row>18</xdr:row>
          <xdr:rowOff>314325</xdr:rowOff>
        </xdr:to>
        <xdr:sp macro="" textlink="">
          <xdr:nvSpPr>
            <xdr:cNvPr id="2070" name="品名呼出213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5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0</xdr:col>
          <xdr:colOff>476250</xdr:colOff>
          <xdr:row>19</xdr:row>
          <xdr:rowOff>304800</xdr:rowOff>
        </xdr:to>
        <xdr:sp macro="" textlink="">
          <xdr:nvSpPr>
            <xdr:cNvPr id="2071" name="品名呼出214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5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0</xdr:col>
          <xdr:colOff>476250</xdr:colOff>
          <xdr:row>20</xdr:row>
          <xdr:rowOff>304800</xdr:rowOff>
        </xdr:to>
        <xdr:sp macro="" textlink="">
          <xdr:nvSpPr>
            <xdr:cNvPr id="2072" name="品名呼出215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5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0</xdr:col>
          <xdr:colOff>476250</xdr:colOff>
          <xdr:row>21</xdr:row>
          <xdr:rowOff>304800</xdr:rowOff>
        </xdr:to>
        <xdr:sp macro="" textlink="">
          <xdr:nvSpPr>
            <xdr:cNvPr id="2073" name="品名呼出216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5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0</xdr:col>
          <xdr:colOff>476250</xdr:colOff>
          <xdr:row>22</xdr:row>
          <xdr:rowOff>314325</xdr:rowOff>
        </xdr:to>
        <xdr:sp macro="" textlink="">
          <xdr:nvSpPr>
            <xdr:cNvPr id="2074" name="品名呼出217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5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0</xdr:col>
          <xdr:colOff>476250</xdr:colOff>
          <xdr:row>23</xdr:row>
          <xdr:rowOff>304800</xdr:rowOff>
        </xdr:to>
        <xdr:sp macro="" textlink="">
          <xdr:nvSpPr>
            <xdr:cNvPr id="2075" name="品名呼出218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5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0</xdr:col>
          <xdr:colOff>476250</xdr:colOff>
          <xdr:row>24</xdr:row>
          <xdr:rowOff>304800</xdr:rowOff>
        </xdr:to>
        <xdr:sp macro="" textlink="">
          <xdr:nvSpPr>
            <xdr:cNvPr id="2076" name="品名呼出219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5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0</xdr:col>
          <xdr:colOff>476250</xdr:colOff>
          <xdr:row>25</xdr:row>
          <xdr:rowOff>304800</xdr:rowOff>
        </xdr:to>
        <xdr:sp macro="" textlink="">
          <xdr:nvSpPr>
            <xdr:cNvPr id="2077" name="品名呼出220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5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0</xdr:col>
          <xdr:colOff>476250</xdr:colOff>
          <xdr:row>26</xdr:row>
          <xdr:rowOff>295275</xdr:rowOff>
        </xdr:to>
        <xdr:sp macro="" textlink="">
          <xdr:nvSpPr>
            <xdr:cNvPr id="2078" name="品名呼出221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5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0</xdr:col>
          <xdr:colOff>476250</xdr:colOff>
          <xdr:row>27</xdr:row>
          <xdr:rowOff>304800</xdr:rowOff>
        </xdr:to>
        <xdr:sp macro="" textlink="">
          <xdr:nvSpPr>
            <xdr:cNvPr id="2079" name="品名呼出222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5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2080" name="品名呼出223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5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0</xdr:col>
          <xdr:colOff>476250</xdr:colOff>
          <xdr:row>5</xdr:row>
          <xdr:rowOff>142875</xdr:rowOff>
        </xdr:to>
        <xdr:sp macro="" textlink="">
          <xdr:nvSpPr>
            <xdr:cNvPr id="2081" name="入力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5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2082" name="表示1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5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29</xdr:col>
          <xdr:colOff>152400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2083" name="表示2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5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2092" name="プレビュー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5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2095" name="電卓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5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3073" name="明細入力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6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3074" name="表示1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6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3075" name="明細入力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6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3076" name="明細入力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6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43</xdr:col>
          <xdr:colOff>0</xdr:colOff>
          <xdr:row>1</xdr:row>
          <xdr:rowOff>142875</xdr:rowOff>
        </xdr:to>
        <xdr:sp macro="" textlink="">
          <xdr:nvSpPr>
            <xdr:cNvPr id="3077" name="明細入力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6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3078" name="品名呼出201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6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3079" name="品名呼出202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6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1</xdr:col>
          <xdr:colOff>0</xdr:colOff>
          <xdr:row>8</xdr:row>
          <xdr:rowOff>295275</xdr:rowOff>
        </xdr:to>
        <xdr:sp macro="" textlink="">
          <xdr:nvSpPr>
            <xdr:cNvPr id="3080" name="品名呼出203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6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1</xdr:col>
          <xdr:colOff>0</xdr:colOff>
          <xdr:row>9</xdr:row>
          <xdr:rowOff>314325</xdr:rowOff>
        </xdr:to>
        <xdr:sp macro="" textlink="">
          <xdr:nvSpPr>
            <xdr:cNvPr id="3081" name="品名呼出204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6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3082" name="品名呼出205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6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1</xdr:col>
          <xdr:colOff>0</xdr:colOff>
          <xdr:row>11</xdr:row>
          <xdr:rowOff>314325</xdr:rowOff>
        </xdr:to>
        <xdr:sp macro="" textlink="">
          <xdr:nvSpPr>
            <xdr:cNvPr id="3083" name="品名呼出206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6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1</xdr:col>
          <xdr:colOff>0</xdr:colOff>
          <xdr:row>12</xdr:row>
          <xdr:rowOff>314325</xdr:rowOff>
        </xdr:to>
        <xdr:sp macro="" textlink="">
          <xdr:nvSpPr>
            <xdr:cNvPr id="3084" name="品名呼出207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6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3085" name="品名呼出208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6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1</xdr:col>
          <xdr:colOff>0</xdr:colOff>
          <xdr:row>14</xdr:row>
          <xdr:rowOff>295275</xdr:rowOff>
        </xdr:to>
        <xdr:sp macro="" textlink="">
          <xdr:nvSpPr>
            <xdr:cNvPr id="3086" name="品名呼出209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6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1</xdr:col>
          <xdr:colOff>0</xdr:colOff>
          <xdr:row>15</xdr:row>
          <xdr:rowOff>333375</xdr:rowOff>
        </xdr:to>
        <xdr:sp macro="" textlink="">
          <xdr:nvSpPr>
            <xdr:cNvPr id="3087" name="品名呼出210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6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1</xdr:col>
          <xdr:colOff>0</xdr:colOff>
          <xdr:row>16</xdr:row>
          <xdr:rowOff>314325</xdr:rowOff>
        </xdr:to>
        <xdr:sp macro="" textlink="">
          <xdr:nvSpPr>
            <xdr:cNvPr id="3088" name="品名呼出211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6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3089" name="品名呼出212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6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1</xdr:col>
          <xdr:colOff>0</xdr:colOff>
          <xdr:row>18</xdr:row>
          <xdr:rowOff>314325</xdr:rowOff>
        </xdr:to>
        <xdr:sp macro="" textlink="">
          <xdr:nvSpPr>
            <xdr:cNvPr id="3090" name="品名呼出213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6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3091" name="品名呼出214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6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3092" name="品名呼出215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6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3093" name="品名呼出216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6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1</xdr:col>
          <xdr:colOff>0</xdr:colOff>
          <xdr:row>22</xdr:row>
          <xdr:rowOff>314325</xdr:rowOff>
        </xdr:to>
        <xdr:sp macro="" textlink="">
          <xdr:nvSpPr>
            <xdr:cNvPr id="3094" name="品名呼出217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6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3095" name="品名呼出218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6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3096" name="品名呼出219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6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3097" name="品名呼出220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6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1</xdr:col>
          <xdr:colOff>0</xdr:colOff>
          <xdr:row>26</xdr:row>
          <xdr:rowOff>295275</xdr:rowOff>
        </xdr:to>
        <xdr:sp macro="" textlink="">
          <xdr:nvSpPr>
            <xdr:cNvPr id="3098" name="品名呼出221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6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3099" name="品名呼出222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6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1</xdr:col>
          <xdr:colOff>0</xdr:colOff>
          <xdr:row>28</xdr:row>
          <xdr:rowOff>314325</xdr:rowOff>
        </xdr:to>
        <xdr:sp macro="" textlink="">
          <xdr:nvSpPr>
            <xdr:cNvPr id="3100" name="品名呼出223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6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1</xdr:col>
          <xdr:colOff>0</xdr:colOff>
          <xdr:row>5</xdr:row>
          <xdr:rowOff>142875</xdr:rowOff>
        </xdr:to>
        <xdr:sp macro="" textlink="">
          <xdr:nvSpPr>
            <xdr:cNvPr id="3101" name="入力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6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3102" name="表示1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6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3103" name="表示2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6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3104" name="プレビュー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6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3105" name="電卓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6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56.xml"/><Relationship Id="rId18" Type="http://schemas.openxmlformats.org/officeDocument/2006/relationships/ctrlProp" Target="../ctrlProps/ctrlProp61.xml"/><Relationship Id="rId26" Type="http://schemas.openxmlformats.org/officeDocument/2006/relationships/ctrlProp" Target="../ctrlProps/ctrlProp69.xml"/><Relationship Id="rId39" Type="http://schemas.openxmlformats.org/officeDocument/2006/relationships/ctrlProp" Target="../ctrlProps/ctrlProp82.xml"/><Relationship Id="rId21" Type="http://schemas.openxmlformats.org/officeDocument/2006/relationships/ctrlProp" Target="../ctrlProps/ctrlProp64.xml"/><Relationship Id="rId34" Type="http://schemas.openxmlformats.org/officeDocument/2006/relationships/ctrlProp" Target="../ctrlProps/ctrlProp77.xml"/><Relationship Id="rId42" Type="http://schemas.openxmlformats.org/officeDocument/2006/relationships/ctrlProp" Target="../ctrlProps/ctrlProp85.xml"/><Relationship Id="rId47" Type="http://schemas.openxmlformats.org/officeDocument/2006/relationships/ctrlProp" Target="../ctrlProps/ctrlProp90.xml"/><Relationship Id="rId7" Type="http://schemas.openxmlformats.org/officeDocument/2006/relationships/ctrlProp" Target="../ctrlProps/ctrlProp50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59.xml"/><Relationship Id="rId29" Type="http://schemas.openxmlformats.org/officeDocument/2006/relationships/ctrlProp" Target="../ctrlProps/ctrlProp72.xml"/><Relationship Id="rId11" Type="http://schemas.openxmlformats.org/officeDocument/2006/relationships/ctrlProp" Target="../ctrlProps/ctrlProp54.xml"/><Relationship Id="rId24" Type="http://schemas.openxmlformats.org/officeDocument/2006/relationships/ctrlProp" Target="../ctrlProps/ctrlProp67.xml"/><Relationship Id="rId32" Type="http://schemas.openxmlformats.org/officeDocument/2006/relationships/ctrlProp" Target="../ctrlProps/ctrlProp75.xml"/><Relationship Id="rId37" Type="http://schemas.openxmlformats.org/officeDocument/2006/relationships/ctrlProp" Target="../ctrlProps/ctrlProp80.xml"/><Relationship Id="rId40" Type="http://schemas.openxmlformats.org/officeDocument/2006/relationships/ctrlProp" Target="../ctrlProps/ctrlProp83.xml"/><Relationship Id="rId45" Type="http://schemas.openxmlformats.org/officeDocument/2006/relationships/ctrlProp" Target="../ctrlProps/ctrlProp88.xml"/><Relationship Id="rId5" Type="http://schemas.openxmlformats.org/officeDocument/2006/relationships/ctrlProp" Target="../ctrlProps/ctrlProp48.xml"/><Relationship Id="rId15" Type="http://schemas.openxmlformats.org/officeDocument/2006/relationships/ctrlProp" Target="../ctrlProps/ctrlProp58.xml"/><Relationship Id="rId23" Type="http://schemas.openxmlformats.org/officeDocument/2006/relationships/ctrlProp" Target="../ctrlProps/ctrlProp66.xml"/><Relationship Id="rId28" Type="http://schemas.openxmlformats.org/officeDocument/2006/relationships/ctrlProp" Target="../ctrlProps/ctrlProp71.xml"/><Relationship Id="rId36" Type="http://schemas.openxmlformats.org/officeDocument/2006/relationships/ctrlProp" Target="../ctrlProps/ctrlProp79.xml"/><Relationship Id="rId49" Type="http://schemas.openxmlformats.org/officeDocument/2006/relationships/ctrlProp" Target="../ctrlProps/ctrlProp92.xml"/><Relationship Id="rId10" Type="http://schemas.openxmlformats.org/officeDocument/2006/relationships/ctrlProp" Target="../ctrlProps/ctrlProp53.xml"/><Relationship Id="rId19" Type="http://schemas.openxmlformats.org/officeDocument/2006/relationships/ctrlProp" Target="../ctrlProps/ctrlProp62.xml"/><Relationship Id="rId31" Type="http://schemas.openxmlformats.org/officeDocument/2006/relationships/ctrlProp" Target="../ctrlProps/ctrlProp74.xml"/><Relationship Id="rId44" Type="http://schemas.openxmlformats.org/officeDocument/2006/relationships/ctrlProp" Target="../ctrlProps/ctrlProp87.xml"/><Relationship Id="rId4" Type="http://schemas.openxmlformats.org/officeDocument/2006/relationships/ctrlProp" Target="../ctrlProps/ctrlProp47.xml"/><Relationship Id="rId9" Type="http://schemas.openxmlformats.org/officeDocument/2006/relationships/ctrlProp" Target="../ctrlProps/ctrlProp52.xml"/><Relationship Id="rId14" Type="http://schemas.openxmlformats.org/officeDocument/2006/relationships/ctrlProp" Target="../ctrlProps/ctrlProp57.xml"/><Relationship Id="rId22" Type="http://schemas.openxmlformats.org/officeDocument/2006/relationships/ctrlProp" Target="../ctrlProps/ctrlProp65.xml"/><Relationship Id="rId27" Type="http://schemas.openxmlformats.org/officeDocument/2006/relationships/ctrlProp" Target="../ctrlProps/ctrlProp70.xml"/><Relationship Id="rId30" Type="http://schemas.openxmlformats.org/officeDocument/2006/relationships/ctrlProp" Target="../ctrlProps/ctrlProp73.xml"/><Relationship Id="rId35" Type="http://schemas.openxmlformats.org/officeDocument/2006/relationships/ctrlProp" Target="../ctrlProps/ctrlProp78.xml"/><Relationship Id="rId43" Type="http://schemas.openxmlformats.org/officeDocument/2006/relationships/ctrlProp" Target="../ctrlProps/ctrlProp86.xml"/><Relationship Id="rId48" Type="http://schemas.openxmlformats.org/officeDocument/2006/relationships/ctrlProp" Target="../ctrlProps/ctrlProp91.xml"/><Relationship Id="rId8" Type="http://schemas.openxmlformats.org/officeDocument/2006/relationships/ctrlProp" Target="../ctrlProps/ctrlProp51.xml"/><Relationship Id="rId3" Type="http://schemas.openxmlformats.org/officeDocument/2006/relationships/vmlDrawing" Target="../drawings/vmlDrawing2.vml"/><Relationship Id="rId12" Type="http://schemas.openxmlformats.org/officeDocument/2006/relationships/ctrlProp" Target="../ctrlProps/ctrlProp55.xml"/><Relationship Id="rId17" Type="http://schemas.openxmlformats.org/officeDocument/2006/relationships/ctrlProp" Target="../ctrlProps/ctrlProp60.xml"/><Relationship Id="rId25" Type="http://schemas.openxmlformats.org/officeDocument/2006/relationships/ctrlProp" Target="../ctrlProps/ctrlProp68.xml"/><Relationship Id="rId33" Type="http://schemas.openxmlformats.org/officeDocument/2006/relationships/ctrlProp" Target="../ctrlProps/ctrlProp76.xml"/><Relationship Id="rId38" Type="http://schemas.openxmlformats.org/officeDocument/2006/relationships/ctrlProp" Target="../ctrlProps/ctrlProp81.xml"/><Relationship Id="rId46" Type="http://schemas.openxmlformats.org/officeDocument/2006/relationships/ctrlProp" Target="../ctrlProps/ctrlProp89.xml"/><Relationship Id="rId20" Type="http://schemas.openxmlformats.org/officeDocument/2006/relationships/ctrlProp" Target="../ctrlProps/ctrlProp63.xml"/><Relationship Id="rId41" Type="http://schemas.openxmlformats.org/officeDocument/2006/relationships/ctrlProp" Target="../ctrlProps/ctrlProp84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49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2.xml"/><Relationship Id="rId18" Type="http://schemas.openxmlformats.org/officeDocument/2006/relationships/ctrlProp" Target="../ctrlProps/ctrlProp107.xml"/><Relationship Id="rId26" Type="http://schemas.openxmlformats.org/officeDocument/2006/relationships/ctrlProp" Target="../ctrlProps/ctrlProp115.xml"/><Relationship Id="rId39" Type="http://schemas.openxmlformats.org/officeDocument/2006/relationships/ctrlProp" Target="../ctrlProps/ctrlProp128.xml"/><Relationship Id="rId21" Type="http://schemas.openxmlformats.org/officeDocument/2006/relationships/ctrlProp" Target="../ctrlProps/ctrlProp110.xml"/><Relationship Id="rId34" Type="http://schemas.openxmlformats.org/officeDocument/2006/relationships/ctrlProp" Target="../ctrlProps/ctrlProp123.xml"/><Relationship Id="rId42" Type="http://schemas.openxmlformats.org/officeDocument/2006/relationships/ctrlProp" Target="../ctrlProps/ctrlProp131.xml"/><Relationship Id="rId47" Type="http://schemas.openxmlformats.org/officeDocument/2006/relationships/ctrlProp" Target="../ctrlProps/ctrlProp136.xml"/><Relationship Id="rId7" Type="http://schemas.openxmlformats.org/officeDocument/2006/relationships/ctrlProp" Target="../ctrlProps/ctrlProp96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105.xml"/><Relationship Id="rId29" Type="http://schemas.openxmlformats.org/officeDocument/2006/relationships/ctrlProp" Target="../ctrlProps/ctrlProp118.xml"/><Relationship Id="rId11" Type="http://schemas.openxmlformats.org/officeDocument/2006/relationships/ctrlProp" Target="../ctrlProps/ctrlProp100.xml"/><Relationship Id="rId24" Type="http://schemas.openxmlformats.org/officeDocument/2006/relationships/ctrlProp" Target="../ctrlProps/ctrlProp113.xml"/><Relationship Id="rId32" Type="http://schemas.openxmlformats.org/officeDocument/2006/relationships/ctrlProp" Target="../ctrlProps/ctrlProp121.xml"/><Relationship Id="rId37" Type="http://schemas.openxmlformats.org/officeDocument/2006/relationships/ctrlProp" Target="../ctrlProps/ctrlProp126.xml"/><Relationship Id="rId40" Type="http://schemas.openxmlformats.org/officeDocument/2006/relationships/ctrlProp" Target="../ctrlProps/ctrlProp129.xml"/><Relationship Id="rId45" Type="http://schemas.openxmlformats.org/officeDocument/2006/relationships/ctrlProp" Target="../ctrlProps/ctrlProp134.xml"/><Relationship Id="rId5" Type="http://schemas.openxmlformats.org/officeDocument/2006/relationships/ctrlProp" Target="../ctrlProps/ctrlProp94.xml"/><Relationship Id="rId15" Type="http://schemas.openxmlformats.org/officeDocument/2006/relationships/ctrlProp" Target="../ctrlProps/ctrlProp104.xml"/><Relationship Id="rId23" Type="http://schemas.openxmlformats.org/officeDocument/2006/relationships/ctrlProp" Target="../ctrlProps/ctrlProp112.xml"/><Relationship Id="rId28" Type="http://schemas.openxmlformats.org/officeDocument/2006/relationships/ctrlProp" Target="../ctrlProps/ctrlProp117.xml"/><Relationship Id="rId36" Type="http://schemas.openxmlformats.org/officeDocument/2006/relationships/ctrlProp" Target="../ctrlProps/ctrlProp125.xml"/><Relationship Id="rId49" Type="http://schemas.openxmlformats.org/officeDocument/2006/relationships/ctrlProp" Target="../ctrlProps/ctrlProp138.xml"/><Relationship Id="rId10" Type="http://schemas.openxmlformats.org/officeDocument/2006/relationships/ctrlProp" Target="../ctrlProps/ctrlProp99.xml"/><Relationship Id="rId19" Type="http://schemas.openxmlformats.org/officeDocument/2006/relationships/ctrlProp" Target="../ctrlProps/ctrlProp108.xml"/><Relationship Id="rId31" Type="http://schemas.openxmlformats.org/officeDocument/2006/relationships/ctrlProp" Target="../ctrlProps/ctrlProp120.xml"/><Relationship Id="rId44" Type="http://schemas.openxmlformats.org/officeDocument/2006/relationships/ctrlProp" Target="../ctrlProps/ctrlProp133.xml"/><Relationship Id="rId4" Type="http://schemas.openxmlformats.org/officeDocument/2006/relationships/ctrlProp" Target="../ctrlProps/ctrlProp93.xml"/><Relationship Id="rId9" Type="http://schemas.openxmlformats.org/officeDocument/2006/relationships/ctrlProp" Target="../ctrlProps/ctrlProp98.xml"/><Relationship Id="rId14" Type="http://schemas.openxmlformats.org/officeDocument/2006/relationships/ctrlProp" Target="../ctrlProps/ctrlProp103.xml"/><Relationship Id="rId22" Type="http://schemas.openxmlformats.org/officeDocument/2006/relationships/ctrlProp" Target="../ctrlProps/ctrlProp111.xml"/><Relationship Id="rId27" Type="http://schemas.openxmlformats.org/officeDocument/2006/relationships/ctrlProp" Target="../ctrlProps/ctrlProp116.xml"/><Relationship Id="rId30" Type="http://schemas.openxmlformats.org/officeDocument/2006/relationships/ctrlProp" Target="../ctrlProps/ctrlProp119.xml"/><Relationship Id="rId35" Type="http://schemas.openxmlformats.org/officeDocument/2006/relationships/ctrlProp" Target="../ctrlProps/ctrlProp124.xml"/><Relationship Id="rId43" Type="http://schemas.openxmlformats.org/officeDocument/2006/relationships/ctrlProp" Target="../ctrlProps/ctrlProp132.xml"/><Relationship Id="rId48" Type="http://schemas.openxmlformats.org/officeDocument/2006/relationships/ctrlProp" Target="../ctrlProps/ctrlProp137.xml"/><Relationship Id="rId8" Type="http://schemas.openxmlformats.org/officeDocument/2006/relationships/ctrlProp" Target="../ctrlProps/ctrlProp97.xml"/><Relationship Id="rId3" Type="http://schemas.openxmlformats.org/officeDocument/2006/relationships/vmlDrawing" Target="../drawings/vmlDrawing3.vml"/><Relationship Id="rId12" Type="http://schemas.openxmlformats.org/officeDocument/2006/relationships/ctrlProp" Target="../ctrlProps/ctrlProp101.xml"/><Relationship Id="rId17" Type="http://schemas.openxmlformats.org/officeDocument/2006/relationships/ctrlProp" Target="../ctrlProps/ctrlProp106.xml"/><Relationship Id="rId25" Type="http://schemas.openxmlformats.org/officeDocument/2006/relationships/ctrlProp" Target="../ctrlProps/ctrlProp114.xml"/><Relationship Id="rId33" Type="http://schemas.openxmlformats.org/officeDocument/2006/relationships/ctrlProp" Target="../ctrlProps/ctrlProp122.xml"/><Relationship Id="rId38" Type="http://schemas.openxmlformats.org/officeDocument/2006/relationships/ctrlProp" Target="../ctrlProps/ctrlProp127.xml"/><Relationship Id="rId46" Type="http://schemas.openxmlformats.org/officeDocument/2006/relationships/ctrlProp" Target="../ctrlProps/ctrlProp135.xml"/><Relationship Id="rId20" Type="http://schemas.openxmlformats.org/officeDocument/2006/relationships/ctrlProp" Target="../ctrlProps/ctrlProp109.xml"/><Relationship Id="rId41" Type="http://schemas.openxmlformats.org/officeDocument/2006/relationships/ctrlProp" Target="../ctrlProps/ctrlProp130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95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48.xml"/><Relationship Id="rId18" Type="http://schemas.openxmlformats.org/officeDocument/2006/relationships/ctrlProp" Target="../ctrlProps/ctrlProp153.xml"/><Relationship Id="rId26" Type="http://schemas.openxmlformats.org/officeDocument/2006/relationships/ctrlProp" Target="../ctrlProps/ctrlProp161.xml"/><Relationship Id="rId3" Type="http://schemas.openxmlformats.org/officeDocument/2006/relationships/vmlDrawing" Target="../drawings/vmlDrawing4.vml"/><Relationship Id="rId21" Type="http://schemas.openxmlformats.org/officeDocument/2006/relationships/ctrlProp" Target="../ctrlProps/ctrlProp156.xml"/><Relationship Id="rId34" Type="http://schemas.openxmlformats.org/officeDocument/2006/relationships/ctrlProp" Target="../ctrlProps/ctrlProp169.xml"/><Relationship Id="rId7" Type="http://schemas.openxmlformats.org/officeDocument/2006/relationships/ctrlProp" Target="../ctrlProps/ctrlProp142.xml"/><Relationship Id="rId12" Type="http://schemas.openxmlformats.org/officeDocument/2006/relationships/ctrlProp" Target="../ctrlProps/ctrlProp147.xml"/><Relationship Id="rId17" Type="http://schemas.openxmlformats.org/officeDocument/2006/relationships/ctrlProp" Target="../ctrlProps/ctrlProp152.xml"/><Relationship Id="rId25" Type="http://schemas.openxmlformats.org/officeDocument/2006/relationships/ctrlProp" Target="../ctrlProps/ctrlProp160.xml"/><Relationship Id="rId33" Type="http://schemas.openxmlformats.org/officeDocument/2006/relationships/ctrlProp" Target="../ctrlProps/ctrlProp168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151.xml"/><Relationship Id="rId20" Type="http://schemas.openxmlformats.org/officeDocument/2006/relationships/ctrlProp" Target="../ctrlProps/ctrlProp155.xml"/><Relationship Id="rId29" Type="http://schemas.openxmlformats.org/officeDocument/2006/relationships/ctrlProp" Target="../ctrlProps/ctrlProp164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41.xml"/><Relationship Id="rId11" Type="http://schemas.openxmlformats.org/officeDocument/2006/relationships/ctrlProp" Target="../ctrlProps/ctrlProp146.xml"/><Relationship Id="rId24" Type="http://schemas.openxmlformats.org/officeDocument/2006/relationships/ctrlProp" Target="../ctrlProps/ctrlProp159.xml"/><Relationship Id="rId32" Type="http://schemas.openxmlformats.org/officeDocument/2006/relationships/ctrlProp" Target="../ctrlProps/ctrlProp167.xml"/><Relationship Id="rId5" Type="http://schemas.openxmlformats.org/officeDocument/2006/relationships/ctrlProp" Target="../ctrlProps/ctrlProp140.xml"/><Relationship Id="rId15" Type="http://schemas.openxmlformats.org/officeDocument/2006/relationships/ctrlProp" Target="../ctrlProps/ctrlProp150.xml"/><Relationship Id="rId23" Type="http://schemas.openxmlformats.org/officeDocument/2006/relationships/ctrlProp" Target="../ctrlProps/ctrlProp158.xml"/><Relationship Id="rId28" Type="http://schemas.openxmlformats.org/officeDocument/2006/relationships/ctrlProp" Target="../ctrlProps/ctrlProp163.xml"/><Relationship Id="rId36" Type="http://schemas.openxmlformats.org/officeDocument/2006/relationships/ctrlProp" Target="../ctrlProps/ctrlProp171.xml"/><Relationship Id="rId10" Type="http://schemas.openxmlformats.org/officeDocument/2006/relationships/ctrlProp" Target="../ctrlProps/ctrlProp145.xml"/><Relationship Id="rId19" Type="http://schemas.openxmlformats.org/officeDocument/2006/relationships/ctrlProp" Target="../ctrlProps/ctrlProp154.xml"/><Relationship Id="rId31" Type="http://schemas.openxmlformats.org/officeDocument/2006/relationships/ctrlProp" Target="../ctrlProps/ctrlProp166.xml"/><Relationship Id="rId4" Type="http://schemas.openxmlformats.org/officeDocument/2006/relationships/ctrlProp" Target="../ctrlProps/ctrlProp139.xml"/><Relationship Id="rId9" Type="http://schemas.openxmlformats.org/officeDocument/2006/relationships/ctrlProp" Target="../ctrlProps/ctrlProp144.xml"/><Relationship Id="rId14" Type="http://schemas.openxmlformats.org/officeDocument/2006/relationships/ctrlProp" Target="../ctrlProps/ctrlProp149.xml"/><Relationship Id="rId22" Type="http://schemas.openxmlformats.org/officeDocument/2006/relationships/ctrlProp" Target="../ctrlProps/ctrlProp157.xml"/><Relationship Id="rId27" Type="http://schemas.openxmlformats.org/officeDocument/2006/relationships/ctrlProp" Target="../ctrlProps/ctrlProp162.xml"/><Relationship Id="rId30" Type="http://schemas.openxmlformats.org/officeDocument/2006/relationships/ctrlProp" Target="../ctrlProps/ctrlProp165.xml"/><Relationship Id="rId35" Type="http://schemas.openxmlformats.org/officeDocument/2006/relationships/ctrlProp" Target="../ctrlProps/ctrlProp170.xml"/><Relationship Id="rId8" Type="http://schemas.openxmlformats.org/officeDocument/2006/relationships/ctrlProp" Target="../ctrlProps/ctrlProp143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81.xml"/><Relationship Id="rId18" Type="http://schemas.openxmlformats.org/officeDocument/2006/relationships/ctrlProp" Target="../ctrlProps/ctrlProp186.xml"/><Relationship Id="rId26" Type="http://schemas.openxmlformats.org/officeDocument/2006/relationships/ctrlProp" Target="../ctrlProps/ctrlProp194.xml"/><Relationship Id="rId3" Type="http://schemas.openxmlformats.org/officeDocument/2006/relationships/vmlDrawing" Target="../drawings/vmlDrawing5.vml"/><Relationship Id="rId21" Type="http://schemas.openxmlformats.org/officeDocument/2006/relationships/ctrlProp" Target="../ctrlProps/ctrlProp189.xml"/><Relationship Id="rId34" Type="http://schemas.openxmlformats.org/officeDocument/2006/relationships/ctrlProp" Target="../ctrlProps/ctrlProp202.xml"/><Relationship Id="rId7" Type="http://schemas.openxmlformats.org/officeDocument/2006/relationships/ctrlProp" Target="../ctrlProps/ctrlProp175.xml"/><Relationship Id="rId12" Type="http://schemas.openxmlformats.org/officeDocument/2006/relationships/ctrlProp" Target="../ctrlProps/ctrlProp180.xml"/><Relationship Id="rId17" Type="http://schemas.openxmlformats.org/officeDocument/2006/relationships/ctrlProp" Target="../ctrlProps/ctrlProp185.xml"/><Relationship Id="rId25" Type="http://schemas.openxmlformats.org/officeDocument/2006/relationships/ctrlProp" Target="../ctrlProps/ctrlProp193.xml"/><Relationship Id="rId33" Type="http://schemas.openxmlformats.org/officeDocument/2006/relationships/ctrlProp" Target="../ctrlProps/ctrlProp201.xml"/><Relationship Id="rId2" Type="http://schemas.openxmlformats.org/officeDocument/2006/relationships/drawing" Target="../drawings/drawing5.xml"/><Relationship Id="rId16" Type="http://schemas.openxmlformats.org/officeDocument/2006/relationships/ctrlProp" Target="../ctrlProps/ctrlProp184.xml"/><Relationship Id="rId20" Type="http://schemas.openxmlformats.org/officeDocument/2006/relationships/ctrlProp" Target="../ctrlProps/ctrlProp188.xml"/><Relationship Id="rId29" Type="http://schemas.openxmlformats.org/officeDocument/2006/relationships/ctrlProp" Target="../ctrlProps/ctrlProp197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174.xml"/><Relationship Id="rId11" Type="http://schemas.openxmlformats.org/officeDocument/2006/relationships/ctrlProp" Target="../ctrlProps/ctrlProp179.xml"/><Relationship Id="rId24" Type="http://schemas.openxmlformats.org/officeDocument/2006/relationships/ctrlProp" Target="../ctrlProps/ctrlProp192.xml"/><Relationship Id="rId32" Type="http://schemas.openxmlformats.org/officeDocument/2006/relationships/ctrlProp" Target="../ctrlProps/ctrlProp200.xml"/><Relationship Id="rId5" Type="http://schemas.openxmlformats.org/officeDocument/2006/relationships/ctrlProp" Target="../ctrlProps/ctrlProp173.xml"/><Relationship Id="rId15" Type="http://schemas.openxmlformats.org/officeDocument/2006/relationships/ctrlProp" Target="../ctrlProps/ctrlProp183.xml"/><Relationship Id="rId23" Type="http://schemas.openxmlformats.org/officeDocument/2006/relationships/ctrlProp" Target="../ctrlProps/ctrlProp191.xml"/><Relationship Id="rId28" Type="http://schemas.openxmlformats.org/officeDocument/2006/relationships/ctrlProp" Target="../ctrlProps/ctrlProp196.xml"/><Relationship Id="rId36" Type="http://schemas.openxmlformats.org/officeDocument/2006/relationships/ctrlProp" Target="../ctrlProps/ctrlProp204.xml"/><Relationship Id="rId10" Type="http://schemas.openxmlformats.org/officeDocument/2006/relationships/ctrlProp" Target="../ctrlProps/ctrlProp178.xml"/><Relationship Id="rId19" Type="http://schemas.openxmlformats.org/officeDocument/2006/relationships/ctrlProp" Target="../ctrlProps/ctrlProp187.xml"/><Relationship Id="rId31" Type="http://schemas.openxmlformats.org/officeDocument/2006/relationships/ctrlProp" Target="../ctrlProps/ctrlProp199.xml"/><Relationship Id="rId4" Type="http://schemas.openxmlformats.org/officeDocument/2006/relationships/ctrlProp" Target="../ctrlProps/ctrlProp172.xml"/><Relationship Id="rId9" Type="http://schemas.openxmlformats.org/officeDocument/2006/relationships/ctrlProp" Target="../ctrlProps/ctrlProp177.xml"/><Relationship Id="rId14" Type="http://schemas.openxmlformats.org/officeDocument/2006/relationships/ctrlProp" Target="../ctrlProps/ctrlProp182.xml"/><Relationship Id="rId22" Type="http://schemas.openxmlformats.org/officeDocument/2006/relationships/ctrlProp" Target="../ctrlProps/ctrlProp190.xml"/><Relationship Id="rId27" Type="http://schemas.openxmlformats.org/officeDocument/2006/relationships/ctrlProp" Target="../ctrlProps/ctrlProp195.xml"/><Relationship Id="rId30" Type="http://schemas.openxmlformats.org/officeDocument/2006/relationships/ctrlProp" Target="../ctrlProps/ctrlProp198.xml"/><Relationship Id="rId35" Type="http://schemas.openxmlformats.org/officeDocument/2006/relationships/ctrlProp" Target="../ctrlProps/ctrlProp203.xml"/><Relationship Id="rId8" Type="http://schemas.openxmlformats.org/officeDocument/2006/relationships/ctrlProp" Target="../ctrlProps/ctrlProp176.xm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214.xml"/><Relationship Id="rId18" Type="http://schemas.openxmlformats.org/officeDocument/2006/relationships/ctrlProp" Target="../ctrlProps/ctrlProp219.xml"/><Relationship Id="rId26" Type="http://schemas.openxmlformats.org/officeDocument/2006/relationships/ctrlProp" Target="../ctrlProps/ctrlProp227.xml"/><Relationship Id="rId3" Type="http://schemas.openxmlformats.org/officeDocument/2006/relationships/vmlDrawing" Target="../drawings/vmlDrawing6.vml"/><Relationship Id="rId21" Type="http://schemas.openxmlformats.org/officeDocument/2006/relationships/ctrlProp" Target="../ctrlProps/ctrlProp222.xml"/><Relationship Id="rId34" Type="http://schemas.openxmlformats.org/officeDocument/2006/relationships/ctrlProp" Target="../ctrlProps/ctrlProp235.xml"/><Relationship Id="rId7" Type="http://schemas.openxmlformats.org/officeDocument/2006/relationships/ctrlProp" Target="../ctrlProps/ctrlProp208.xml"/><Relationship Id="rId12" Type="http://schemas.openxmlformats.org/officeDocument/2006/relationships/ctrlProp" Target="../ctrlProps/ctrlProp213.xml"/><Relationship Id="rId17" Type="http://schemas.openxmlformats.org/officeDocument/2006/relationships/ctrlProp" Target="../ctrlProps/ctrlProp218.xml"/><Relationship Id="rId25" Type="http://schemas.openxmlformats.org/officeDocument/2006/relationships/ctrlProp" Target="../ctrlProps/ctrlProp226.xml"/><Relationship Id="rId33" Type="http://schemas.openxmlformats.org/officeDocument/2006/relationships/ctrlProp" Target="../ctrlProps/ctrlProp234.xml"/><Relationship Id="rId2" Type="http://schemas.openxmlformats.org/officeDocument/2006/relationships/drawing" Target="../drawings/drawing6.xml"/><Relationship Id="rId16" Type="http://schemas.openxmlformats.org/officeDocument/2006/relationships/ctrlProp" Target="../ctrlProps/ctrlProp217.xml"/><Relationship Id="rId20" Type="http://schemas.openxmlformats.org/officeDocument/2006/relationships/ctrlProp" Target="../ctrlProps/ctrlProp221.xml"/><Relationship Id="rId29" Type="http://schemas.openxmlformats.org/officeDocument/2006/relationships/ctrlProp" Target="../ctrlProps/ctrlProp230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207.xml"/><Relationship Id="rId11" Type="http://schemas.openxmlformats.org/officeDocument/2006/relationships/ctrlProp" Target="../ctrlProps/ctrlProp212.xml"/><Relationship Id="rId24" Type="http://schemas.openxmlformats.org/officeDocument/2006/relationships/ctrlProp" Target="../ctrlProps/ctrlProp225.xml"/><Relationship Id="rId32" Type="http://schemas.openxmlformats.org/officeDocument/2006/relationships/ctrlProp" Target="../ctrlProps/ctrlProp233.xml"/><Relationship Id="rId5" Type="http://schemas.openxmlformats.org/officeDocument/2006/relationships/ctrlProp" Target="../ctrlProps/ctrlProp206.xml"/><Relationship Id="rId15" Type="http://schemas.openxmlformats.org/officeDocument/2006/relationships/ctrlProp" Target="../ctrlProps/ctrlProp216.xml"/><Relationship Id="rId23" Type="http://schemas.openxmlformats.org/officeDocument/2006/relationships/ctrlProp" Target="../ctrlProps/ctrlProp224.xml"/><Relationship Id="rId28" Type="http://schemas.openxmlformats.org/officeDocument/2006/relationships/ctrlProp" Target="../ctrlProps/ctrlProp229.xml"/><Relationship Id="rId36" Type="http://schemas.openxmlformats.org/officeDocument/2006/relationships/ctrlProp" Target="../ctrlProps/ctrlProp237.xml"/><Relationship Id="rId10" Type="http://schemas.openxmlformats.org/officeDocument/2006/relationships/ctrlProp" Target="../ctrlProps/ctrlProp211.xml"/><Relationship Id="rId19" Type="http://schemas.openxmlformats.org/officeDocument/2006/relationships/ctrlProp" Target="../ctrlProps/ctrlProp220.xml"/><Relationship Id="rId31" Type="http://schemas.openxmlformats.org/officeDocument/2006/relationships/ctrlProp" Target="../ctrlProps/ctrlProp232.xml"/><Relationship Id="rId4" Type="http://schemas.openxmlformats.org/officeDocument/2006/relationships/ctrlProp" Target="../ctrlProps/ctrlProp205.xml"/><Relationship Id="rId9" Type="http://schemas.openxmlformats.org/officeDocument/2006/relationships/ctrlProp" Target="../ctrlProps/ctrlProp210.xml"/><Relationship Id="rId14" Type="http://schemas.openxmlformats.org/officeDocument/2006/relationships/ctrlProp" Target="../ctrlProps/ctrlProp215.xml"/><Relationship Id="rId22" Type="http://schemas.openxmlformats.org/officeDocument/2006/relationships/ctrlProp" Target="../ctrlProps/ctrlProp223.xml"/><Relationship Id="rId27" Type="http://schemas.openxmlformats.org/officeDocument/2006/relationships/ctrlProp" Target="../ctrlProps/ctrlProp228.xml"/><Relationship Id="rId30" Type="http://schemas.openxmlformats.org/officeDocument/2006/relationships/ctrlProp" Target="../ctrlProps/ctrlProp231.xml"/><Relationship Id="rId35" Type="http://schemas.openxmlformats.org/officeDocument/2006/relationships/ctrlProp" Target="../ctrlProps/ctrlProp236.xml"/><Relationship Id="rId8" Type="http://schemas.openxmlformats.org/officeDocument/2006/relationships/ctrlProp" Target="../ctrlProps/ctrlProp209.xm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247.xml"/><Relationship Id="rId18" Type="http://schemas.openxmlformats.org/officeDocument/2006/relationships/ctrlProp" Target="../ctrlProps/ctrlProp252.xml"/><Relationship Id="rId26" Type="http://schemas.openxmlformats.org/officeDocument/2006/relationships/ctrlProp" Target="../ctrlProps/ctrlProp260.xml"/><Relationship Id="rId3" Type="http://schemas.openxmlformats.org/officeDocument/2006/relationships/vmlDrawing" Target="../drawings/vmlDrawing7.vml"/><Relationship Id="rId21" Type="http://schemas.openxmlformats.org/officeDocument/2006/relationships/ctrlProp" Target="../ctrlProps/ctrlProp255.xml"/><Relationship Id="rId34" Type="http://schemas.openxmlformats.org/officeDocument/2006/relationships/ctrlProp" Target="../ctrlProps/ctrlProp268.xml"/><Relationship Id="rId7" Type="http://schemas.openxmlformats.org/officeDocument/2006/relationships/ctrlProp" Target="../ctrlProps/ctrlProp241.xml"/><Relationship Id="rId12" Type="http://schemas.openxmlformats.org/officeDocument/2006/relationships/ctrlProp" Target="../ctrlProps/ctrlProp246.xml"/><Relationship Id="rId17" Type="http://schemas.openxmlformats.org/officeDocument/2006/relationships/ctrlProp" Target="../ctrlProps/ctrlProp251.xml"/><Relationship Id="rId25" Type="http://schemas.openxmlformats.org/officeDocument/2006/relationships/ctrlProp" Target="../ctrlProps/ctrlProp259.xml"/><Relationship Id="rId33" Type="http://schemas.openxmlformats.org/officeDocument/2006/relationships/ctrlProp" Target="../ctrlProps/ctrlProp267.xml"/><Relationship Id="rId2" Type="http://schemas.openxmlformats.org/officeDocument/2006/relationships/drawing" Target="../drawings/drawing7.xml"/><Relationship Id="rId16" Type="http://schemas.openxmlformats.org/officeDocument/2006/relationships/ctrlProp" Target="../ctrlProps/ctrlProp250.xml"/><Relationship Id="rId20" Type="http://schemas.openxmlformats.org/officeDocument/2006/relationships/ctrlProp" Target="../ctrlProps/ctrlProp254.xml"/><Relationship Id="rId29" Type="http://schemas.openxmlformats.org/officeDocument/2006/relationships/ctrlProp" Target="../ctrlProps/ctrlProp263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240.xml"/><Relationship Id="rId11" Type="http://schemas.openxmlformats.org/officeDocument/2006/relationships/ctrlProp" Target="../ctrlProps/ctrlProp245.xml"/><Relationship Id="rId24" Type="http://schemas.openxmlformats.org/officeDocument/2006/relationships/ctrlProp" Target="../ctrlProps/ctrlProp258.xml"/><Relationship Id="rId32" Type="http://schemas.openxmlformats.org/officeDocument/2006/relationships/ctrlProp" Target="../ctrlProps/ctrlProp266.xml"/><Relationship Id="rId5" Type="http://schemas.openxmlformats.org/officeDocument/2006/relationships/ctrlProp" Target="../ctrlProps/ctrlProp239.xml"/><Relationship Id="rId15" Type="http://schemas.openxmlformats.org/officeDocument/2006/relationships/ctrlProp" Target="../ctrlProps/ctrlProp249.xml"/><Relationship Id="rId23" Type="http://schemas.openxmlformats.org/officeDocument/2006/relationships/ctrlProp" Target="../ctrlProps/ctrlProp257.xml"/><Relationship Id="rId28" Type="http://schemas.openxmlformats.org/officeDocument/2006/relationships/ctrlProp" Target="../ctrlProps/ctrlProp262.xml"/><Relationship Id="rId36" Type="http://schemas.openxmlformats.org/officeDocument/2006/relationships/ctrlProp" Target="../ctrlProps/ctrlProp270.xml"/><Relationship Id="rId10" Type="http://schemas.openxmlformats.org/officeDocument/2006/relationships/ctrlProp" Target="../ctrlProps/ctrlProp244.xml"/><Relationship Id="rId19" Type="http://schemas.openxmlformats.org/officeDocument/2006/relationships/ctrlProp" Target="../ctrlProps/ctrlProp253.xml"/><Relationship Id="rId31" Type="http://schemas.openxmlformats.org/officeDocument/2006/relationships/ctrlProp" Target="../ctrlProps/ctrlProp265.xml"/><Relationship Id="rId4" Type="http://schemas.openxmlformats.org/officeDocument/2006/relationships/ctrlProp" Target="../ctrlProps/ctrlProp238.xml"/><Relationship Id="rId9" Type="http://schemas.openxmlformats.org/officeDocument/2006/relationships/ctrlProp" Target="../ctrlProps/ctrlProp243.xml"/><Relationship Id="rId14" Type="http://schemas.openxmlformats.org/officeDocument/2006/relationships/ctrlProp" Target="../ctrlProps/ctrlProp248.xml"/><Relationship Id="rId22" Type="http://schemas.openxmlformats.org/officeDocument/2006/relationships/ctrlProp" Target="../ctrlProps/ctrlProp256.xml"/><Relationship Id="rId27" Type="http://schemas.openxmlformats.org/officeDocument/2006/relationships/ctrlProp" Target="../ctrlProps/ctrlProp261.xml"/><Relationship Id="rId30" Type="http://schemas.openxmlformats.org/officeDocument/2006/relationships/ctrlProp" Target="../ctrlProps/ctrlProp264.xml"/><Relationship Id="rId35" Type="http://schemas.openxmlformats.org/officeDocument/2006/relationships/ctrlProp" Target="../ctrlProps/ctrlProp269.xml"/><Relationship Id="rId8" Type="http://schemas.openxmlformats.org/officeDocument/2006/relationships/ctrlProp" Target="../ctrlProps/ctrlProp24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CF5B0-0864-44CD-AA7E-47FF898880D7}">
  <sheetPr>
    <pageSetUpPr fitToPage="1"/>
  </sheetPr>
  <dimension ref="A1:FI642"/>
  <sheetViews>
    <sheetView showGridLines="0" showRowColHeaders="0" tabSelected="1" workbookViewId="0">
      <selection activeCell="B31" sqref="B31:S31"/>
    </sheetView>
  </sheetViews>
  <sheetFormatPr defaultColWidth="2.125" defaultRowHeight="15" customHeight="1" x14ac:dyDescent="0.15"/>
  <cols>
    <col min="1" max="1" width="7.25" style="25" customWidth="1"/>
    <col min="2" max="4" width="2.125" customWidth="1"/>
    <col min="5" max="5" width="3.75" customWidth="1"/>
    <col min="6" max="9" width="2.125" customWidth="1"/>
    <col min="10" max="10" width="2.375" customWidth="1"/>
    <col min="11" max="11" width="0.5" customWidth="1"/>
    <col min="12" max="25" width="2.125" customWidth="1"/>
    <col min="26" max="26" width="0.875" customWidth="1"/>
    <col min="27" max="27" width="2.125" customWidth="1"/>
    <col min="28" max="28" width="1.875" customWidth="1"/>
    <col min="29" max="30" width="2.125" customWidth="1"/>
    <col min="31" max="31" width="2.625" customWidth="1"/>
    <col min="32" max="33" width="2.125" customWidth="1"/>
    <col min="34" max="34" width="1.875" customWidth="1"/>
    <col min="35" max="35" width="3.5" customWidth="1"/>
    <col min="36" max="36" width="1.375" customWidth="1"/>
    <col min="37" max="37" width="1.625" customWidth="1"/>
    <col min="38" max="38" width="2.5" customWidth="1"/>
    <col min="39" max="39" width="2.25" customWidth="1"/>
    <col min="40" max="40" width="1.125" customWidth="1"/>
    <col min="41" max="41" width="2.125" customWidth="1"/>
    <col min="42" max="42" width="2.375" customWidth="1"/>
    <col min="43" max="45" width="2.125" customWidth="1"/>
    <col min="46" max="46" width="0.875" customWidth="1"/>
    <col min="47" max="82" width="2.125" customWidth="1"/>
    <col min="83" max="83" width="5.125" customWidth="1"/>
    <col min="84" max="103" width="2.125" customWidth="1"/>
    <col min="104" max="104" width="2.75" customWidth="1"/>
    <col min="105" max="115" width="2.125" customWidth="1"/>
    <col min="116" max="116" width="7.375" customWidth="1"/>
    <col min="117" max="121" width="2.125" customWidth="1"/>
    <col min="122" max="122" width="10.75" customWidth="1"/>
    <col min="123" max="157" width="2.125" customWidth="1"/>
    <col min="158" max="158" width="5.25" bestFit="1" customWidth="1"/>
    <col min="159" max="159" width="7.875" bestFit="1" customWidth="1"/>
    <col min="160" max="160" width="31.5" bestFit="1" customWidth="1"/>
    <col min="161" max="162" width="6" bestFit="1" customWidth="1"/>
    <col min="163" max="163" width="8.75" customWidth="1"/>
    <col min="164" max="164" width="9.75" customWidth="1"/>
    <col min="165" max="165" width="8.75" customWidth="1"/>
  </cols>
  <sheetData>
    <row r="1" spans="1:78" ht="57.75" customHeight="1" x14ac:dyDescent="0.15">
      <c r="A1" s="65"/>
      <c r="B1" s="1"/>
      <c r="C1" s="1"/>
      <c r="D1" s="1"/>
      <c r="E1" s="1"/>
      <c r="F1" s="1"/>
      <c r="G1" s="66"/>
      <c r="H1" s="1"/>
      <c r="I1" s="66"/>
      <c r="J1" s="6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66"/>
      <c r="W1" s="6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5" customHeight="1" x14ac:dyDescent="0.15">
      <c r="A2" s="26"/>
      <c r="E2" s="3"/>
      <c r="F2" s="3"/>
      <c r="G2" s="67"/>
      <c r="H2" s="3"/>
      <c r="I2" s="68"/>
      <c r="J2" s="68"/>
      <c r="L2" s="60"/>
      <c r="M2" s="93" t="s">
        <v>78</v>
      </c>
      <c r="N2" s="93"/>
      <c r="O2" s="93"/>
      <c r="P2" s="93"/>
      <c r="Q2" s="93"/>
      <c r="R2" s="93"/>
      <c r="W2" s="4"/>
      <c r="X2" s="4"/>
      <c r="Y2" s="4"/>
      <c r="Z2" s="4"/>
      <c r="AA2" s="94" t="s">
        <v>47</v>
      </c>
      <c r="AB2" s="94"/>
      <c r="AC2" s="94"/>
      <c r="AD2" s="94"/>
      <c r="AE2" s="94"/>
      <c r="AF2" s="94"/>
      <c r="AG2" s="94"/>
      <c r="AH2" s="94"/>
      <c r="AI2" s="94"/>
      <c r="AJ2" s="94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26"/>
      <c r="E3" s="88" t="s">
        <v>147</v>
      </c>
      <c r="F3" s="88"/>
      <c r="G3" s="88"/>
      <c r="H3" s="88"/>
      <c r="I3" s="68"/>
      <c r="J3" s="68"/>
      <c r="N3" s="59"/>
      <c r="O3" s="59"/>
      <c r="P3" s="59"/>
      <c r="Q3" s="59"/>
      <c r="R3" s="59"/>
      <c r="W3" s="4"/>
      <c r="X3" s="4"/>
      <c r="Y3" s="4"/>
      <c r="Z3" s="4"/>
      <c r="AA3" s="94"/>
      <c r="AB3" s="94"/>
      <c r="AC3" s="94"/>
      <c r="AD3" s="94"/>
      <c r="AE3" s="94"/>
      <c r="AF3" s="94"/>
      <c r="AG3" s="94"/>
      <c r="AH3" s="94"/>
      <c r="AI3" s="94"/>
      <c r="AJ3" s="94"/>
      <c r="AL3" s="5" t="s">
        <v>0</v>
      </c>
      <c r="AM3" s="5"/>
      <c r="AN3" s="95" t="s">
        <v>150</v>
      </c>
      <c r="AO3" s="95"/>
      <c r="AP3" s="95"/>
      <c r="AQ3" s="95"/>
      <c r="AR3" s="95"/>
      <c r="AS3" s="6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5" customHeight="1" x14ac:dyDescent="0.15">
      <c r="A4" s="26"/>
      <c r="D4" s="85" t="s">
        <v>148</v>
      </c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26"/>
      <c r="D5" s="85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G5" s="9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26"/>
      <c r="D6" s="7"/>
      <c r="E6" s="7"/>
      <c r="F6" s="87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7"/>
      <c r="T6" s="76"/>
      <c r="U6" s="76"/>
      <c r="V6" s="8"/>
      <c r="W6" s="8"/>
      <c r="X6" s="8"/>
      <c r="Y6" s="8"/>
      <c r="Z6" s="8"/>
      <c r="AA6" s="8"/>
      <c r="AB6" s="8"/>
      <c r="AC6" s="8"/>
      <c r="AG6" s="12" t="s">
        <v>101</v>
      </c>
      <c r="AH6" s="12"/>
      <c r="AI6" s="89">
        <v>8</v>
      </c>
      <c r="AJ6" s="89"/>
      <c r="AK6" s="89"/>
      <c r="AL6" s="9" t="s">
        <v>1</v>
      </c>
      <c r="AM6" s="89">
        <v>2</v>
      </c>
      <c r="AN6" s="89"/>
      <c r="AO6" s="9" t="s">
        <v>2</v>
      </c>
      <c r="AP6" s="89">
        <v>10</v>
      </c>
      <c r="AQ6" s="89"/>
      <c r="AR6" s="31" t="s">
        <v>94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15" customHeight="1" x14ac:dyDescent="0.15">
      <c r="A7" s="26"/>
      <c r="D7" s="90" t="s">
        <v>149</v>
      </c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2" t="s">
        <v>55</v>
      </c>
      <c r="U7" s="92"/>
      <c r="V7" s="92"/>
      <c r="W7" s="8"/>
      <c r="X7" s="8"/>
      <c r="Y7" s="8"/>
      <c r="Z7" s="8"/>
      <c r="AA7" s="8"/>
      <c r="AB7" s="8"/>
      <c r="AC7" s="8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15" customHeight="1" x14ac:dyDescent="0.15">
      <c r="A8" s="26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2"/>
      <c r="U8" s="92"/>
      <c r="V8" s="92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15" customHeight="1" x14ac:dyDescent="0.15">
      <c r="A9" s="2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/>
      <c r="V9" s="11"/>
      <c r="W9" s="11"/>
      <c r="X9" s="11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1.5" customHeight="1" x14ac:dyDescent="0.15">
      <c r="A10" s="26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/>
      <c r="V10" s="11"/>
      <c r="W10" s="11"/>
      <c r="X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15" customHeight="1" x14ac:dyDescent="0.15">
      <c r="A11" s="26"/>
      <c r="D11" s="73" t="s">
        <v>4</v>
      </c>
      <c r="E11" s="74"/>
      <c r="F11" s="74"/>
      <c r="G11" s="74"/>
      <c r="H11" s="106" t="s">
        <v>112</v>
      </c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73"/>
      <c r="U11" s="74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.75" customHeight="1" x14ac:dyDescent="0.15">
      <c r="A12" s="26"/>
      <c r="D12" s="32"/>
      <c r="E12" s="30"/>
      <c r="F12" s="30"/>
      <c r="G12" s="30"/>
      <c r="H12" s="32"/>
      <c r="I12" s="30"/>
      <c r="J12" s="33"/>
      <c r="K12" s="33"/>
      <c r="L12" s="33"/>
      <c r="M12" s="32"/>
      <c r="N12" s="33"/>
      <c r="O12" s="33"/>
      <c r="P12" s="32"/>
      <c r="Q12" s="33"/>
      <c r="R12" s="33"/>
      <c r="S12" s="34"/>
      <c r="T12" s="34"/>
      <c r="U12" s="30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15" customHeight="1" x14ac:dyDescent="0.15">
      <c r="A13" s="26"/>
      <c r="D13" s="73" t="s">
        <v>5</v>
      </c>
      <c r="E13" s="74"/>
      <c r="F13" s="74"/>
      <c r="G13" s="74"/>
      <c r="H13" s="96" t="s">
        <v>113</v>
      </c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74"/>
      <c r="Z13" s="78"/>
      <c r="AA13" s="78"/>
      <c r="AB13" s="108" t="s">
        <v>57</v>
      </c>
      <c r="AC13" s="108"/>
      <c r="AD13" s="108"/>
      <c r="AE13" s="109" t="s">
        <v>81</v>
      </c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  <c r="AS13" s="109"/>
      <c r="AT13" s="109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.75" customHeight="1" x14ac:dyDescent="0.15">
      <c r="A14" s="26"/>
      <c r="D14" s="32"/>
      <c r="E14" s="30"/>
      <c r="F14" s="30"/>
      <c r="G14" s="30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0"/>
      <c r="Z14" s="78"/>
      <c r="AA14" s="78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78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15" customHeight="1" x14ac:dyDescent="0.15">
      <c r="A15" s="26"/>
      <c r="D15" s="73" t="s">
        <v>6</v>
      </c>
      <c r="E15" s="74"/>
      <c r="F15" s="74"/>
      <c r="G15" s="74"/>
      <c r="I15" s="81" t="s">
        <v>114</v>
      </c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7"/>
      <c r="Z15" s="78"/>
      <c r="AA15" s="78"/>
      <c r="AB15" s="110" t="s">
        <v>58</v>
      </c>
      <c r="AC15" s="110"/>
      <c r="AD15" s="110"/>
      <c r="AE15" s="109" t="s">
        <v>82</v>
      </c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  <c r="AS15" s="109"/>
      <c r="AT15" s="109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.75" customHeight="1" x14ac:dyDescent="0.15">
      <c r="A16" s="26"/>
      <c r="D16" s="32"/>
      <c r="E16" s="30"/>
      <c r="F16" s="30"/>
      <c r="G16" s="30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0"/>
      <c r="Z16" s="78"/>
      <c r="AA16" s="78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78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15" customHeight="1" x14ac:dyDescent="0.15">
      <c r="A17" s="26"/>
      <c r="B17" s="30"/>
      <c r="D17" s="79"/>
      <c r="E17" s="5" t="s">
        <v>92</v>
      </c>
      <c r="F17" s="5"/>
      <c r="G17" s="5" t="s">
        <v>100</v>
      </c>
      <c r="H17" s="5"/>
      <c r="I17" s="5"/>
      <c r="J17" s="95" t="s">
        <v>96</v>
      </c>
      <c r="K17" s="95"/>
      <c r="L17" s="95"/>
      <c r="M17" s="5"/>
      <c r="N17" s="95" t="s">
        <v>95</v>
      </c>
      <c r="O17" s="95"/>
      <c r="P17" s="5"/>
      <c r="Q17" s="95"/>
      <c r="R17" s="95"/>
      <c r="S17" s="5"/>
      <c r="T17" s="5"/>
      <c r="U17" s="5"/>
      <c r="W17" s="78"/>
      <c r="X17" s="30"/>
      <c r="AB17" s="79" t="s">
        <v>7</v>
      </c>
      <c r="AC17" s="79"/>
      <c r="AD17" s="79"/>
      <c r="AE17" s="79"/>
      <c r="AF17" s="96" t="s">
        <v>97</v>
      </c>
      <c r="AG17" s="96"/>
      <c r="AH17" s="96"/>
      <c r="AI17" s="96"/>
      <c r="AJ17" s="96"/>
      <c r="AK17" s="96"/>
      <c r="AL17" s="96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7.5" customHeight="1" x14ac:dyDescent="0.15">
      <c r="A18" s="26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15" customHeight="1" x14ac:dyDescent="0.25">
      <c r="A19" s="26"/>
      <c r="B19" s="78"/>
      <c r="C19" s="78"/>
      <c r="D19" s="78"/>
      <c r="E19" s="78"/>
      <c r="F19" s="78"/>
      <c r="G19" s="78"/>
      <c r="H19" s="78"/>
      <c r="I19" s="78"/>
      <c r="J19" s="84">
        <f>H39</f>
        <v>2698410</v>
      </c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78"/>
      <c r="W19" s="78"/>
      <c r="AB19" s="97"/>
      <c r="AC19" s="98"/>
      <c r="AD19" s="98"/>
      <c r="AE19" s="98"/>
      <c r="AF19" s="99"/>
      <c r="AG19" s="97"/>
      <c r="AH19" s="98"/>
      <c r="AI19" s="98"/>
      <c r="AJ19" s="98"/>
      <c r="AK19" s="99"/>
      <c r="AL19" s="97"/>
      <c r="AM19" s="98"/>
      <c r="AN19" s="98"/>
      <c r="AO19" s="98"/>
      <c r="AP19" s="99"/>
      <c r="AQ19" s="13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11.25" customHeight="1" x14ac:dyDescent="0.15">
      <c r="A20" s="26"/>
      <c r="B20" s="78"/>
      <c r="C20" s="78"/>
      <c r="D20" s="130" t="s">
        <v>98</v>
      </c>
      <c r="E20" s="130"/>
      <c r="F20" s="130"/>
      <c r="G20" s="130"/>
      <c r="H20" s="130"/>
      <c r="I20" s="130"/>
      <c r="J20" s="132">
        <f>H39</f>
        <v>2698410</v>
      </c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78"/>
      <c r="W20" s="78"/>
      <c r="AB20" s="100"/>
      <c r="AC20" s="101"/>
      <c r="AD20" s="101"/>
      <c r="AE20" s="101"/>
      <c r="AF20" s="102"/>
      <c r="AG20" s="100"/>
      <c r="AH20" s="101"/>
      <c r="AI20" s="101"/>
      <c r="AJ20" s="101"/>
      <c r="AK20" s="102"/>
      <c r="AL20" s="100"/>
      <c r="AM20" s="101"/>
      <c r="AN20" s="101"/>
      <c r="AO20" s="101"/>
      <c r="AP20" s="102"/>
      <c r="AQ20" s="13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9.6" customHeight="1" thickBot="1" x14ac:dyDescent="0.2">
      <c r="A21" s="26"/>
      <c r="B21" s="78"/>
      <c r="C21" s="78"/>
      <c r="D21" s="131"/>
      <c r="E21" s="131"/>
      <c r="F21" s="131"/>
      <c r="G21" s="131"/>
      <c r="H21" s="131"/>
      <c r="I21" s="131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78"/>
      <c r="W21" s="78"/>
      <c r="AB21" s="100"/>
      <c r="AC21" s="101"/>
      <c r="AD21" s="101"/>
      <c r="AE21" s="101"/>
      <c r="AF21" s="102"/>
      <c r="AG21" s="100"/>
      <c r="AH21" s="101"/>
      <c r="AI21" s="101"/>
      <c r="AJ21" s="101"/>
      <c r="AK21" s="102"/>
      <c r="AL21" s="100"/>
      <c r="AM21" s="101"/>
      <c r="AN21" s="101"/>
      <c r="AO21" s="101"/>
      <c r="AP21" s="102"/>
      <c r="AQ21" s="13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21" customHeight="1" x14ac:dyDescent="0.15">
      <c r="A22" s="26"/>
      <c r="B22" s="134" t="s">
        <v>105</v>
      </c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78"/>
      <c r="AB22" s="103"/>
      <c r="AC22" s="104"/>
      <c r="AD22" s="104"/>
      <c r="AE22" s="104"/>
      <c r="AF22" s="105"/>
      <c r="AG22" s="103"/>
      <c r="AH22" s="104"/>
      <c r="AI22" s="104"/>
      <c r="AJ22" s="104"/>
      <c r="AK22" s="105"/>
      <c r="AL22" s="103"/>
      <c r="AM22" s="104"/>
      <c r="AN22" s="104"/>
      <c r="AO22" s="104"/>
      <c r="AP22" s="105"/>
      <c r="AQ22" s="13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7.5" customHeight="1" thickBot="1" x14ac:dyDescent="0.2">
      <c r="A23" s="26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15" customHeight="1" x14ac:dyDescent="0.15">
      <c r="A24" s="26"/>
      <c r="B24" s="135" t="s">
        <v>9</v>
      </c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7"/>
      <c r="T24" s="111" t="s">
        <v>10</v>
      </c>
      <c r="U24" s="112"/>
      <c r="V24" s="112"/>
      <c r="W24" s="112"/>
      <c r="X24" s="112"/>
      <c r="Y24" s="112"/>
      <c r="Z24" s="113"/>
      <c r="AA24" s="111" t="s">
        <v>99</v>
      </c>
      <c r="AB24" s="112"/>
      <c r="AC24" s="112"/>
      <c r="AD24" s="112"/>
      <c r="AE24" s="112"/>
      <c r="AF24" s="111" t="s">
        <v>12</v>
      </c>
      <c r="AG24" s="112"/>
      <c r="AH24" s="112"/>
      <c r="AI24" s="112"/>
      <c r="AJ24" s="112"/>
      <c r="AK24" s="112"/>
      <c r="AL24" s="113"/>
      <c r="AM24" s="111" t="s">
        <v>13</v>
      </c>
      <c r="AN24" s="112"/>
      <c r="AO24" s="112"/>
      <c r="AP24" s="112"/>
      <c r="AQ24" s="112"/>
      <c r="AR24" s="112"/>
      <c r="AS24" s="117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15" customHeight="1" x14ac:dyDescent="0.15">
      <c r="A25" s="26"/>
      <c r="B25" s="138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40"/>
      <c r="T25" s="114"/>
      <c r="U25" s="115"/>
      <c r="V25" s="115"/>
      <c r="W25" s="115"/>
      <c r="X25" s="115"/>
      <c r="Y25" s="115"/>
      <c r="Z25" s="116"/>
      <c r="AA25" s="114"/>
      <c r="AB25" s="115"/>
      <c r="AC25" s="115"/>
      <c r="AD25" s="115"/>
      <c r="AE25" s="115"/>
      <c r="AF25" s="114"/>
      <c r="AG25" s="115"/>
      <c r="AH25" s="115"/>
      <c r="AI25" s="115"/>
      <c r="AJ25" s="115"/>
      <c r="AK25" s="115"/>
      <c r="AL25" s="116"/>
      <c r="AM25" s="114"/>
      <c r="AN25" s="115"/>
      <c r="AO25" s="115"/>
      <c r="AP25" s="115"/>
      <c r="AQ25" s="115"/>
      <c r="AR25" s="115"/>
      <c r="AS25" s="118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26"/>
      <c r="B26" s="119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1"/>
      <c r="T26" s="122"/>
      <c r="U26" s="123"/>
      <c r="V26" s="123"/>
      <c r="W26" s="123"/>
      <c r="X26" s="124"/>
      <c r="Y26" s="124"/>
      <c r="Z26" s="125"/>
      <c r="AA26" s="122"/>
      <c r="AB26" s="123"/>
      <c r="AC26" s="123"/>
      <c r="AD26" s="123"/>
      <c r="AE26" s="126"/>
      <c r="AF26" s="122">
        <f t="shared" ref="AF26:AF37" si="0">IF(T26="",1*AA26,T26*AA26)</f>
        <v>0</v>
      </c>
      <c r="AG26" s="123"/>
      <c r="AH26" s="123"/>
      <c r="AI26" s="123"/>
      <c r="AJ26" s="123"/>
      <c r="AK26" s="123"/>
      <c r="AL26" s="126"/>
      <c r="AM26" s="127"/>
      <c r="AN26" s="128"/>
      <c r="AO26" s="128"/>
      <c r="AP26" s="128"/>
      <c r="AQ26" s="128"/>
      <c r="AR26" s="128"/>
      <c r="AS26" s="129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26"/>
      <c r="B27" s="119" t="s">
        <v>145</v>
      </c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1"/>
      <c r="T27" s="122"/>
      <c r="U27" s="123"/>
      <c r="V27" s="123"/>
      <c r="W27" s="123"/>
      <c r="X27" s="124" t="s">
        <v>22</v>
      </c>
      <c r="Y27" s="124"/>
      <c r="Z27" s="125"/>
      <c r="AA27" s="122">
        <v>2230000</v>
      </c>
      <c r="AB27" s="123"/>
      <c r="AC27" s="123"/>
      <c r="AD27" s="123"/>
      <c r="AE27" s="126"/>
      <c r="AF27" s="122">
        <f t="shared" si="0"/>
        <v>2230000</v>
      </c>
      <c r="AG27" s="123"/>
      <c r="AH27" s="123"/>
      <c r="AI27" s="123"/>
      <c r="AJ27" s="123"/>
      <c r="AK27" s="123"/>
      <c r="AL27" s="126"/>
      <c r="AM27" s="127" t="s">
        <v>143</v>
      </c>
      <c r="AN27" s="128"/>
      <c r="AO27" s="128"/>
      <c r="AP27" s="128"/>
      <c r="AQ27" s="128"/>
      <c r="AR27" s="128"/>
      <c r="AS27" s="129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26"/>
      <c r="B28" s="119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1"/>
      <c r="T28" s="122"/>
      <c r="U28" s="123"/>
      <c r="V28" s="123"/>
      <c r="W28" s="123"/>
      <c r="X28" s="124"/>
      <c r="Y28" s="124"/>
      <c r="Z28" s="125"/>
      <c r="AA28" s="122"/>
      <c r="AB28" s="123"/>
      <c r="AC28" s="123"/>
      <c r="AD28" s="123"/>
      <c r="AE28" s="126"/>
      <c r="AF28" s="122">
        <f>IF(T28="",1*AA28,T28*AA28)</f>
        <v>0</v>
      </c>
      <c r="AG28" s="123"/>
      <c r="AH28" s="123"/>
      <c r="AI28" s="123"/>
      <c r="AJ28" s="123"/>
      <c r="AK28" s="123"/>
      <c r="AL28" s="126"/>
      <c r="AM28" s="127"/>
      <c r="AN28" s="128"/>
      <c r="AO28" s="128"/>
      <c r="AP28" s="128"/>
      <c r="AQ28" s="128"/>
      <c r="AR28" s="128"/>
      <c r="AS28" s="129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26"/>
      <c r="B29" s="119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1"/>
      <c r="T29" s="122"/>
      <c r="U29" s="123"/>
      <c r="V29" s="123"/>
      <c r="W29" s="123"/>
      <c r="X29" s="124"/>
      <c r="Y29" s="124"/>
      <c r="Z29" s="125"/>
      <c r="AA29" s="122"/>
      <c r="AB29" s="123"/>
      <c r="AC29" s="123"/>
      <c r="AD29" s="123"/>
      <c r="AE29" s="126"/>
      <c r="AF29" s="122">
        <f t="shared" ref="AF29:AF32" si="1">IF(T29="",1*AA29,T29*AA29)</f>
        <v>0</v>
      </c>
      <c r="AG29" s="123"/>
      <c r="AH29" s="123"/>
      <c r="AI29" s="123"/>
      <c r="AJ29" s="123"/>
      <c r="AK29" s="123"/>
      <c r="AL29" s="126"/>
      <c r="AM29" s="127"/>
      <c r="AN29" s="128"/>
      <c r="AO29" s="128"/>
      <c r="AP29" s="128"/>
      <c r="AQ29" s="128"/>
      <c r="AR29" s="128"/>
      <c r="AS29" s="129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x14ac:dyDescent="0.15">
      <c r="A30" s="26"/>
      <c r="B30" s="119"/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1"/>
      <c r="T30" s="122"/>
      <c r="U30" s="123"/>
      <c r="V30" s="123"/>
      <c r="W30" s="123"/>
      <c r="X30" s="124"/>
      <c r="Y30" s="124"/>
      <c r="Z30" s="125"/>
      <c r="AA30" s="122"/>
      <c r="AB30" s="123"/>
      <c r="AC30" s="123"/>
      <c r="AD30" s="123"/>
      <c r="AE30" s="126"/>
      <c r="AF30" s="122">
        <f t="shared" si="1"/>
        <v>0</v>
      </c>
      <c r="AG30" s="123"/>
      <c r="AH30" s="123"/>
      <c r="AI30" s="123"/>
      <c r="AJ30" s="123"/>
      <c r="AK30" s="123"/>
      <c r="AL30" s="126"/>
      <c r="AM30" s="127"/>
      <c r="AN30" s="128"/>
      <c r="AO30" s="128"/>
      <c r="AP30" s="128"/>
      <c r="AQ30" s="128"/>
      <c r="AR30" s="128"/>
      <c r="AS30" s="129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32.1" customHeight="1" x14ac:dyDescent="0.15">
      <c r="A31" s="26"/>
      <c r="B31" s="119"/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1"/>
      <c r="T31" s="122"/>
      <c r="U31" s="123"/>
      <c r="V31" s="123"/>
      <c r="W31" s="123"/>
      <c r="X31" s="124"/>
      <c r="Y31" s="124"/>
      <c r="Z31" s="125"/>
      <c r="AA31" s="122"/>
      <c r="AB31" s="123"/>
      <c r="AC31" s="123"/>
      <c r="AD31" s="123"/>
      <c r="AE31" s="126"/>
      <c r="AF31" s="122">
        <f t="shared" si="1"/>
        <v>0</v>
      </c>
      <c r="AG31" s="123"/>
      <c r="AH31" s="123"/>
      <c r="AI31" s="123"/>
      <c r="AJ31" s="123"/>
      <c r="AK31" s="123"/>
      <c r="AL31" s="126"/>
      <c r="AM31" s="127"/>
      <c r="AN31" s="128"/>
      <c r="AO31" s="128"/>
      <c r="AP31" s="128"/>
      <c r="AQ31" s="128"/>
      <c r="AR31" s="128"/>
      <c r="AS31" s="129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32.1" customHeight="1" x14ac:dyDescent="0.15">
      <c r="A32" s="26"/>
      <c r="B32" s="119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1"/>
      <c r="T32" s="122"/>
      <c r="U32" s="123"/>
      <c r="V32" s="123"/>
      <c r="W32" s="123"/>
      <c r="X32" s="124"/>
      <c r="Y32" s="124"/>
      <c r="Z32" s="125"/>
      <c r="AA32" s="122"/>
      <c r="AB32" s="123"/>
      <c r="AC32" s="123"/>
      <c r="AD32" s="123"/>
      <c r="AE32" s="126"/>
      <c r="AF32" s="122">
        <f t="shared" si="1"/>
        <v>0</v>
      </c>
      <c r="AG32" s="123"/>
      <c r="AH32" s="123"/>
      <c r="AI32" s="123"/>
      <c r="AJ32" s="123"/>
      <c r="AK32" s="123"/>
      <c r="AL32" s="126"/>
      <c r="AM32" s="141"/>
      <c r="AN32" s="142"/>
      <c r="AO32" s="142"/>
      <c r="AP32" s="142"/>
      <c r="AQ32" s="142"/>
      <c r="AR32" s="142"/>
      <c r="AS32" s="143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32.1" customHeight="1" x14ac:dyDescent="0.15">
      <c r="A33" s="26"/>
      <c r="B33" s="119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1"/>
      <c r="T33" s="122"/>
      <c r="U33" s="123"/>
      <c r="V33" s="123"/>
      <c r="W33" s="123"/>
      <c r="X33" s="124"/>
      <c r="Y33" s="124"/>
      <c r="Z33" s="125"/>
      <c r="AA33" s="122"/>
      <c r="AB33" s="123"/>
      <c r="AC33" s="123"/>
      <c r="AD33" s="123"/>
      <c r="AE33" s="126"/>
      <c r="AF33" s="122">
        <f>IF(T33="",1*AA33,T33*AA33)</f>
        <v>0</v>
      </c>
      <c r="AG33" s="123"/>
      <c r="AH33" s="123"/>
      <c r="AI33" s="123"/>
      <c r="AJ33" s="123"/>
      <c r="AK33" s="123"/>
      <c r="AL33" s="126"/>
      <c r="AM33" s="127"/>
      <c r="AN33" s="128"/>
      <c r="AO33" s="128"/>
      <c r="AP33" s="128"/>
      <c r="AQ33" s="128"/>
      <c r="AR33" s="128"/>
      <c r="AS33" s="129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32.1" customHeight="1" x14ac:dyDescent="0.15">
      <c r="A34" s="26"/>
      <c r="B34" s="119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1"/>
      <c r="T34" s="122"/>
      <c r="U34" s="123"/>
      <c r="V34" s="123"/>
      <c r="W34" s="123"/>
      <c r="X34" s="124"/>
      <c r="Y34" s="124"/>
      <c r="Z34" s="125"/>
      <c r="AA34" s="122"/>
      <c r="AB34" s="123"/>
      <c r="AC34" s="123"/>
      <c r="AD34" s="123"/>
      <c r="AE34" s="126"/>
      <c r="AF34" s="122">
        <f>IF(T34="",1*AA34,T34*AA34)</f>
        <v>0</v>
      </c>
      <c r="AG34" s="123"/>
      <c r="AH34" s="123"/>
      <c r="AI34" s="123"/>
      <c r="AJ34" s="123"/>
      <c r="AK34" s="123"/>
      <c r="AL34" s="126"/>
      <c r="AM34" s="141"/>
      <c r="AN34" s="142"/>
      <c r="AO34" s="142"/>
      <c r="AP34" s="142"/>
      <c r="AQ34" s="142"/>
      <c r="AR34" s="142"/>
      <c r="AS34" s="143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32.1" customHeight="1" x14ac:dyDescent="0.15">
      <c r="A35" s="26"/>
      <c r="B35" s="119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1"/>
      <c r="T35" s="122"/>
      <c r="U35" s="123"/>
      <c r="V35" s="123"/>
      <c r="W35" s="123"/>
      <c r="X35" s="124"/>
      <c r="Y35" s="124"/>
      <c r="Z35" s="125"/>
      <c r="AA35" s="122"/>
      <c r="AB35" s="123"/>
      <c r="AC35" s="123"/>
      <c r="AD35" s="123"/>
      <c r="AE35" s="126"/>
      <c r="AF35" s="122">
        <f>IF(T35="",1*AA35,T35*AA35)</f>
        <v>0</v>
      </c>
      <c r="AG35" s="123"/>
      <c r="AH35" s="123"/>
      <c r="AI35" s="123"/>
      <c r="AJ35" s="123"/>
      <c r="AK35" s="123"/>
      <c r="AL35" s="126"/>
      <c r="AM35" s="141"/>
      <c r="AN35" s="142"/>
      <c r="AO35" s="142"/>
      <c r="AP35" s="142"/>
      <c r="AQ35" s="142"/>
      <c r="AR35" s="142"/>
      <c r="AS35" s="143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32.1" customHeight="1" x14ac:dyDescent="0.15">
      <c r="A36" s="26"/>
      <c r="B36" s="119" t="s">
        <v>109</v>
      </c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1"/>
      <c r="T36" s="122">
        <v>1</v>
      </c>
      <c r="U36" s="123"/>
      <c r="V36" s="123"/>
      <c r="W36" s="123"/>
      <c r="X36" s="124" t="s">
        <v>22</v>
      </c>
      <c r="Y36" s="124"/>
      <c r="Z36" s="125"/>
      <c r="AA36" s="122">
        <v>200000</v>
      </c>
      <c r="AB36" s="123"/>
      <c r="AC36" s="123"/>
      <c r="AD36" s="123"/>
      <c r="AE36" s="126"/>
      <c r="AF36" s="122">
        <f t="shared" si="0"/>
        <v>200000</v>
      </c>
      <c r="AG36" s="123"/>
      <c r="AH36" s="123"/>
      <c r="AI36" s="123"/>
      <c r="AJ36" s="123"/>
      <c r="AK36" s="123"/>
      <c r="AL36" s="126"/>
      <c r="AM36" s="141"/>
      <c r="AN36" s="142"/>
      <c r="AO36" s="142"/>
      <c r="AP36" s="142"/>
      <c r="AQ36" s="142"/>
      <c r="AR36" s="142"/>
      <c r="AS36" s="143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32.1" customHeight="1" x14ac:dyDescent="0.15">
      <c r="A37" s="26"/>
      <c r="B37" s="119" t="s">
        <v>144</v>
      </c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1"/>
      <c r="T37" s="122">
        <v>1</v>
      </c>
      <c r="U37" s="123"/>
      <c r="V37" s="123"/>
      <c r="W37" s="123"/>
      <c r="X37" s="124" t="s">
        <v>19</v>
      </c>
      <c r="Y37" s="124"/>
      <c r="Z37" s="125"/>
      <c r="AA37" s="122">
        <v>23100</v>
      </c>
      <c r="AB37" s="123"/>
      <c r="AC37" s="123"/>
      <c r="AD37" s="123"/>
      <c r="AE37" s="126"/>
      <c r="AF37" s="122">
        <f t="shared" si="0"/>
        <v>23100</v>
      </c>
      <c r="AG37" s="123"/>
      <c r="AH37" s="123"/>
      <c r="AI37" s="123"/>
      <c r="AJ37" s="123"/>
      <c r="AK37" s="123"/>
      <c r="AL37" s="126"/>
      <c r="AM37" s="141"/>
      <c r="AN37" s="142"/>
      <c r="AO37" s="142"/>
      <c r="AP37" s="142"/>
      <c r="AQ37" s="142"/>
      <c r="AR37" s="142"/>
      <c r="AS37" s="143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32.1" customHeight="1" x14ac:dyDescent="0.15">
      <c r="A38" s="26"/>
      <c r="B38" s="144" t="s">
        <v>102</v>
      </c>
      <c r="C38" s="145"/>
      <c r="D38" s="145"/>
      <c r="E38" s="145"/>
      <c r="F38" s="145"/>
      <c r="G38" s="146"/>
      <c r="H38" s="147">
        <f>AA38*0.1</f>
        <v>245310</v>
      </c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9"/>
      <c r="T38" s="150" t="s">
        <v>15</v>
      </c>
      <c r="U38" s="145"/>
      <c r="V38" s="145"/>
      <c r="W38" s="145"/>
      <c r="X38" s="145"/>
      <c r="Y38" s="145"/>
      <c r="Z38" s="146"/>
      <c r="AA38" s="151">
        <f>SUM(AF26:AL37)</f>
        <v>2453100</v>
      </c>
      <c r="AB38" s="152"/>
      <c r="AC38" s="152"/>
      <c r="AD38" s="152"/>
      <c r="AE38" s="152"/>
      <c r="AF38" s="152"/>
      <c r="AG38" s="152"/>
      <c r="AH38" s="152"/>
      <c r="AI38" s="152"/>
      <c r="AJ38" s="152"/>
      <c r="AK38" s="152"/>
      <c r="AL38" s="153"/>
      <c r="AM38" s="154"/>
      <c r="AN38" s="155"/>
      <c r="AO38" s="155"/>
      <c r="AP38" s="155"/>
      <c r="AQ38" s="155"/>
      <c r="AR38" s="155"/>
      <c r="AS38" s="156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32.1" customHeight="1" thickBot="1" x14ac:dyDescent="0.2">
      <c r="A39" s="26"/>
      <c r="B39" s="157" t="s">
        <v>8</v>
      </c>
      <c r="C39" s="158"/>
      <c r="D39" s="158"/>
      <c r="E39" s="158"/>
      <c r="F39" s="158"/>
      <c r="G39" s="159"/>
      <c r="H39" s="160">
        <f>CK115+H38</f>
        <v>2698410</v>
      </c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1"/>
      <c r="AK39" s="161"/>
      <c r="AL39" s="162"/>
      <c r="AM39" s="163"/>
      <c r="AN39" s="164"/>
      <c r="AO39" s="164"/>
      <c r="AP39" s="164"/>
      <c r="AQ39" s="164"/>
      <c r="AR39" s="164"/>
      <c r="AS39" s="165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5" customHeight="1" x14ac:dyDescent="0.15">
      <c r="A40" s="26"/>
      <c r="B40" s="170" t="s">
        <v>16</v>
      </c>
      <c r="C40" s="171"/>
      <c r="D40" s="171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172"/>
      <c r="AA40" s="172"/>
      <c r="AB40" s="172"/>
      <c r="AC40" s="172"/>
      <c r="AD40" s="172"/>
      <c r="AE40" s="172"/>
      <c r="AF40" s="172"/>
      <c r="AG40" s="172"/>
      <c r="AH40" s="172"/>
      <c r="AI40" s="172"/>
      <c r="AJ40" s="172"/>
      <c r="AK40" s="172"/>
      <c r="AL40" s="172"/>
      <c r="AM40" s="172"/>
      <c r="AN40" s="172"/>
      <c r="AO40" s="172"/>
      <c r="AP40" s="172"/>
      <c r="AQ40" s="172"/>
      <c r="AR40" s="172"/>
      <c r="AS40" s="173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7.100000000000001" customHeight="1" x14ac:dyDescent="0.15">
      <c r="A41" s="26"/>
      <c r="B41" s="174"/>
      <c r="C41" s="175"/>
      <c r="D41" s="175"/>
      <c r="E41" s="175"/>
      <c r="F41" s="175"/>
      <c r="G41" s="175"/>
      <c r="H41" s="175"/>
      <c r="I41" s="175"/>
      <c r="J41" s="175"/>
      <c r="K41" s="175"/>
      <c r="L41" s="175"/>
      <c r="M41" s="175"/>
      <c r="N41" s="175"/>
      <c r="O41" s="175"/>
      <c r="P41" s="175"/>
      <c r="Q41" s="175"/>
      <c r="R41" s="175"/>
      <c r="S41" s="175"/>
      <c r="T41" s="175"/>
      <c r="U41" s="175"/>
      <c r="V41" s="175"/>
      <c r="W41" s="175"/>
      <c r="X41" s="175"/>
      <c r="Y41" s="175"/>
      <c r="Z41" s="175"/>
      <c r="AA41" s="175"/>
      <c r="AB41" s="175"/>
      <c r="AC41" s="175"/>
      <c r="AD41" s="175"/>
      <c r="AE41" s="175"/>
      <c r="AF41" s="175"/>
      <c r="AG41" s="175"/>
      <c r="AH41" s="175"/>
      <c r="AI41" s="175"/>
      <c r="AJ41" s="175"/>
      <c r="AK41" s="175"/>
      <c r="AL41" s="175"/>
      <c r="AM41" s="175"/>
      <c r="AN41" s="175"/>
      <c r="AO41" s="175"/>
      <c r="AP41" s="175"/>
      <c r="AQ41" s="175"/>
      <c r="AR41" s="175"/>
      <c r="AS41" s="176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7.100000000000001" customHeight="1" thickBot="1" x14ac:dyDescent="0.2">
      <c r="A42" s="26"/>
      <c r="B42" s="177" t="s">
        <v>146</v>
      </c>
      <c r="C42" s="178"/>
      <c r="D42" s="178"/>
      <c r="E42" s="178"/>
      <c r="F42" s="178"/>
      <c r="G42" s="178"/>
      <c r="H42" s="178"/>
      <c r="I42" s="178"/>
      <c r="J42" s="178"/>
      <c r="K42" s="178"/>
      <c r="L42" s="178"/>
      <c r="M42" s="178"/>
      <c r="N42" s="178"/>
      <c r="O42" s="178"/>
      <c r="P42" s="178"/>
      <c r="Q42" s="178"/>
      <c r="R42" s="178"/>
      <c r="S42" s="178"/>
      <c r="T42" s="178"/>
      <c r="U42" s="178"/>
      <c r="V42" s="178"/>
      <c r="W42" s="178"/>
      <c r="X42" s="178"/>
      <c r="Y42" s="178"/>
      <c r="Z42" s="178"/>
      <c r="AA42" s="178"/>
      <c r="AB42" s="178"/>
      <c r="AC42" s="178"/>
      <c r="AD42" s="178"/>
      <c r="AE42" s="178"/>
      <c r="AF42" s="178"/>
      <c r="AG42" s="178"/>
      <c r="AH42" s="178"/>
      <c r="AI42" s="178"/>
      <c r="AJ42" s="178"/>
      <c r="AK42" s="178"/>
      <c r="AL42" s="178"/>
      <c r="AM42" s="178"/>
      <c r="AN42" s="178"/>
      <c r="AO42" s="178"/>
      <c r="AP42" s="178"/>
      <c r="AQ42" s="178"/>
      <c r="AR42" s="178"/>
      <c r="AS42" s="179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7.100000000000001" customHeight="1" thickTop="1" x14ac:dyDescent="0.15">
      <c r="A43" s="26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69.75" customHeight="1" x14ac:dyDescent="0.15">
      <c r="A44" s="26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80"/>
      <c r="O44" s="180"/>
      <c r="P44" s="180"/>
      <c r="Q44" s="180"/>
      <c r="R44" s="180"/>
      <c r="S44" s="180"/>
      <c r="T44" s="180"/>
      <c r="U44" s="180"/>
      <c r="V44" s="180"/>
      <c r="W44" s="1"/>
      <c r="X44" s="51"/>
      <c r="Y44" s="16"/>
      <c r="Z44" s="15"/>
      <c r="AA44" s="15"/>
      <c r="AB44" s="169"/>
      <c r="AC44" s="169"/>
      <c r="AD44" s="169"/>
      <c r="AE44" s="15"/>
      <c r="AF44" s="16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5" customHeight="1" x14ac:dyDescent="0.15">
      <c r="A45" s="26"/>
      <c r="B45" s="1"/>
      <c r="C45" s="1"/>
      <c r="D45" s="1"/>
      <c r="E45" s="1"/>
      <c r="F45" s="1"/>
      <c r="G45" s="1"/>
      <c r="H45" s="1"/>
      <c r="I45" s="1"/>
      <c r="J45" s="52"/>
      <c r="K45" s="1"/>
      <c r="L45" s="1"/>
      <c r="M45" s="1"/>
      <c r="N45" s="166"/>
      <c r="O45" s="166"/>
      <c r="P45" s="167"/>
      <c r="Q45" s="167"/>
      <c r="R45" s="167"/>
      <c r="S45" s="167"/>
      <c r="T45" s="167"/>
      <c r="U45" s="167"/>
      <c r="V45" s="167"/>
      <c r="W45" s="1"/>
      <c r="X45" s="53"/>
      <c r="Y45" s="54"/>
      <c r="Z45" s="15"/>
      <c r="AA45" s="15"/>
      <c r="AB45" s="168"/>
      <c r="AC45" s="168"/>
      <c r="AD45" s="5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5" customHeight="1" x14ac:dyDescent="0.15">
      <c r="A46" s="26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66"/>
      <c r="O46" s="166"/>
      <c r="P46" s="167"/>
      <c r="Q46" s="167"/>
      <c r="R46" s="167"/>
      <c r="S46" s="167"/>
      <c r="T46" s="167"/>
      <c r="U46" s="167"/>
      <c r="V46" s="167"/>
      <c r="W46" s="1"/>
      <c r="X46" s="53"/>
      <c r="Y46" s="54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5" customHeight="1" x14ac:dyDescent="0.15">
      <c r="A47" s="26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66"/>
      <c r="O47" s="166"/>
      <c r="P47" s="167"/>
      <c r="Q47" s="167"/>
      <c r="R47" s="167"/>
      <c r="S47" s="167"/>
      <c r="T47" s="167"/>
      <c r="U47" s="167"/>
      <c r="V47" s="167"/>
      <c r="W47" s="1"/>
      <c r="X47" s="53"/>
      <c r="Y47" s="54"/>
      <c r="Z47" s="15"/>
      <c r="AA47" s="169"/>
      <c r="AB47" s="169"/>
      <c r="AC47" s="169"/>
      <c r="AD47" s="169"/>
      <c r="AE47" s="169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5" customHeight="1" x14ac:dyDescent="0.15">
      <c r="A48" s="26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66"/>
      <c r="O48" s="166"/>
      <c r="P48" s="167"/>
      <c r="Q48" s="167"/>
      <c r="R48" s="167"/>
      <c r="S48" s="167"/>
      <c r="T48" s="167"/>
      <c r="U48" s="167"/>
      <c r="V48" s="167"/>
      <c r="W48" s="1"/>
      <c r="X48" s="53"/>
      <c r="Y48" s="54"/>
      <c r="Z48" s="15"/>
      <c r="AA48" s="56"/>
      <c r="AB48" s="168"/>
      <c r="AC48" s="168"/>
      <c r="AD48" s="168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5" customHeight="1" x14ac:dyDescent="0.15">
      <c r="A49" s="26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66"/>
      <c r="O49" s="166"/>
      <c r="P49" s="167"/>
      <c r="Q49" s="167"/>
      <c r="R49" s="167"/>
      <c r="S49" s="167"/>
      <c r="T49" s="167"/>
      <c r="U49" s="167"/>
      <c r="V49" s="167"/>
      <c r="W49" s="1"/>
      <c r="X49" s="53"/>
      <c r="Y49" s="54"/>
      <c r="Z49" s="15"/>
      <c r="AA49" s="56"/>
      <c r="AB49" s="168"/>
      <c r="AC49" s="168"/>
      <c r="AD49" s="168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5" customHeight="1" x14ac:dyDescent="0.15">
      <c r="A50" s="26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66"/>
      <c r="O50" s="166"/>
      <c r="P50" s="167"/>
      <c r="Q50" s="167"/>
      <c r="R50" s="167"/>
      <c r="S50" s="167"/>
      <c r="T50" s="167"/>
      <c r="U50" s="167"/>
      <c r="V50" s="167"/>
      <c r="W50" s="1"/>
      <c r="X50" s="53"/>
      <c r="Y50" s="53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ht="15" customHeight="1" x14ac:dyDescent="0.15">
      <c r="A51" s="26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66"/>
      <c r="O51" s="166"/>
      <c r="P51" s="167"/>
      <c r="Q51" s="167"/>
      <c r="R51" s="167"/>
      <c r="S51" s="167"/>
      <c r="T51" s="167"/>
      <c r="U51" s="167"/>
      <c r="V51" s="167"/>
      <c r="W51" s="1"/>
      <c r="X51" s="53"/>
      <c r="Y51" s="53"/>
      <c r="Z51" s="15"/>
      <c r="AA51" s="181"/>
      <c r="AB51" s="181"/>
      <c r="AC51" s="181"/>
      <c r="AD51" s="181"/>
      <c r="AE51" s="181"/>
      <c r="AF51" s="181"/>
      <c r="AG51" s="181"/>
      <c r="AH51" s="181"/>
      <c r="AI51" s="181"/>
      <c r="AJ51" s="169"/>
      <c r="AK51" s="169"/>
      <c r="AL51" s="169"/>
      <c r="AM51" s="169"/>
      <c r="AN51" s="169"/>
      <c r="AO51" s="169"/>
      <c r="AP51" s="169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ht="15" customHeight="1" x14ac:dyDescent="0.15">
      <c r="A52" s="26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66"/>
      <c r="O52" s="166"/>
      <c r="P52" s="167"/>
      <c r="Q52" s="167"/>
      <c r="R52" s="167"/>
      <c r="S52" s="167"/>
      <c r="T52" s="167"/>
      <c r="U52" s="167"/>
      <c r="V52" s="167"/>
      <c r="W52" s="1"/>
      <c r="X52" s="53"/>
      <c r="Y52" s="54"/>
      <c r="Z52" s="15"/>
      <c r="AA52" s="56"/>
      <c r="AB52" s="182"/>
      <c r="AC52" s="182"/>
      <c r="AD52" s="182"/>
      <c r="AE52" s="182"/>
      <c r="AF52" s="182"/>
      <c r="AG52" s="182"/>
      <c r="AH52" s="182"/>
      <c r="AI52" s="182"/>
      <c r="AJ52" s="182"/>
      <c r="AK52" s="182"/>
      <c r="AL52" s="182"/>
      <c r="AM52" s="182"/>
      <c r="AN52" s="182"/>
      <c r="AO52" s="182"/>
      <c r="AP52" s="182"/>
      <c r="AQ52" s="1"/>
      <c r="AR52" s="1"/>
      <c r="AS52" s="1"/>
      <c r="AT52" s="1"/>
      <c r="AU52" s="1"/>
      <c r="AV52" s="1"/>
      <c r="AW52" s="183"/>
      <c r="AX52" s="183"/>
      <c r="AY52" s="183"/>
      <c r="AZ52" s="183"/>
      <c r="BA52" s="183"/>
      <c r="BB52" s="183"/>
      <c r="BC52" s="183"/>
      <c r="BD52" s="183"/>
      <c r="BE52" s="183"/>
      <c r="BF52" s="183"/>
      <c r="BG52" s="183"/>
      <c r="BH52" s="183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ht="15" customHeight="1" x14ac:dyDescent="0.15">
      <c r="A53" s="26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66"/>
      <c r="O53" s="166"/>
      <c r="P53" s="167"/>
      <c r="Q53" s="167"/>
      <c r="R53" s="167"/>
      <c r="S53" s="167"/>
      <c r="T53" s="167"/>
      <c r="U53" s="167"/>
      <c r="V53" s="167"/>
      <c r="W53" s="1"/>
      <c r="X53" s="53"/>
      <c r="Y53" s="54"/>
      <c r="Z53" s="15"/>
      <c r="AA53" s="56"/>
      <c r="AB53" s="182"/>
      <c r="AC53" s="182"/>
      <c r="AD53" s="182"/>
      <c r="AE53" s="182"/>
      <c r="AF53" s="182"/>
      <c r="AG53" s="182"/>
      <c r="AH53" s="182"/>
      <c r="AI53" s="182"/>
      <c r="AJ53" s="182"/>
      <c r="AK53" s="182"/>
      <c r="AL53" s="182"/>
      <c r="AM53" s="182"/>
      <c r="AN53" s="182"/>
      <c r="AO53" s="182"/>
      <c r="AP53" s="182"/>
      <c r="AQ53" s="1"/>
      <c r="AR53" s="1"/>
      <c r="AS53" s="1"/>
      <c r="AT53" s="1"/>
      <c r="AU53" s="1"/>
      <c r="AV53" s="1"/>
      <c r="AW53" s="183"/>
      <c r="AX53" s="183"/>
      <c r="AY53" s="183"/>
      <c r="AZ53" s="183"/>
      <c r="BA53" s="183"/>
      <c r="BB53" s="183"/>
      <c r="BC53" s="183"/>
      <c r="BD53" s="183"/>
      <c r="BE53" s="183"/>
      <c r="BF53" s="183"/>
      <c r="BG53" s="183"/>
      <c r="BH53" s="183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ht="15" customHeight="1" x14ac:dyDescent="0.15">
      <c r="A54" s="26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66"/>
      <c r="O54" s="166"/>
      <c r="P54" s="167"/>
      <c r="Q54" s="167"/>
      <c r="R54" s="167"/>
      <c r="S54" s="167"/>
      <c r="T54" s="167"/>
      <c r="U54" s="167"/>
      <c r="V54" s="167"/>
      <c r="W54" s="1"/>
      <c r="X54" s="53"/>
      <c r="Y54" s="54"/>
      <c r="Z54" s="15"/>
      <c r="AA54" s="56"/>
      <c r="AB54" s="182"/>
      <c r="AC54" s="182"/>
      <c r="AD54" s="182"/>
      <c r="AE54" s="182"/>
      <c r="AF54" s="182"/>
      <c r="AG54" s="182"/>
      <c r="AH54" s="182"/>
      <c r="AI54" s="182"/>
      <c r="AJ54" s="182"/>
      <c r="AK54" s="182"/>
      <c r="AL54" s="182"/>
      <c r="AM54" s="182"/>
      <c r="AN54" s="182"/>
      <c r="AO54" s="182"/>
      <c r="AP54" s="182"/>
      <c r="AQ54" s="1"/>
      <c r="AR54" s="1"/>
      <c r="AS54" s="1"/>
      <c r="AT54" s="1"/>
      <c r="AU54" s="1"/>
      <c r="AV54" s="1"/>
      <c r="AW54" s="183"/>
      <c r="AX54" s="183"/>
      <c r="AY54" s="183"/>
      <c r="AZ54" s="183"/>
      <c r="BA54" s="183"/>
      <c r="BB54" s="183"/>
      <c r="BC54" s="183"/>
      <c r="BD54" s="183"/>
      <c r="BE54" s="183"/>
      <c r="BF54" s="183"/>
      <c r="BG54" s="183"/>
      <c r="BH54" s="183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ht="15" customHeight="1" x14ac:dyDescent="0.15">
      <c r="A55" s="26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66"/>
      <c r="O55" s="166"/>
      <c r="P55" s="167"/>
      <c r="Q55" s="167"/>
      <c r="R55" s="167"/>
      <c r="S55" s="167"/>
      <c r="T55" s="167"/>
      <c r="U55" s="167"/>
      <c r="V55" s="167"/>
      <c r="W55" s="1"/>
      <c r="X55" s="53"/>
      <c r="Y55" s="54"/>
      <c r="Z55" s="15"/>
      <c r="AA55" s="56"/>
      <c r="AB55" s="182"/>
      <c r="AC55" s="182"/>
      <c r="AD55" s="182"/>
      <c r="AE55" s="182"/>
      <c r="AF55" s="182"/>
      <c r="AG55" s="182"/>
      <c r="AH55" s="182"/>
      <c r="AI55" s="182"/>
      <c r="AJ55" s="182"/>
      <c r="AK55" s="182"/>
      <c r="AL55" s="182"/>
      <c r="AM55" s="182"/>
      <c r="AN55" s="182"/>
      <c r="AO55" s="182"/>
      <c r="AP55" s="182"/>
      <c r="AQ55" s="1"/>
      <c r="AR55" s="1"/>
      <c r="AS55" s="1"/>
      <c r="AT55" s="1"/>
      <c r="AU55" s="1"/>
      <c r="AV55" s="1"/>
      <c r="AW55" s="183"/>
      <c r="AX55" s="183"/>
      <c r="AY55" s="183"/>
      <c r="AZ55" s="183"/>
      <c r="BA55" s="183"/>
      <c r="BB55" s="183"/>
      <c r="BC55" s="183"/>
      <c r="BD55" s="183"/>
      <c r="BE55" s="183"/>
      <c r="BF55" s="183"/>
      <c r="BG55" s="183"/>
      <c r="BH55" s="183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ht="15" customHeight="1" x14ac:dyDescent="0.15">
      <c r="A56" s="26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80"/>
      <c r="O56" s="180"/>
      <c r="P56" s="167">
        <f>SUM(CK115:CQ115)</f>
        <v>2453100</v>
      </c>
      <c r="Q56" s="167"/>
      <c r="R56" s="167"/>
      <c r="S56" s="167"/>
      <c r="T56" s="167"/>
      <c r="U56" s="167"/>
      <c r="V56" s="167"/>
      <c r="W56" s="1"/>
      <c r="X56" s="53"/>
      <c r="Y56" s="54"/>
      <c r="Z56" s="15"/>
      <c r="AA56" s="56"/>
      <c r="AB56" s="182"/>
      <c r="AC56" s="182"/>
      <c r="AD56" s="182"/>
      <c r="AE56" s="182"/>
      <c r="AF56" s="182"/>
      <c r="AG56" s="182"/>
      <c r="AH56" s="182"/>
      <c r="AI56" s="182"/>
      <c r="AJ56" s="182"/>
      <c r="AK56" s="182"/>
      <c r="AL56" s="182"/>
      <c r="AM56" s="182"/>
      <c r="AN56" s="182"/>
      <c r="AO56" s="182"/>
      <c r="AP56" s="182"/>
      <c r="AQ56" s="1"/>
      <c r="AR56" s="1"/>
      <c r="AS56" s="1"/>
      <c r="AT56" s="1"/>
      <c r="AU56" s="1"/>
      <c r="AV56" s="1"/>
      <c r="AW56" s="183"/>
      <c r="AX56" s="183"/>
      <c r="AY56" s="183"/>
      <c r="AZ56" s="183"/>
      <c r="BA56" s="183"/>
      <c r="BB56" s="183"/>
      <c r="BC56" s="183"/>
      <c r="BD56" s="183"/>
      <c r="BE56" s="183"/>
      <c r="BF56" s="183"/>
      <c r="BG56" s="183"/>
      <c r="BH56" s="183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ht="15" customHeight="1" x14ac:dyDescent="0.15">
      <c r="A57" s="26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3"/>
      <c r="Y57" s="54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"/>
      <c r="AR57" s="1"/>
      <c r="AS57" s="1"/>
      <c r="AT57" s="1"/>
      <c r="AU57" s="1"/>
      <c r="AV57" s="1"/>
      <c r="AW57" s="183"/>
      <c r="AX57" s="183"/>
      <c r="AY57" s="183"/>
      <c r="AZ57" s="183"/>
      <c r="BA57" s="183"/>
      <c r="BB57" s="183"/>
      <c r="BC57" s="183"/>
      <c r="BD57" s="183"/>
      <c r="BE57" s="183"/>
      <c r="BF57" s="183"/>
      <c r="BG57" s="183"/>
      <c r="BH57" s="183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ht="15" customHeight="1" x14ac:dyDescent="0.15">
      <c r="A58" s="26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ht="15" customHeight="1" x14ac:dyDescent="0.15">
      <c r="A59" s="26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ht="15" customHeight="1" x14ac:dyDescent="0.15">
      <c r="A60" s="26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91"/>
      <c r="O60" s="191"/>
      <c r="P60" s="191"/>
      <c r="Q60" s="191"/>
      <c r="R60" s="192"/>
      <c r="S60" s="193"/>
      <c r="T60" s="193"/>
      <c r="U60" s="193"/>
      <c r="V60" s="193"/>
      <c r="W60" s="193"/>
      <c r="X60" s="193"/>
      <c r="Y60" s="193"/>
      <c r="Z60" s="193"/>
      <c r="AA60" s="193"/>
      <c r="AB60" s="193"/>
      <c r="AC60" s="193"/>
      <c r="AD60" s="193"/>
      <c r="AE60" s="193"/>
      <c r="AF60" s="193"/>
      <c r="AG60" s="193"/>
      <c r="AH60" s="193"/>
      <c r="AI60" s="193"/>
      <c r="AJ60" s="193"/>
      <c r="AK60" s="193"/>
      <c r="AL60" s="193"/>
      <c r="AM60" s="193"/>
      <c r="AN60" s="193"/>
      <c r="AO60" s="193"/>
      <c r="AP60" s="193"/>
      <c r="AQ60" s="1"/>
      <c r="AR60" s="180"/>
      <c r="AS60" s="180"/>
      <c r="AT60" s="80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ht="15" customHeight="1" x14ac:dyDescent="0.15">
      <c r="A61" s="26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80"/>
      <c r="AV61" s="80"/>
      <c r="AW61" s="80"/>
      <c r="AX61" s="80"/>
      <c r="AY61" s="80"/>
      <c r="AZ61" s="80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ht="15" customHeight="1" x14ac:dyDescent="0.15">
      <c r="A62" s="26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ht="15" customHeight="1" x14ac:dyDescent="0.15">
      <c r="A63" s="26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ht="15" customHeight="1" x14ac:dyDescent="0.15">
      <c r="A64" s="26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ht="15" customHeight="1" x14ac:dyDescent="0.15">
      <c r="A65" s="26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ht="15" customHeight="1" x14ac:dyDescent="0.15">
      <c r="A66" s="26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ht="15" customHeight="1" x14ac:dyDescent="0.15">
      <c r="A67" s="26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ht="15" customHeight="1" x14ac:dyDescent="0.15">
      <c r="A68" s="26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ht="15" customHeight="1" x14ac:dyDescent="0.15">
      <c r="A69" s="26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ht="15" customHeight="1" x14ac:dyDescent="0.15">
      <c r="A70" s="26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100" spans="79:165" ht="15" customHeight="1" x14ac:dyDescent="0.15">
      <c r="FB100" s="62" t="s">
        <v>63</v>
      </c>
      <c r="FC100" s="62" t="s">
        <v>64</v>
      </c>
      <c r="FD100" s="62" t="s">
        <v>65</v>
      </c>
      <c r="FE100" s="62" t="s">
        <v>66</v>
      </c>
      <c r="FF100" s="62" t="s">
        <v>18</v>
      </c>
      <c r="FG100" s="62" t="s">
        <v>18</v>
      </c>
      <c r="FH100" s="62" t="s">
        <v>67</v>
      </c>
      <c r="FI100" s="62" t="s">
        <v>68</v>
      </c>
    </row>
    <row r="101" spans="79:165" ht="15" customHeight="1" x14ac:dyDescent="0.15">
      <c r="CA101" s="41"/>
      <c r="CB101" s="42"/>
      <c r="CC101" s="42"/>
      <c r="CD101" s="42"/>
      <c r="CE101" s="42"/>
      <c r="CF101" s="42"/>
      <c r="CG101" s="42"/>
      <c r="CH101" s="42"/>
      <c r="CI101" s="42"/>
      <c r="CJ101" s="42"/>
      <c r="CK101" s="42"/>
      <c r="CL101" s="42"/>
      <c r="CM101" s="42"/>
      <c r="CN101" s="42"/>
      <c r="CO101" s="42"/>
      <c r="CP101" s="42"/>
      <c r="CQ101" s="42"/>
      <c r="CR101" s="42"/>
      <c r="CS101" s="42"/>
      <c r="CT101" s="42"/>
      <c r="CU101" s="42"/>
      <c r="CV101" s="42"/>
      <c r="CW101" s="42"/>
      <c r="CX101" s="42"/>
      <c r="CY101" s="42"/>
      <c r="CZ101" s="42"/>
      <c r="DA101" s="42"/>
      <c r="DB101" s="42"/>
      <c r="DC101" s="42"/>
      <c r="DD101" s="42"/>
      <c r="DE101" s="42"/>
      <c r="DF101" s="42"/>
      <c r="DG101" s="42"/>
      <c r="DH101" s="42"/>
      <c r="DI101" s="42"/>
      <c r="DJ101" s="42"/>
      <c r="DK101" s="42"/>
      <c r="DL101" s="42"/>
      <c r="DM101" s="42"/>
      <c r="DN101" s="42"/>
      <c r="DO101" s="42"/>
      <c r="DP101" s="42"/>
      <c r="DQ101" s="42"/>
      <c r="DR101" s="42"/>
      <c r="DS101" s="42"/>
      <c r="DT101" s="42"/>
      <c r="DU101" s="42"/>
      <c r="DV101" s="42"/>
      <c r="DW101" s="42"/>
      <c r="DX101" s="42"/>
      <c r="DY101" s="42"/>
      <c r="DZ101" s="42"/>
      <c r="EA101" s="42"/>
      <c r="EB101" s="42"/>
      <c r="EC101" s="42"/>
      <c r="ED101" s="42"/>
      <c r="EE101" s="42"/>
      <c r="EF101" s="42"/>
      <c r="EG101" s="42"/>
      <c r="EH101" s="42"/>
      <c r="EI101" s="42"/>
      <c r="EJ101" s="42"/>
      <c r="EK101" s="42"/>
      <c r="EL101" s="42"/>
      <c r="EM101" s="42"/>
      <c r="EN101" s="42"/>
      <c r="EO101" s="42"/>
      <c r="EP101" s="43"/>
      <c r="FB101" s="63">
        <v>0</v>
      </c>
      <c r="FC101" s="64">
        <v>1</v>
      </c>
      <c r="FD101" s="64">
        <f>B26</f>
        <v>0</v>
      </c>
      <c r="FE101" s="64">
        <f>T26</f>
        <v>0</v>
      </c>
      <c r="FF101" s="64">
        <f>X26</f>
        <v>0</v>
      </c>
      <c r="FG101" s="64">
        <f>AA26</f>
        <v>0</v>
      </c>
      <c r="FH101" s="64">
        <f>AF26</f>
        <v>0</v>
      </c>
      <c r="FI101" s="64">
        <f>AM26</f>
        <v>0</v>
      </c>
    </row>
    <row r="102" spans="79:165" ht="15" customHeight="1" x14ac:dyDescent="0.15">
      <c r="CA102" s="44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52" t="s">
        <v>61</v>
      </c>
      <c r="EN102" s="1"/>
      <c r="EO102" s="1"/>
      <c r="EP102" s="45"/>
      <c r="FB102" s="63">
        <v>0</v>
      </c>
      <c r="FC102" s="64">
        <v>2</v>
      </c>
      <c r="FD102" s="64" t="str">
        <f t="shared" ref="FD102:FD112" si="2">B27</f>
        <v>RSD-SUNMAX-FL-PLC-200w　パルスレーザー</v>
      </c>
      <c r="FE102" s="64">
        <f t="shared" ref="FE102:FE112" si="3">T27</f>
        <v>0</v>
      </c>
      <c r="FF102" s="64" t="str">
        <f t="shared" ref="FF102:FF112" si="4">X27</f>
        <v>一式</v>
      </c>
      <c r="FG102" s="64">
        <f t="shared" ref="FG102:FG112" si="5">AA27</f>
        <v>2230000</v>
      </c>
      <c r="FH102" s="64">
        <f t="shared" ref="FH102:FH112" si="6">AF27</f>
        <v>2230000</v>
      </c>
      <c r="FI102" s="64" t="str">
        <f t="shared" ref="FI102:FI112" si="7">AM27</f>
        <v>定価298万円</v>
      </c>
    </row>
    <row r="103" spans="79:165" ht="15" customHeight="1" x14ac:dyDescent="0.15">
      <c r="CA103" s="44"/>
      <c r="CB103" s="1"/>
      <c r="CC103" s="1"/>
      <c r="CD103" s="1"/>
      <c r="CE103" s="50" t="s">
        <v>53</v>
      </c>
      <c r="CF103" s="1"/>
      <c r="CG103" s="1"/>
      <c r="CH103" s="1"/>
      <c r="CI103" s="194" t="s">
        <v>17</v>
      </c>
      <c r="CJ103" s="195"/>
      <c r="CK103" s="195"/>
      <c r="CL103" s="195"/>
      <c r="CM103" s="195"/>
      <c r="CN103" s="195"/>
      <c r="CO103" s="195"/>
      <c r="CP103" s="195"/>
      <c r="CQ103" s="196"/>
      <c r="CR103" s="1"/>
      <c r="CS103" s="27" t="s">
        <v>18</v>
      </c>
      <c r="CT103" s="14"/>
      <c r="CU103" s="15"/>
      <c r="CV103" s="15"/>
      <c r="CW103" s="197" t="s">
        <v>14</v>
      </c>
      <c r="CX103" s="197"/>
      <c r="CY103" s="197"/>
      <c r="CZ103" s="15"/>
      <c r="DA103" s="16"/>
      <c r="DB103" s="16"/>
      <c r="DC103" s="16"/>
      <c r="DD103" s="36" t="s">
        <v>52</v>
      </c>
      <c r="DE103" s="37"/>
      <c r="DF103" s="37"/>
      <c r="DG103" s="37"/>
      <c r="DH103" s="37"/>
      <c r="DI103" s="37"/>
      <c r="DJ103" s="38"/>
      <c r="DK103" s="15"/>
      <c r="DL103" s="1"/>
      <c r="DM103" s="198" t="s">
        <v>59</v>
      </c>
      <c r="DN103" s="198"/>
      <c r="DO103" s="198"/>
      <c r="DP103" s="198"/>
      <c r="DQ103" s="198"/>
      <c r="DR103" s="198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52" t="s">
        <v>62</v>
      </c>
      <c r="EN103" s="1"/>
      <c r="EO103" s="1"/>
      <c r="EP103" s="45"/>
      <c r="FB103" s="63">
        <v>0</v>
      </c>
      <c r="FC103" s="64">
        <v>3</v>
      </c>
      <c r="FD103" s="64">
        <f t="shared" si="2"/>
        <v>0</v>
      </c>
      <c r="FE103" s="64">
        <f t="shared" si="3"/>
        <v>0</v>
      </c>
      <c r="FF103" s="64">
        <f t="shared" si="4"/>
        <v>0</v>
      </c>
      <c r="FG103" s="64">
        <f t="shared" si="5"/>
        <v>0</v>
      </c>
      <c r="FH103" s="64">
        <f t="shared" si="6"/>
        <v>0</v>
      </c>
      <c r="FI103" s="64">
        <f t="shared" si="7"/>
        <v>0</v>
      </c>
    </row>
    <row r="104" spans="79:165" ht="15" customHeight="1" x14ac:dyDescent="0.15">
      <c r="CA104" s="44"/>
      <c r="CB104" s="1"/>
      <c r="CC104" s="1"/>
      <c r="CD104" s="1"/>
      <c r="CE104" s="49">
        <v>3</v>
      </c>
      <c r="CF104" s="1"/>
      <c r="CG104" s="1"/>
      <c r="CH104" s="1"/>
      <c r="CI104" s="184">
        <v>0</v>
      </c>
      <c r="CJ104" s="184"/>
      <c r="CK104" s="185">
        <f>AA38</f>
        <v>2453100</v>
      </c>
      <c r="CL104" s="185"/>
      <c r="CM104" s="185"/>
      <c r="CN104" s="185"/>
      <c r="CO104" s="185"/>
      <c r="CP104" s="185"/>
      <c r="CQ104" s="185"/>
      <c r="CR104" s="1"/>
      <c r="CS104" s="17" t="s">
        <v>19</v>
      </c>
      <c r="CT104" s="18"/>
      <c r="CU104" s="15"/>
      <c r="CV104" s="15"/>
      <c r="CW104" s="186">
        <v>5</v>
      </c>
      <c r="CX104" s="187"/>
      <c r="CY104" s="19" t="s">
        <v>20</v>
      </c>
      <c r="CZ104" s="15"/>
      <c r="DA104" s="15"/>
      <c r="DB104" s="15"/>
      <c r="DC104" s="15"/>
      <c r="DD104" s="39" t="s">
        <v>47</v>
      </c>
      <c r="DE104" s="40"/>
      <c r="DF104" s="40"/>
      <c r="DG104" s="40"/>
      <c r="DH104" s="40"/>
      <c r="DI104" s="40"/>
      <c r="DJ104" s="22"/>
      <c r="DK104" s="15"/>
      <c r="DL104" s="1"/>
      <c r="DM104" s="188" t="s">
        <v>60</v>
      </c>
      <c r="DN104" s="189"/>
      <c r="DO104" s="189"/>
      <c r="DP104" s="189"/>
      <c r="DQ104" s="189"/>
      <c r="DR104" s="190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45"/>
      <c r="FB104" s="63">
        <v>0</v>
      </c>
      <c r="FC104" s="64">
        <v>4</v>
      </c>
      <c r="FD104" s="64">
        <f>B29</f>
        <v>0</v>
      </c>
      <c r="FE104" s="64">
        <f t="shared" si="3"/>
        <v>0</v>
      </c>
      <c r="FF104" s="64">
        <f t="shared" si="4"/>
        <v>0</v>
      </c>
      <c r="FG104" s="64">
        <f t="shared" si="5"/>
        <v>0</v>
      </c>
      <c r="FH104" s="64">
        <f t="shared" si="6"/>
        <v>0</v>
      </c>
      <c r="FI104" s="64">
        <f t="shared" si="7"/>
        <v>0</v>
      </c>
    </row>
    <row r="105" spans="79:165" ht="15" customHeight="1" x14ac:dyDescent="0.15">
      <c r="CA105" s="44"/>
      <c r="CB105" s="1"/>
      <c r="CC105" s="1"/>
      <c r="CD105" s="1"/>
      <c r="CE105" s="49">
        <f>MAX(FB401:FB642)</f>
        <v>0</v>
      </c>
      <c r="CF105" s="1"/>
      <c r="CG105" s="1"/>
      <c r="CH105" s="1"/>
      <c r="CI105" s="184">
        <v>1</v>
      </c>
      <c r="CJ105" s="184"/>
      <c r="CK105" s="185">
        <f>IF(ISERROR(購入おすすめ品!AB30),0,購入おすすめ品!AB30)</f>
        <v>0</v>
      </c>
      <c r="CL105" s="185"/>
      <c r="CM105" s="185"/>
      <c r="CN105" s="185"/>
      <c r="CO105" s="185"/>
      <c r="CP105" s="185"/>
      <c r="CQ105" s="185"/>
      <c r="CR105" s="1"/>
      <c r="CS105" s="17" t="s">
        <v>21</v>
      </c>
      <c r="CT105" s="18"/>
      <c r="CU105" s="15"/>
      <c r="CV105" s="15"/>
      <c r="CW105" s="15"/>
      <c r="CX105" s="15"/>
      <c r="CY105" s="15"/>
      <c r="CZ105" s="15"/>
      <c r="DA105" s="15"/>
      <c r="DB105" s="15"/>
      <c r="DC105" s="15"/>
      <c r="DD105" s="39" t="s">
        <v>48</v>
      </c>
      <c r="DE105" s="40"/>
      <c r="DF105" s="40"/>
      <c r="DG105" s="40"/>
      <c r="DH105" s="40"/>
      <c r="DI105" s="40"/>
      <c r="DJ105" s="22"/>
      <c r="DK105" s="15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45"/>
      <c r="FB105" s="63">
        <v>0</v>
      </c>
      <c r="FC105" s="64">
        <v>5</v>
      </c>
      <c r="FD105" s="64" t="e">
        <f>#REF!</f>
        <v>#REF!</v>
      </c>
      <c r="FE105" s="64">
        <f t="shared" si="3"/>
        <v>0</v>
      </c>
      <c r="FF105" s="64">
        <f t="shared" si="4"/>
        <v>0</v>
      </c>
      <c r="FG105" s="64">
        <f t="shared" si="5"/>
        <v>0</v>
      </c>
      <c r="FH105" s="64">
        <f t="shared" si="6"/>
        <v>0</v>
      </c>
      <c r="FI105" s="64">
        <f t="shared" si="7"/>
        <v>0</v>
      </c>
    </row>
    <row r="106" spans="79:165" ht="15" customHeight="1" x14ac:dyDescent="0.15">
      <c r="CA106" s="44"/>
      <c r="CB106" s="1"/>
      <c r="CC106" s="1"/>
      <c r="CD106" s="1"/>
      <c r="CE106" s="49">
        <v>1</v>
      </c>
      <c r="CF106" s="1"/>
      <c r="CG106" s="1"/>
      <c r="CH106" s="1"/>
      <c r="CI106" s="184">
        <v>2</v>
      </c>
      <c r="CJ106" s="184"/>
      <c r="CK106" s="185">
        <f>IF(ISERROR(#REF!),0,#REF!)</f>
        <v>0</v>
      </c>
      <c r="CL106" s="185"/>
      <c r="CM106" s="185"/>
      <c r="CN106" s="185"/>
      <c r="CO106" s="185"/>
      <c r="CP106" s="185"/>
      <c r="CQ106" s="185"/>
      <c r="CR106" s="1"/>
      <c r="CS106" s="20" t="s">
        <v>22</v>
      </c>
      <c r="CT106" s="21"/>
      <c r="CU106" s="15"/>
      <c r="CV106" s="197" t="s">
        <v>23</v>
      </c>
      <c r="CW106" s="197"/>
      <c r="CX106" s="197"/>
      <c r="CY106" s="197"/>
      <c r="CZ106" s="197"/>
      <c r="DA106" s="15"/>
      <c r="DB106" s="15"/>
      <c r="DC106" s="15"/>
      <c r="DD106" s="39" t="s">
        <v>49</v>
      </c>
      <c r="DE106" s="40"/>
      <c r="DF106" s="40"/>
      <c r="DG106" s="40"/>
      <c r="DH106" s="40"/>
      <c r="DI106" s="40"/>
      <c r="DJ106" s="22"/>
      <c r="DK106" s="15"/>
      <c r="DL106" s="1"/>
      <c r="DM106" s="198" t="s">
        <v>70</v>
      </c>
      <c r="DN106" s="198"/>
      <c r="DO106" s="198"/>
      <c r="DP106" s="198"/>
      <c r="DQ106" s="198"/>
      <c r="DR106" s="198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45"/>
      <c r="FB106" s="63">
        <v>0</v>
      </c>
      <c r="FC106" s="64">
        <v>6</v>
      </c>
      <c r="FD106" s="64" t="e">
        <f>#REF!</f>
        <v>#REF!</v>
      </c>
      <c r="FE106" s="64">
        <f t="shared" si="3"/>
        <v>0</v>
      </c>
      <c r="FF106" s="64">
        <f t="shared" si="4"/>
        <v>0</v>
      </c>
      <c r="FG106" s="64">
        <f t="shared" si="5"/>
        <v>0</v>
      </c>
      <c r="FH106" s="64">
        <f t="shared" si="6"/>
        <v>0</v>
      </c>
      <c r="FI106" s="64">
        <f t="shared" si="7"/>
        <v>0</v>
      </c>
    </row>
    <row r="107" spans="79:165" ht="15" customHeight="1" x14ac:dyDescent="0.15">
      <c r="CA107" s="44"/>
      <c r="CB107" s="1"/>
      <c r="CC107" s="1"/>
      <c r="CD107" s="1"/>
      <c r="CE107" s="49">
        <v>0</v>
      </c>
      <c r="CF107" s="1"/>
      <c r="CG107" s="1"/>
      <c r="CH107" s="1"/>
      <c r="CI107" s="184">
        <v>3</v>
      </c>
      <c r="CJ107" s="184"/>
      <c r="CK107" s="185">
        <f>IF(ISERROR(#REF!),0,#REF!)</f>
        <v>0</v>
      </c>
      <c r="CL107" s="185"/>
      <c r="CM107" s="185"/>
      <c r="CN107" s="185"/>
      <c r="CO107" s="185"/>
      <c r="CP107" s="185"/>
      <c r="CQ107" s="185"/>
      <c r="CR107" s="1"/>
      <c r="CS107" s="17" t="s">
        <v>24</v>
      </c>
      <c r="CT107" s="18"/>
      <c r="CU107" s="15"/>
      <c r="CV107" s="28" t="s">
        <v>25</v>
      </c>
      <c r="CW107" s="186">
        <v>100</v>
      </c>
      <c r="CX107" s="186"/>
      <c r="CY107" s="187"/>
      <c r="CZ107" s="22" t="s">
        <v>20</v>
      </c>
      <c r="DA107" s="15"/>
      <c r="DB107" s="15"/>
      <c r="DC107" s="15"/>
      <c r="DD107" s="39" t="s">
        <v>50</v>
      </c>
      <c r="DE107" s="40"/>
      <c r="DF107" s="40"/>
      <c r="DG107" s="40"/>
      <c r="DH107" s="40"/>
      <c r="DI107" s="40"/>
      <c r="DJ107" s="22"/>
      <c r="DK107" s="15"/>
      <c r="DL107" s="1"/>
      <c r="DM107" s="199" t="s">
        <v>79</v>
      </c>
      <c r="DN107" s="200"/>
      <c r="DO107" s="200"/>
      <c r="DP107" s="200"/>
      <c r="DQ107" s="200"/>
      <c r="DR107" s="20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45"/>
      <c r="FB107" s="63">
        <v>0</v>
      </c>
      <c r="FC107" s="64">
        <v>7</v>
      </c>
      <c r="FD107" s="64" t="e">
        <f>#REF!</f>
        <v>#REF!</v>
      </c>
      <c r="FE107" s="64">
        <f t="shared" si="3"/>
        <v>0</v>
      </c>
      <c r="FF107" s="64">
        <f t="shared" si="4"/>
        <v>0</v>
      </c>
      <c r="FG107" s="64">
        <f t="shared" si="5"/>
        <v>0</v>
      </c>
      <c r="FH107" s="64">
        <f t="shared" si="6"/>
        <v>0</v>
      </c>
      <c r="FI107" s="64">
        <f t="shared" si="7"/>
        <v>0</v>
      </c>
    </row>
    <row r="108" spans="79:165" ht="15" customHeight="1" x14ac:dyDescent="0.15">
      <c r="CA108" s="44"/>
      <c r="CB108" s="1"/>
      <c r="CC108" s="1"/>
      <c r="CD108" s="1"/>
      <c r="CE108" s="50" t="s">
        <v>54</v>
      </c>
      <c r="CF108" s="1"/>
      <c r="CG108" s="1"/>
      <c r="CH108" s="1"/>
      <c r="CI108" s="184">
        <v>4</v>
      </c>
      <c r="CJ108" s="184"/>
      <c r="CK108" s="185"/>
      <c r="CL108" s="185"/>
      <c r="CM108" s="185"/>
      <c r="CN108" s="185"/>
      <c r="CO108" s="185"/>
      <c r="CP108" s="185"/>
      <c r="CQ108" s="185"/>
      <c r="CR108" s="1"/>
      <c r="CS108" s="17" t="s">
        <v>26</v>
      </c>
      <c r="CT108" s="18"/>
      <c r="CU108" s="15"/>
      <c r="CV108" s="28" t="s">
        <v>27</v>
      </c>
      <c r="CW108" s="186">
        <v>80</v>
      </c>
      <c r="CX108" s="186"/>
      <c r="CY108" s="187"/>
      <c r="CZ108" s="22" t="s">
        <v>20</v>
      </c>
      <c r="DA108" s="15"/>
      <c r="DB108" s="15"/>
      <c r="DC108" s="15"/>
      <c r="DD108" s="39" t="s">
        <v>51</v>
      </c>
      <c r="DE108" s="40"/>
      <c r="DF108" s="40"/>
      <c r="DG108" s="40"/>
      <c r="DH108" s="40"/>
      <c r="DI108" s="40"/>
      <c r="DJ108" s="22"/>
      <c r="DK108" s="15"/>
      <c r="DL108" s="1"/>
      <c r="DM108" s="188" t="s">
        <v>71</v>
      </c>
      <c r="DN108" s="189"/>
      <c r="DO108" s="189"/>
      <c r="DP108" s="189"/>
      <c r="DQ108" s="189"/>
      <c r="DR108" s="190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45"/>
      <c r="FB108" s="63">
        <v>0</v>
      </c>
      <c r="FC108" s="64">
        <v>8</v>
      </c>
      <c r="FD108" s="64">
        <f>B31</f>
        <v>0</v>
      </c>
      <c r="FE108" s="64">
        <f t="shared" si="3"/>
        <v>0</v>
      </c>
      <c r="FF108" s="64">
        <f t="shared" si="4"/>
        <v>0</v>
      </c>
      <c r="FG108" s="64">
        <f t="shared" si="5"/>
        <v>0</v>
      </c>
      <c r="FH108" s="64">
        <f t="shared" si="6"/>
        <v>0</v>
      </c>
      <c r="FI108" s="64">
        <f t="shared" si="7"/>
        <v>0</v>
      </c>
    </row>
    <row r="109" spans="79:165" ht="15" customHeight="1" x14ac:dyDescent="0.15">
      <c r="CA109" s="44"/>
      <c r="CB109" s="1"/>
      <c r="CC109" s="1"/>
      <c r="CD109" s="1"/>
      <c r="CE109" s="49" t="s">
        <v>3</v>
      </c>
      <c r="CF109" s="1"/>
      <c r="CG109" s="1"/>
      <c r="CH109" s="1"/>
      <c r="CI109" s="184">
        <v>5</v>
      </c>
      <c r="CJ109" s="184"/>
      <c r="CK109" s="185"/>
      <c r="CL109" s="185"/>
      <c r="CM109" s="185"/>
      <c r="CN109" s="185"/>
      <c r="CO109" s="185"/>
      <c r="CP109" s="185"/>
      <c r="CQ109" s="185"/>
      <c r="CR109" s="1"/>
      <c r="CS109" s="20" t="s">
        <v>28</v>
      </c>
      <c r="CT109" s="20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"/>
      <c r="DM109" s="188" t="s">
        <v>72</v>
      </c>
      <c r="DN109" s="189"/>
      <c r="DO109" s="189"/>
      <c r="DP109" s="189"/>
      <c r="DQ109" s="189"/>
      <c r="DR109" s="190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45"/>
      <c r="FB109" s="63">
        <v>0</v>
      </c>
      <c r="FC109" s="64">
        <v>9</v>
      </c>
      <c r="FD109" s="64">
        <f t="shared" si="2"/>
        <v>0</v>
      </c>
      <c r="FE109" s="64">
        <f t="shared" si="3"/>
        <v>0</v>
      </c>
      <c r="FF109" s="64">
        <f t="shared" si="4"/>
        <v>0</v>
      </c>
      <c r="FG109" s="64">
        <f t="shared" si="5"/>
        <v>0</v>
      </c>
      <c r="FH109" s="64">
        <f t="shared" si="6"/>
        <v>0</v>
      </c>
      <c r="FI109" s="64">
        <f t="shared" si="7"/>
        <v>0</v>
      </c>
    </row>
    <row r="110" spans="79:165" ht="15" customHeight="1" x14ac:dyDescent="0.15">
      <c r="CA110" s="44"/>
      <c r="CB110" s="1"/>
      <c r="CC110" s="1"/>
      <c r="CD110" s="1"/>
      <c r="CE110" s="49" t="s">
        <v>55</v>
      </c>
      <c r="CF110" s="1"/>
      <c r="CG110" s="1"/>
      <c r="CH110" s="1"/>
      <c r="CI110" s="184">
        <v>6</v>
      </c>
      <c r="CJ110" s="184"/>
      <c r="CK110" s="185"/>
      <c r="CL110" s="185"/>
      <c r="CM110" s="185"/>
      <c r="CN110" s="185"/>
      <c r="CO110" s="185"/>
      <c r="CP110" s="185"/>
      <c r="CQ110" s="185"/>
      <c r="CR110" s="1"/>
      <c r="CS110" s="20" t="s">
        <v>29</v>
      </c>
      <c r="CT110" s="20"/>
      <c r="CU110" s="15"/>
      <c r="CV110" s="202" t="s">
        <v>30</v>
      </c>
      <c r="CW110" s="202"/>
      <c r="CX110" s="202"/>
      <c r="CY110" s="202"/>
      <c r="CZ110" s="202"/>
      <c r="DA110" s="202"/>
      <c r="DB110" s="202"/>
      <c r="DC110" s="202"/>
      <c r="DD110" s="202"/>
      <c r="DE110" s="197" t="s">
        <v>31</v>
      </c>
      <c r="DF110" s="197"/>
      <c r="DG110" s="197"/>
      <c r="DH110" s="197"/>
      <c r="DI110" s="197"/>
      <c r="DJ110" s="197"/>
      <c r="DK110" s="197"/>
      <c r="DL110" s="1"/>
      <c r="DM110" s="1"/>
      <c r="DN110" s="1"/>
      <c r="DO110" s="1"/>
      <c r="DP110" s="1"/>
      <c r="DQ110" s="1"/>
      <c r="DR110" s="183"/>
      <c r="DS110" s="183"/>
      <c r="DT110" s="183"/>
      <c r="DU110" s="183"/>
      <c r="DV110" s="183"/>
      <c r="DW110" s="183"/>
      <c r="DX110" s="183"/>
      <c r="DY110" s="183"/>
      <c r="DZ110" s="183"/>
      <c r="EA110" s="183"/>
      <c r="EB110" s="183"/>
      <c r="EC110" s="183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45"/>
      <c r="FB110" s="63">
        <v>0</v>
      </c>
      <c r="FC110" s="64">
        <v>10</v>
      </c>
      <c r="FD110" s="64">
        <f t="shared" si="2"/>
        <v>0</v>
      </c>
      <c r="FE110" s="64">
        <f t="shared" si="3"/>
        <v>0</v>
      </c>
      <c r="FF110" s="64">
        <f t="shared" si="4"/>
        <v>0</v>
      </c>
      <c r="FG110" s="64">
        <f t="shared" si="5"/>
        <v>0</v>
      </c>
      <c r="FH110" s="64">
        <f t="shared" si="6"/>
        <v>0</v>
      </c>
      <c r="FI110" s="64">
        <f t="shared" si="7"/>
        <v>0</v>
      </c>
    </row>
    <row r="111" spans="79:165" ht="15" customHeight="1" x14ac:dyDescent="0.15">
      <c r="CA111" s="44"/>
      <c r="CB111" s="1"/>
      <c r="CC111" s="1"/>
      <c r="CD111" s="1"/>
      <c r="CE111" s="49" t="s">
        <v>56</v>
      </c>
      <c r="CF111" s="1"/>
      <c r="CG111" s="1"/>
      <c r="CH111" s="1"/>
      <c r="CI111" s="184">
        <v>7</v>
      </c>
      <c r="CJ111" s="184"/>
      <c r="CK111" s="185"/>
      <c r="CL111" s="185"/>
      <c r="CM111" s="185"/>
      <c r="CN111" s="185"/>
      <c r="CO111" s="185"/>
      <c r="CP111" s="185"/>
      <c r="CQ111" s="185"/>
      <c r="CR111" s="1"/>
      <c r="CS111" s="17" t="s">
        <v>32</v>
      </c>
      <c r="CT111" s="18"/>
      <c r="CU111" s="15"/>
      <c r="CV111" s="28" t="s">
        <v>25</v>
      </c>
      <c r="CW111" s="203" t="s">
        <v>75</v>
      </c>
      <c r="CX111" s="203"/>
      <c r="CY111" s="203"/>
      <c r="CZ111" s="203"/>
      <c r="DA111" s="203"/>
      <c r="DB111" s="203"/>
      <c r="DC111" s="203"/>
      <c r="DD111" s="203"/>
      <c r="DE111" s="203" t="s">
        <v>33</v>
      </c>
      <c r="DF111" s="203"/>
      <c r="DG111" s="203"/>
      <c r="DH111" s="203"/>
      <c r="DI111" s="203"/>
      <c r="DJ111" s="203"/>
      <c r="DK111" s="203"/>
      <c r="DL111" s="1"/>
      <c r="DM111" s="1"/>
      <c r="DN111" s="1"/>
      <c r="DO111" s="1"/>
      <c r="DP111" s="1"/>
      <c r="DQ111" s="1"/>
      <c r="DR111" s="183"/>
      <c r="DS111" s="183"/>
      <c r="DT111" s="183"/>
      <c r="DU111" s="183"/>
      <c r="DV111" s="183"/>
      <c r="DW111" s="183"/>
      <c r="DX111" s="183"/>
      <c r="DY111" s="183"/>
      <c r="DZ111" s="183"/>
      <c r="EA111" s="183"/>
      <c r="EB111" s="183"/>
      <c r="EC111" s="183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45"/>
      <c r="FB111" s="63">
        <v>0</v>
      </c>
      <c r="FC111" s="64">
        <v>11</v>
      </c>
      <c r="FD111" s="64" t="str">
        <f t="shared" si="2"/>
        <v>出張セットアップ　操作講習</v>
      </c>
      <c r="FE111" s="64">
        <f t="shared" si="3"/>
        <v>1</v>
      </c>
      <c r="FF111" s="64" t="str">
        <f t="shared" si="4"/>
        <v>一式</v>
      </c>
      <c r="FG111" s="64">
        <f t="shared" si="5"/>
        <v>200000</v>
      </c>
      <c r="FH111" s="64">
        <f t="shared" si="6"/>
        <v>200000</v>
      </c>
      <c r="FI111" s="64">
        <f t="shared" si="7"/>
        <v>0</v>
      </c>
    </row>
    <row r="112" spans="79:165" ht="15" customHeight="1" x14ac:dyDescent="0.15">
      <c r="CA112" s="44"/>
      <c r="CB112" s="1"/>
      <c r="CC112" s="1"/>
      <c r="CD112" s="1"/>
      <c r="CE112" s="1"/>
      <c r="CF112" s="1"/>
      <c r="CG112" s="1"/>
      <c r="CH112" s="1"/>
      <c r="CI112" s="184">
        <v>8</v>
      </c>
      <c r="CJ112" s="184"/>
      <c r="CK112" s="185"/>
      <c r="CL112" s="185"/>
      <c r="CM112" s="185"/>
      <c r="CN112" s="185"/>
      <c r="CO112" s="185"/>
      <c r="CP112" s="185"/>
      <c r="CQ112" s="185"/>
      <c r="CR112" s="1"/>
      <c r="CS112" s="17" t="s">
        <v>34</v>
      </c>
      <c r="CT112" s="18"/>
      <c r="CU112" s="15"/>
      <c r="CV112" s="28" t="s">
        <v>27</v>
      </c>
      <c r="CW112" s="203" t="s">
        <v>83</v>
      </c>
      <c r="CX112" s="203"/>
      <c r="CY112" s="203"/>
      <c r="CZ112" s="203"/>
      <c r="DA112" s="203"/>
      <c r="DB112" s="203"/>
      <c r="DC112" s="203"/>
      <c r="DD112" s="203"/>
      <c r="DE112" s="203" t="s">
        <v>84</v>
      </c>
      <c r="DF112" s="203"/>
      <c r="DG112" s="203"/>
      <c r="DH112" s="203"/>
      <c r="DI112" s="203"/>
      <c r="DJ112" s="203"/>
      <c r="DK112" s="203"/>
      <c r="DL112" s="1"/>
      <c r="DM112" s="1"/>
      <c r="DN112" s="1"/>
      <c r="DO112" s="1"/>
      <c r="DP112" s="1"/>
      <c r="DQ112" s="1"/>
      <c r="DR112" s="183"/>
      <c r="DS112" s="183"/>
      <c r="DT112" s="183"/>
      <c r="DU112" s="183"/>
      <c r="DV112" s="183"/>
      <c r="DW112" s="183"/>
      <c r="DX112" s="183"/>
      <c r="DY112" s="183"/>
      <c r="DZ112" s="183"/>
      <c r="EA112" s="183"/>
      <c r="EB112" s="183"/>
      <c r="EC112" s="183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45"/>
      <c r="FB112" s="63">
        <v>0</v>
      </c>
      <c r="FC112" s="64">
        <v>12</v>
      </c>
      <c r="FD112" s="64" t="str">
        <f t="shared" si="2"/>
        <v>送料　https://www.laser-machine.com/cspt/deli.shtml</v>
      </c>
      <c r="FE112" s="64">
        <f t="shared" si="3"/>
        <v>1</v>
      </c>
      <c r="FF112" s="64" t="str">
        <f t="shared" si="4"/>
        <v>台</v>
      </c>
      <c r="FG112" s="64">
        <f t="shared" si="5"/>
        <v>23100</v>
      </c>
      <c r="FH112" s="64">
        <f t="shared" si="6"/>
        <v>23100</v>
      </c>
      <c r="FI112" s="64">
        <f t="shared" si="7"/>
        <v>0</v>
      </c>
    </row>
    <row r="113" spans="79:165" ht="15" customHeight="1" x14ac:dyDescent="0.15">
      <c r="CA113" s="44"/>
      <c r="CB113" s="1"/>
      <c r="CC113" s="1"/>
      <c r="CD113" s="1"/>
      <c r="CE113" s="1"/>
      <c r="CF113" s="1"/>
      <c r="CG113" s="1"/>
      <c r="CH113" s="1"/>
      <c r="CI113" s="184">
        <v>9</v>
      </c>
      <c r="CJ113" s="184"/>
      <c r="CK113" s="185"/>
      <c r="CL113" s="185"/>
      <c r="CM113" s="185"/>
      <c r="CN113" s="185"/>
      <c r="CO113" s="185"/>
      <c r="CP113" s="185"/>
      <c r="CQ113" s="185"/>
      <c r="CR113" s="1"/>
      <c r="CS113" s="17" t="s">
        <v>35</v>
      </c>
      <c r="CT113" s="18"/>
      <c r="CU113" s="15"/>
      <c r="CV113" s="28" t="s">
        <v>36</v>
      </c>
      <c r="CW113" s="203" t="s">
        <v>86</v>
      </c>
      <c r="CX113" s="203"/>
      <c r="CY113" s="203"/>
      <c r="CZ113" s="203"/>
      <c r="DA113" s="203"/>
      <c r="DB113" s="203"/>
      <c r="DC113" s="203"/>
      <c r="DD113" s="203"/>
      <c r="DE113" s="203" t="s">
        <v>85</v>
      </c>
      <c r="DF113" s="203"/>
      <c r="DG113" s="203"/>
      <c r="DH113" s="203"/>
      <c r="DI113" s="203"/>
      <c r="DJ113" s="203"/>
      <c r="DK113" s="203"/>
      <c r="DL113" s="1"/>
      <c r="DM113" s="1"/>
      <c r="DN113" s="1"/>
      <c r="DO113" s="1"/>
      <c r="DP113" s="1"/>
      <c r="DQ113" s="1"/>
      <c r="DR113" s="183"/>
      <c r="DS113" s="183"/>
      <c r="DT113" s="183"/>
      <c r="DU113" s="183"/>
      <c r="DV113" s="183"/>
      <c r="DW113" s="183"/>
      <c r="DX113" s="183"/>
      <c r="DY113" s="183"/>
      <c r="DZ113" s="183"/>
      <c r="EA113" s="183"/>
      <c r="EB113" s="183"/>
      <c r="EC113" s="183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45"/>
      <c r="FB113" s="63">
        <v>1</v>
      </c>
      <c r="FC113" s="64">
        <v>1</v>
      </c>
      <c r="FD113" s="64">
        <f>購入おすすめ品!$C$7</f>
        <v>0</v>
      </c>
      <c r="FE113" s="64">
        <f>購入おすすめ品!$U$7</f>
        <v>0</v>
      </c>
      <c r="FF113" s="64">
        <f>購入おすすめ品!$Y$7</f>
        <v>0</v>
      </c>
      <c r="FG113" s="64">
        <f>購入おすすめ品!$AB$7</f>
        <v>0</v>
      </c>
      <c r="FH113" s="64">
        <f>購入おすすめ品!$AG$7</f>
        <v>0</v>
      </c>
      <c r="FI113" s="64">
        <f>購入おすすめ品!$AN$7</f>
        <v>0</v>
      </c>
    </row>
    <row r="114" spans="79:165" ht="15" customHeight="1" x14ac:dyDescent="0.15">
      <c r="CA114" s="44"/>
      <c r="CB114" s="1"/>
      <c r="CC114" s="1"/>
      <c r="CD114" s="1"/>
      <c r="CE114" s="1"/>
      <c r="CF114" s="1"/>
      <c r="CG114" s="1"/>
      <c r="CH114" s="1"/>
      <c r="CI114" s="184">
        <v>10</v>
      </c>
      <c r="CJ114" s="184"/>
      <c r="CK114" s="185"/>
      <c r="CL114" s="185"/>
      <c r="CM114" s="185"/>
      <c r="CN114" s="185"/>
      <c r="CO114" s="185"/>
      <c r="CP114" s="185"/>
      <c r="CQ114" s="185"/>
      <c r="CR114" s="1"/>
      <c r="CS114" s="20" t="s">
        <v>37</v>
      </c>
      <c r="CT114" s="21"/>
      <c r="CU114" s="15"/>
      <c r="CV114" s="28" t="s">
        <v>38</v>
      </c>
      <c r="CW114" s="203" t="s">
        <v>76</v>
      </c>
      <c r="CX114" s="203"/>
      <c r="CY114" s="203"/>
      <c r="CZ114" s="203"/>
      <c r="DA114" s="203"/>
      <c r="DB114" s="203"/>
      <c r="DC114" s="203"/>
      <c r="DD114" s="203"/>
      <c r="DE114" s="203" t="s">
        <v>39</v>
      </c>
      <c r="DF114" s="203"/>
      <c r="DG114" s="203"/>
      <c r="DH114" s="203"/>
      <c r="DI114" s="203"/>
      <c r="DJ114" s="203"/>
      <c r="DK114" s="203"/>
      <c r="DL114" s="1"/>
      <c r="DM114" s="1"/>
      <c r="DN114" s="1"/>
      <c r="DO114" s="1"/>
      <c r="DP114" s="1"/>
      <c r="DQ114" s="1"/>
      <c r="DR114" s="183"/>
      <c r="DS114" s="183"/>
      <c r="DT114" s="183"/>
      <c r="DU114" s="183"/>
      <c r="DV114" s="183"/>
      <c r="DW114" s="183"/>
      <c r="DX114" s="183"/>
      <c r="DY114" s="183"/>
      <c r="DZ114" s="183"/>
      <c r="EA114" s="183"/>
      <c r="EB114" s="183"/>
      <c r="EC114" s="183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45"/>
      <c r="FB114" s="63">
        <v>1</v>
      </c>
      <c r="FC114" s="64">
        <v>2</v>
      </c>
      <c r="FD114" s="64">
        <f>購入おすすめ品!$C$8</f>
        <v>0</v>
      </c>
      <c r="FE114" s="64">
        <f>購入おすすめ品!$U$8</f>
        <v>0</v>
      </c>
      <c r="FF114" s="64">
        <f>購入おすすめ品!$Y$8</f>
        <v>0</v>
      </c>
      <c r="FG114" s="64">
        <f>購入おすすめ品!$AB$8</f>
        <v>0</v>
      </c>
      <c r="FH114" s="64">
        <f>購入おすすめ品!$AG$8</f>
        <v>0</v>
      </c>
      <c r="FI114" s="64">
        <f>購入おすすめ品!$AN$8</f>
        <v>0</v>
      </c>
    </row>
    <row r="115" spans="79:165" ht="15" customHeight="1" x14ac:dyDescent="0.15">
      <c r="CA115" s="44"/>
      <c r="CB115" s="1"/>
      <c r="CC115" s="1"/>
      <c r="CD115" s="1"/>
      <c r="CE115" s="1"/>
      <c r="CF115" s="1"/>
      <c r="CG115" s="1"/>
      <c r="CH115" s="1"/>
      <c r="CI115" s="207" t="s">
        <v>40</v>
      </c>
      <c r="CJ115" s="207"/>
      <c r="CK115" s="185">
        <f>SUM(CK104:CQ114)</f>
        <v>2453100</v>
      </c>
      <c r="CL115" s="185"/>
      <c r="CM115" s="185"/>
      <c r="CN115" s="185"/>
      <c r="CO115" s="185"/>
      <c r="CP115" s="185"/>
      <c r="CQ115" s="185"/>
      <c r="CR115" s="1"/>
      <c r="CS115" s="17" t="s">
        <v>46</v>
      </c>
      <c r="CT115" s="18"/>
      <c r="CU115" s="15"/>
      <c r="CV115" s="28" t="s">
        <v>41</v>
      </c>
      <c r="CW115" s="203" t="s">
        <v>77</v>
      </c>
      <c r="CX115" s="203"/>
      <c r="CY115" s="203"/>
      <c r="CZ115" s="203"/>
      <c r="DA115" s="203"/>
      <c r="DB115" s="203"/>
      <c r="DC115" s="203"/>
      <c r="DD115" s="203"/>
      <c r="DE115" s="203" t="s">
        <v>42</v>
      </c>
      <c r="DF115" s="203"/>
      <c r="DG115" s="203"/>
      <c r="DH115" s="203"/>
      <c r="DI115" s="203"/>
      <c r="DJ115" s="203"/>
      <c r="DK115" s="203"/>
      <c r="DL115" s="1"/>
      <c r="DM115" s="1"/>
      <c r="DN115" s="1"/>
      <c r="DO115" s="1"/>
      <c r="DP115" s="1"/>
      <c r="DQ115" s="1"/>
      <c r="DR115" s="183"/>
      <c r="DS115" s="183"/>
      <c r="DT115" s="183"/>
      <c r="DU115" s="183"/>
      <c r="DV115" s="183"/>
      <c r="DW115" s="183"/>
      <c r="DX115" s="183"/>
      <c r="DY115" s="183"/>
      <c r="DZ115" s="183"/>
      <c r="EA115" s="183"/>
      <c r="EB115" s="183"/>
      <c r="EC115" s="183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45"/>
      <c r="FB115" s="63">
        <v>1</v>
      </c>
      <c r="FC115" s="64">
        <v>3</v>
      </c>
      <c r="FD115" s="64">
        <f>購入おすすめ品!$C$9</f>
        <v>0</v>
      </c>
      <c r="FE115" s="64">
        <f>購入おすすめ品!$U$9</f>
        <v>0</v>
      </c>
      <c r="FF115" s="64">
        <f>購入おすすめ品!$Y$9</f>
        <v>0</v>
      </c>
      <c r="FG115" s="64">
        <f>購入おすすめ品!$AB$9</f>
        <v>0</v>
      </c>
      <c r="FH115" s="64">
        <f>購入おすすめ品!$AG$9</f>
        <v>0</v>
      </c>
      <c r="FI115" s="64">
        <f>購入おすすめ品!$AN$9</f>
        <v>0</v>
      </c>
    </row>
    <row r="116" spans="79:165" ht="15" customHeight="1" x14ac:dyDescent="0.15">
      <c r="CA116" s="44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7"/>
      <c r="CT116" s="18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45"/>
      <c r="FB116" s="63">
        <v>1</v>
      </c>
      <c r="FC116" s="64">
        <v>4</v>
      </c>
      <c r="FD116" s="64">
        <f>購入おすすめ品!$C$10</f>
        <v>0</v>
      </c>
      <c r="FE116" s="64">
        <f>購入おすすめ品!$U$10</f>
        <v>0</v>
      </c>
      <c r="FF116" s="64">
        <f>購入おすすめ品!$Y$10</f>
        <v>0</v>
      </c>
      <c r="FG116" s="64">
        <f>購入おすすめ品!$AB$10</f>
        <v>0</v>
      </c>
      <c r="FH116" s="64">
        <f>購入おすすめ品!$AG$10</f>
        <v>0</v>
      </c>
      <c r="FI116" s="64">
        <f>購入おすすめ品!$AN$10</f>
        <v>0</v>
      </c>
    </row>
    <row r="117" spans="79:165" ht="15" customHeight="1" x14ac:dyDescent="0.15">
      <c r="CA117" s="44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45"/>
      <c r="FB117" s="63">
        <v>1</v>
      </c>
      <c r="FC117" s="64">
        <v>5</v>
      </c>
      <c r="FD117" s="64">
        <f>購入おすすめ品!$C$11</f>
        <v>0</v>
      </c>
      <c r="FE117" s="64">
        <f>購入おすすめ品!$U$11</f>
        <v>0</v>
      </c>
      <c r="FF117" s="64">
        <f>購入おすすめ品!$Y$11</f>
        <v>0</v>
      </c>
      <c r="FG117" s="64">
        <f>購入おすすめ品!$AB$11</f>
        <v>0</v>
      </c>
      <c r="FH117" s="64">
        <f>購入おすすめ品!$AG$11</f>
        <v>0</v>
      </c>
      <c r="FI117" s="64">
        <f>購入おすすめ品!$AN$11</f>
        <v>0</v>
      </c>
    </row>
    <row r="118" spans="79:165" ht="15" customHeight="1" x14ac:dyDescent="0.15">
      <c r="CA118" s="44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45"/>
      <c r="FB118" s="63">
        <v>1</v>
      </c>
      <c r="FC118" s="64">
        <v>6</v>
      </c>
      <c r="FD118" s="64">
        <f>購入おすすめ品!$C$12</f>
        <v>0</v>
      </c>
      <c r="FE118" s="64">
        <f>購入おすすめ品!$U$12</f>
        <v>0</v>
      </c>
      <c r="FF118" s="64">
        <f>購入おすすめ品!$Y$12</f>
        <v>0</v>
      </c>
      <c r="FG118" s="64">
        <f>購入おすすめ品!$AB$12</f>
        <v>0</v>
      </c>
      <c r="FH118" s="64">
        <f>購入おすすめ品!$AG$12</f>
        <v>0</v>
      </c>
      <c r="FI118" s="64">
        <f>購入おすすめ品!$AN$12</f>
        <v>0</v>
      </c>
    </row>
    <row r="119" spans="79:165" ht="15" customHeight="1" x14ac:dyDescent="0.15">
      <c r="CA119" s="44"/>
      <c r="CB119" s="1"/>
      <c r="CC119" s="1"/>
      <c r="CD119" s="1"/>
      <c r="CE119" s="1"/>
      <c r="CF119" s="1"/>
      <c r="CG119" s="1"/>
      <c r="CH119" s="1"/>
      <c r="CI119" s="204" t="s">
        <v>43</v>
      </c>
      <c r="CJ119" s="204"/>
      <c r="CK119" s="204"/>
      <c r="CL119" s="204"/>
      <c r="CM119" s="205" t="s">
        <v>87</v>
      </c>
      <c r="CN119" s="206"/>
      <c r="CO119" s="206"/>
      <c r="CP119" s="206"/>
      <c r="CQ119" s="206"/>
      <c r="CR119" s="206"/>
      <c r="CS119" s="206"/>
      <c r="CT119" s="206"/>
      <c r="CU119" s="206"/>
      <c r="CV119" s="206"/>
      <c r="CW119" s="206"/>
      <c r="CX119" s="206"/>
      <c r="CY119" s="206"/>
      <c r="CZ119" s="206"/>
      <c r="DA119" s="206"/>
      <c r="DB119" s="206"/>
      <c r="DC119" s="206"/>
      <c r="DD119" s="206"/>
      <c r="DE119" s="206"/>
      <c r="DF119" s="206"/>
      <c r="DG119" s="206"/>
      <c r="DH119" s="206"/>
      <c r="DI119" s="206"/>
      <c r="DJ119" s="206"/>
      <c r="DK119" s="206"/>
      <c r="DL119" s="1"/>
      <c r="DM119" s="194" t="s">
        <v>45</v>
      </c>
      <c r="DN119" s="196"/>
      <c r="DO119" s="199" t="s">
        <v>80</v>
      </c>
      <c r="DP119" s="200"/>
      <c r="DQ119" s="200"/>
      <c r="DR119" s="200"/>
      <c r="DS119" s="200"/>
      <c r="DT119" s="200"/>
      <c r="DU119" s="20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45"/>
      <c r="FB119" s="63">
        <v>1</v>
      </c>
      <c r="FC119" s="64">
        <v>7</v>
      </c>
      <c r="FD119" s="64">
        <f>購入おすすめ品!$C$13</f>
        <v>0</v>
      </c>
      <c r="FE119" s="64">
        <f>購入おすすめ品!$U$13</f>
        <v>0</v>
      </c>
      <c r="FF119" s="64">
        <f>購入おすすめ品!$Y$13</f>
        <v>0</v>
      </c>
      <c r="FG119" s="64">
        <f>購入おすすめ品!$AB$13</f>
        <v>0</v>
      </c>
      <c r="FH119" s="64">
        <f>購入おすすめ品!$AG$13</f>
        <v>0</v>
      </c>
      <c r="FI119" s="64">
        <f>購入おすすめ品!$AN$13</f>
        <v>0</v>
      </c>
    </row>
    <row r="120" spans="79:165" ht="15" customHeight="1" x14ac:dyDescent="0.15">
      <c r="CA120" s="44"/>
      <c r="CB120" s="1"/>
      <c r="CC120" s="1"/>
      <c r="CD120" s="1"/>
      <c r="CE120" s="1"/>
      <c r="CF120" s="1"/>
      <c r="CG120" s="1"/>
      <c r="CH120" s="1"/>
      <c r="CI120" s="204" t="s">
        <v>73</v>
      </c>
      <c r="CJ120" s="204"/>
      <c r="CK120" s="204"/>
      <c r="CL120" s="204"/>
      <c r="CM120" s="205"/>
      <c r="CN120" s="206"/>
      <c r="CO120" s="206"/>
      <c r="CP120" s="206"/>
      <c r="CQ120" s="206"/>
      <c r="CR120" s="206"/>
      <c r="CS120" s="206"/>
      <c r="CT120" s="206"/>
      <c r="CU120" s="206"/>
      <c r="CV120" s="206"/>
      <c r="CW120" s="206"/>
      <c r="CX120" s="206"/>
      <c r="CY120" s="206"/>
      <c r="CZ120" s="206"/>
      <c r="DA120" s="206"/>
      <c r="DB120" s="206"/>
      <c r="DC120" s="206"/>
      <c r="DD120" s="206"/>
      <c r="DE120" s="206"/>
      <c r="DF120" s="206"/>
      <c r="DG120" s="206"/>
      <c r="DH120" s="206"/>
      <c r="DI120" s="206"/>
      <c r="DJ120" s="206"/>
      <c r="DK120" s="206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45"/>
      <c r="FB120" s="63">
        <v>1</v>
      </c>
      <c r="FC120" s="64">
        <v>8</v>
      </c>
      <c r="FD120" s="64">
        <f>購入おすすめ品!$C$14</f>
        <v>0</v>
      </c>
      <c r="FE120" s="64">
        <f>購入おすすめ品!$U$14</f>
        <v>0</v>
      </c>
      <c r="FF120" s="64">
        <f>購入おすすめ品!$Y$14</f>
        <v>0</v>
      </c>
      <c r="FG120" s="64">
        <f>購入おすすめ品!$AB$14</f>
        <v>0</v>
      </c>
      <c r="FH120" s="64">
        <f>購入おすすめ品!$AG$14</f>
        <v>0</v>
      </c>
      <c r="FI120" s="64">
        <f>購入おすすめ品!$AN$14</f>
        <v>0</v>
      </c>
    </row>
    <row r="121" spans="79:165" ht="15" customHeight="1" x14ac:dyDescent="0.15">
      <c r="CA121" s="44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45"/>
      <c r="FB121" s="63">
        <v>1</v>
      </c>
      <c r="FC121" s="64">
        <v>9</v>
      </c>
      <c r="FD121" s="64">
        <f>購入おすすめ品!$C$15</f>
        <v>0</v>
      </c>
      <c r="FE121" s="64">
        <f>購入おすすめ品!$U$15</f>
        <v>0</v>
      </c>
      <c r="FF121" s="64">
        <f>購入おすすめ品!$Y$15</f>
        <v>0</v>
      </c>
      <c r="FG121" s="64">
        <f>購入おすすめ品!$AB$15</f>
        <v>0</v>
      </c>
      <c r="FH121" s="64">
        <f>購入おすすめ品!$AG$15</f>
        <v>0</v>
      </c>
      <c r="FI121" s="64">
        <f>購入おすすめ品!$AN$15</f>
        <v>0</v>
      </c>
    </row>
    <row r="122" spans="79:165" ht="15" customHeight="1" x14ac:dyDescent="0.15">
      <c r="CA122" s="44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45"/>
      <c r="FB122" s="63">
        <v>1</v>
      </c>
      <c r="FC122" s="64">
        <v>10</v>
      </c>
      <c r="FD122" s="64">
        <f>購入おすすめ品!$C$16</f>
        <v>0</v>
      </c>
      <c r="FE122" s="64">
        <f>購入おすすめ品!$U$16</f>
        <v>0</v>
      </c>
      <c r="FF122" s="64">
        <f>購入おすすめ品!$Y$16</f>
        <v>0</v>
      </c>
      <c r="FG122" s="64">
        <f>購入おすすめ品!$AB$16</f>
        <v>0</v>
      </c>
      <c r="FH122" s="64">
        <f>購入おすすめ品!$AG$16</f>
        <v>0</v>
      </c>
      <c r="FI122" s="64">
        <f>購入おすすめ品!$AN$16</f>
        <v>0</v>
      </c>
    </row>
    <row r="123" spans="79:165" ht="15" customHeight="1" x14ac:dyDescent="0.15">
      <c r="CA123" s="44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45"/>
      <c r="FB123" s="63">
        <v>1</v>
      </c>
      <c r="FC123" s="64">
        <v>11</v>
      </c>
      <c r="FD123" s="64">
        <f>購入おすすめ品!$C$17</f>
        <v>0</v>
      </c>
      <c r="FE123" s="64">
        <f>購入おすすめ品!$U$17</f>
        <v>0</v>
      </c>
      <c r="FF123" s="64">
        <f>購入おすすめ品!$Y$17</f>
        <v>0</v>
      </c>
      <c r="FG123" s="64">
        <f>購入おすすめ品!$AB$17</f>
        <v>0</v>
      </c>
      <c r="FH123" s="64">
        <f>購入おすすめ品!$AG$17</f>
        <v>0</v>
      </c>
      <c r="FI123" s="64">
        <f>購入おすすめ品!$AN$17</f>
        <v>0</v>
      </c>
    </row>
    <row r="124" spans="79:165" ht="15" customHeight="1" x14ac:dyDescent="0.15">
      <c r="CA124" s="44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45"/>
      <c r="FB124" s="63">
        <v>1</v>
      </c>
      <c r="FC124" s="64">
        <v>12</v>
      </c>
      <c r="FD124" s="64">
        <f>購入おすすめ品!$C$18</f>
        <v>0</v>
      </c>
      <c r="FE124" s="64">
        <f>購入おすすめ品!$U$18</f>
        <v>0</v>
      </c>
      <c r="FF124" s="64">
        <f>購入おすすめ品!$Y$18</f>
        <v>0</v>
      </c>
      <c r="FG124" s="64">
        <f>購入おすすめ品!$AB$18</f>
        <v>0</v>
      </c>
      <c r="FH124" s="64">
        <f>購入おすすめ品!$AG$18</f>
        <v>0</v>
      </c>
      <c r="FI124" s="64">
        <f>購入おすすめ品!$AN$18</f>
        <v>0</v>
      </c>
    </row>
    <row r="125" spans="79:165" ht="15" customHeight="1" x14ac:dyDescent="0.15">
      <c r="CA125" s="44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45"/>
      <c r="FB125" s="63">
        <v>1</v>
      </c>
      <c r="FC125" s="64">
        <v>13</v>
      </c>
      <c r="FD125" s="64">
        <f>購入おすすめ品!$C$19</f>
        <v>0</v>
      </c>
      <c r="FE125" s="64">
        <f>購入おすすめ品!$U$19</f>
        <v>0</v>
      </c>
      <c r="FF125" s="64">
        <f>購入おすすめ品!$Y$19</f>
        <v>0</v>
      </c>
      <c r="FG125" s="64">
        <f>購入おすすめ品!$AB$19</f>
        <v>0</v>
      </c>
      <c r="FH125" s="64">
        <f>購入おすすめ品!$AG$19</f>
        <v>0</v>
      </c>
      <c r="FI125" s="64">
        <f>購入おすすめ品!$AN$19</f>
        <v>0</v>
      </c>
    </row>
    <row r="126" spans="79:165" ht="15" customHeight="1" x14ac:dyDescent="0.15">
      <c r="CA126" s="48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  <c r="DG126" s="46"/>
      <c r="DH126" s="46"/>
      <c r="DI126" s="46"/>
      <c r="DJ126" s="46"/>
      <c r="DK126" s="46"/>
      <c r="DL126" s="46"/>
      <c r="DM126" s="46"/>
      <c r="DN126" s="46"/>
      <c r="DO126" s="46"/>
      <c r="DP126" s="46"/>
      <c r="DQ126" s="46"/>
      <c r="DR126" s="46"/>
      <c r="DS126" s="46"/>
      <c r="DT126" s="46"/>
      <c r="DU126" s="46"/>
      <c r="DV126" s="46"/>
      <c r="DW126" s="46"/>
      <c r="DX126" s="46"/>
      <c r="DY126" s="46"/>
      <c r="DZ126" s="46"/>
      <c r="EA126" s="46"/>
      <c r="EB126" s="46"/>
      <c r="EC126" s="46"/>
      <c r="ED126" s="46"/>
      <c r="EE126" s="46"/>
      <c r="EF126" s="46"/>
      <c r="EG126" s="46"/>
      <c r="EH126" s="46"/>
      <c r="EI126" s="46"/>
      <c r="EJ126" s="46"/>
      <c r="EK126" s="46"/>
      <c r="EL126" s="46"/>
      <c r="EM126" s="46"/>
      <c r="EN126" s="46"/>
      <c r="EO126" s="46"/>
      <c r="EP126" s="47"/>
      <c r="FB126" s="63">
        <v>1</v>
      </c>
      <c r="FC126" s="64">
        <v>14</v>
      </c>
      <c r="FD126" s="64">
        <f>購入おすすめ品!$C$20</f>
        <v>0</v>
      </c>
      <c r="FE126" s="64">
        <f>購入おすすめ品!$U$20</f>
        <v>0</v>
      </c>
      <c r="FF126" s="64">
        <f>購入おすすめ品!$Y$20</f>
        <v>0</v>
      </c>
      <c r="FG126" s="64">
        <f>購入おすすめ品!$AB$20</f>
        <v>0</v>
      </c>
      <c r="FH126" s="64">
        <f>購入おすすめ品!$AG$20</f>
        <v>0</v>
      </c>
      <c r="FI126" s="64">
        <f>購入おすすめ品!$AN$20</f>
        <v>0</v>
      </c>
    </row>
    <row r="127" spans="79:165" ht="15" customHeight="1" x14ac:dyDescent="0.15">
      <c r="FB127" s="63">
        <v>1</v>
      </c>
      <c r="FC127" s="64">
        <v>15</v>
      </c>
      <c r="FD127" s="64">
        <f>購入おすすめ品!$C$21</f>
        <v>0</v>
      </c>
      <c r="FE127" s="64">
        <f>購入おすすめ品!$U$21</f>
        <v>0</v>
      </c>
      <c r="FF127" s="64">
        <f>購入おすすめ品!$Y$21</f>
        <v>0</v>
      </c>
      <c r="FG127" s="64">
        <f>購入おすすめ品!$AB$21</f>
        <v>0</v>
      </c>
      <c r="FH127" s="64">
        <f>購入おすすめ品!$AG$21</f>
        <v>0</v>
      </c>
      <c r="FI127" s="64">
        <f>購入おすすめ品!$AN$21</f>
        <v>0</v>
      </c>
    </row>
    <row r="128" spans="79:165" ht="15" customHeight="1" x14ac:dyDescent="0.15">
      <c r="FB128" s="63">
        <v>1</v>
      </c>
      <c r="FC128" s="64">
        <v>16</v>
      </c>
      <c r="FD128" s="64">
        <f>購入おすすめ品!$C$22</f>
        <v>0</v>
      </c>
      <c r="FE128" s="64">
        <f>購入おすすめ品!$U$22</f>
        <v>0</v>
      </c>
      <c r="FF128" s="64">
        <f>購入おすすめ品!$Y$22</f>
        <v>0</v>
      </c>
      <c r="FG128" s="64">
        <f>購入おすすめ品!$AB$22</f>
        <v>0</v>
      </c>
      <c r="FH128" s="64">
        <f>購入おすすめ品!$AG$22</f>
        <v>0</v>
      </c>
      <c r="FI128" s="64">
        <f>購入おすすめ品!$AN$22</f>
        <v>0</v>
      </c>
    </row>
    <row r="129" spans="91:165" ht="15" customHeight="1" x14ac:dyDescent="0.15">
      <c r="FB129" s="63">
        <v>1</v>
      </c>
      <c r="FC129" s="64">
        <v>17</v>
      </c>
      <c r="FD129" s="64">
        <f>購入おすすめ品!$C$23</f>
        <v>0</v>
      </c>
      <c r="FE129" s="64">
        <f>購入おすすめ品!$U$23</f>
        <v>0</v>
      </c>
      <c r="FF129" s="64">
        <f>購入おすすめ品!$Y$23</f>
        <v>0</v>
      </c>
      <c r="FG129" s="64">
        <f>購入おすすめ品!$AB$23</f>
        <v>0</v>
      </c>
      <c r="FH129" s="64">
        <f>購入おすすめ品!$AG$23</f>
        <v>0</v>
      </c>
      <c r="FI129" s="64">
        <f>購入おすすめ品!$AN$23</f>
        <v>0</v>
      </c>
    </row>
    <row r="130" spans="91:165" ht="15" customHeight="1" x14ac:dyDescent="0.15">
      <c r="CM130" s="72"/>
      <c r="FB130" s="63">
        <v>1</v>
      </c>
      <c r="FC130" s="64">
        <v>18</v>
      </c>
      <c r="FD130" s="64">
        <f>購入おすすめ品!$C$24</f>
        <v>0</v>
      </c>
      <c r="FE130" s="64">
        <f>購入おすすめ品!$U$24</f>
        <v>0</v>
      </c>
      <c r="FF130" s="64">
        <f>購入おすすめ品!$Y$24</f>
        <v>0</v>
      </c>
      <c r="FG130" s="64">
        <f>購入おすすめ品!$AB$24</f>
        <v>0</v>
      </c>
      <c r="FH130" s="64">
        <f>購入おすすめ品!$AG$24</f>
        <v>0</v>
      </c>
      <c r="FI130" s="64">
        <f>購入おすすめ品!$AN$24</f>
        <v>0</v>
      </c>
    </row>
    <row r="131" spans="91:165" ht="15" customHeight="1" x14ac:dyDescent="0.15">
      <c r="FB131" s="63">
        <v>1</v>
      </c>
      <c r="FC131" s="64">
        <v>19</v>
      </c>
      <c r="FD131" s="64">
        <f>購入おすすめ品!$C$25</f>
        <v>0</v>
      </c>
      <c r="FE131" s="64">
        <f>購入おすすめ品!$U$25</f>
        <v>0</v>
      </c>
      <c r="FF131" s="64">
        <f>購入おすすめ品!$Y$25</f>
        <v>0</v>
      </c>
      <c r="FG131" s="64">
        <f>購入おすすめ品!$AB$25</f>
        <v>0</v>
      </c>
      <c r="FH131" s="64">
        <f>購入おすすめ品!$AG$25</f>
        <v>0</v>
      </c>
      <c r="FI131" s="64">
        <f>購入おすすめ品!$AN$25</f>
        <v>0</v>
      </c>
    </row>
    <row r="132" spans="91:165" ht="15" customHeight="1" x14ac:dyDescent="0.15">
      <c r="FB132" s="63">
        <v>1</v>
      </c>
      <c r="FC132" s="64">
        <v>20</v>
      </c>
      <c r="FD132" s="64">
        <f>購入おすすめ品!$C$26</f>
        <v>0</v>
      </c>
      <c r="FE132" s="64">
        <f>購入おすすめ品!$U$26</f>
        <v>0</v>
      </c>
      <c r="FF132" s="64">
        <f>購入おすすめ品!$Y$26</f>
        <v>0</v>
      </c>
      <c r="FG132" s="64">
        <f>購入おすすめ品!$AB$26</f>
        <v>0</v>
      </c>
      <c r="FH132" s="64">
        <f>購入おすすめ品!$AG$26</f>
        <v>0</v>
      </c>
      <c r="FI132" s="64">
        <f>購入おすすめ品!$AN$26</f>
        <v>0</v>
      </c>
    </row>
    <row r="133" spans="91:165" ht="15" customHeight="1" x14ac:dyDescent="0.15">
      <c r="FB133" s="63">
        <v>1</v>
      </c>
      <c r="FC133" s="64">
        <v>21</v>
      </c>
      <c r="FD133" s="64">
        <f>購入おすすめ品!$C$27</f>
        <v>0</v>
      </c>
      <c r="FE133" s="64">
        <f>購入おすすめ品!$U$27</f>
        <v>0</v>
      </c>
      <c r="FF133" s="64">
        <f>購入おすすめ品!$Y$27</f>
        <v>0</v>
      </c>
      <c r="FG133" s="64">
        <f>購入おすすめ品!$AB$27</f>
        <v>0</v>
      </c>
      <c r="FH133" s="64">
        <f>購入おすすめ品!$AG$27</f>
        <v>0</v>
      </c>
      <c r="FI133" s="64">
        <f>購入おすすめ品!$AN$27</f>
        <v>0</v>
      </c>
    </row>
    <row r="134" spans="91:165" ht="15" customHeight="1" x14ac:dyDescent="0.15">
      <c r="FB134" s="63">
        <v>1</v>
      </c>
      <c r="FC134" s="64">
        <v>22</v>
      </c>
      <c r="FD134" s="64">
        <f>購入おすすめ品!$C$28</f>
        <v>0</v>
      </c>
      <c r="FE134" s="64">
        <f>購入おすすめ品!$U$28</f>
        <v>0</v>
      </c>
      <c r="FF134" s="64">
        <f>購入おすすめ品!$Y$28</f>
        <v>0</v>
      </c>
      <c r="FG134" s="64">
        <f>購入おすすめ品!$AB$28</f>
        <v>0</v>
      </c>
      <c r="FH134" s="64">
        <f>購入おすすめ品!$AG$28</f>
        <v>0</v>
      </c>
      <c r="FI134" s="64">
        <f>購入おすすめ品!$AN$28</f>
        <v>0</v>
      </c>
    </row>
    <row r="135" spans="91:165" ht="15" customHeight="1" x14ac:dyDescent="0.15">
      <c r="FB135" s="63">
        <v>1</v>
      </c>
      <c r="FC135" s="64">
        <v>23</v>
      </c>
      <c r="FD135" s="64">
        <f>購入おすすめ品!$C$29</f>
        <v>0</v>
      </c>
      <c r="FE135" s="64">
        <f>購入おすすめ品!$U$29</f>
        <v>0</v>
      </c>
      <c r="FF135" s="64">
        <f>購入おすすめ品!$Y$29</f>
        <v>0</v>
      </c>
      <c r="FG135" s="64">
        <f>購入おすすめ品!$AB$29</f>
        <v>0</v>
      </c>
      <c r="FH135" s="64">
        <f>購入おすすめ品!$AG$29</f>
        <v>0</v>
      </c>
      <c r="FI135" s="64">
        <f>購入おすすめ品!$AN$29</f>
        <v>0</v>
      </c>
    </row>
    <row r="136" spans="91:165" ht="15" customHeight="1" x14ac:dyDescent="0.15">
      <c r="FB136" s="63">
        <v>2</v>
      </c>
      <c r="FC136" s="64">
        <v>1</v>
      </c>
      <c r="FD136" s="64" t="e">
        <f>#REF!</f>
        <v>#REF!</v>
      </c>
      <c r="FE136" s="64" t="e">
        <f>#REF!</f>
        <v>#REF!</v>
      </c>
      <c r="FF136" s="64" t="e">
        <f>#REF!</f>
        <v>#REF!</v>
      </c>
      <c r="FG136" s="64" t="e">
        <f>#REF!</f>
        <v>#REF!</v>
      </c>
      <c r="FH136" s="64" t="e">
        <f>#REF!</f>
        <v>#REF!</v>
      </c>
      <c r="FI136" s="64" t="e">
        <f>#REF!</f>
        <v>#REF!</v>
      </c>
    </row>
    <row r="137" spans="91:165" ht="15" customHeight="1" x14ac:dyDescent="0.15">
      <c r="FB137" s="63">
        <v>2</v>
      </c>
      <c r="FC137" s="64">
        <v>2</v>
      </c>
      <c r="FD137" s="64" t="e">
        <f>#REF!</f>
        <v>#REF!</v>
      </c>
      <c r="FE137" s="64" t="e">
        <f>#REF!</f>
        <v>#REF!</v>
      </c>
      <c r="FF137" s="64" t="e">
        <f>#REF!</f>
        <v>#REF!</v>
      </c>
      <c r="FG137" s="64" t="e">
        <f>#REF!</f>
        <v>#REF!</v>
      </c>
      <c r="FH137" s="64" t="e">
        <f>#REF!</f>
        <v>#REF!</v>
      </c>
      <c r="FI137" s="64" t="e">
        <f>#REF!</f>
        <v>#REF!</v>
      </c>
    </row>
    <row r="138" spans="91:165" ht="15" customHeight="1" x14ac:dyDescent="0.15">
      <c r="FB138" s="63">
        <v>2</v>
      </c>
      <c r="FC138" s="64">
        <v>3</v>
      </c>
      <c r="FD138" s="64" t="e">
        <f>#REF!</f>
        <v>#REF!</v>
      </c>
      <c r="FE138" s="64" t="e">
        <f>#REF!</f>
        <v>#REF!</v>
      </c>
      <c r="FF138" s="64" t="e">
        <f>#REF!</f>
        <v>#REF!</v>
      </c>
      <c r="FG138" s="64" t="e">
        <f>#REF!</f>
        <v>#REF!</v>
      </c>
      <c r="FH138" s="64" t="e">
        <f>#REF!</f>
        <v>#REF!</v>
      </c>
      <c r="FI138" s="64" t="e">
        <f>#REF!</f>
        <v>#REF!</v>
      </c>
    </row>
    <row r="139" spans="91:165" ht="15" customHeight="1" x14ac:dyDescent="0.15">
      <c r="FB139" s="63">
        <v>2</v>
      </c>
      <c r="FC139" s="64">
        <v>4</v>
      </c>
      <c r="FD139" s="64" t="e">
        <f>#REF!</f>
        <v>#REF!</v>
      </c>
      <c r="FE139" s="64" t="e">
        <f>#REF!</f>
        <v>#REF!</v>
      </c>
      <c r="FF139" s="64" t="e">
        <f>#REF!</f>
        <v>#REF!</v>
      </c>
      <c r="FG139" s="64" t="e">
        <f>#REF!</f>
        <v>#REF!</v>
      </c>
      <c r="FH139" s="64" t="e">
        <f>#REF!</f>
        <v>#REF!</v>
      </c>
      <c r="FI139" s="64" t="e">
        <f>#REF!</f>
        <v>#REF!</v>
      </c>
    </row>
    <row r="140" spans="91:165" ht="15" customHeight="1" x14ac:dyDescent="0.15">
      <c r="FB140" s="63">
        <v>2</v>
      </c>
      <c r="FC140" s="64">
        <v>5</v>
      </c>
      <c r="FD140" s="64" t="e">
        <f>#REF!</f>
        <v>#REF!</v>
      </c>
      <c r="FE140" s="64" t="e">
        <f>#REF!</f>
        <v>#REF!</v>
      </c>
      <c r="FF140" s="64" t="e">
        <f>#REF!</f>
        <v>#REF!</v>
      </c>
      <c r="FG140" s="64" t="e">
        <f>#REF!</f>
        <v>#REF!</v>
      </c>
      <c r="FH140" s="64" t="e">
        <f>#REF!</f>
        <v>#REF!</v>
      </c>
      <c r="FI140" s="64" t="e">
        <f>#REF!</f>
        <v>#REF!</v>
      </c>
    </row>
    <row r="141" spans="91:165" ht="15" customHeight="1" x14ac:dyDescent="0.15">
      <c r="FB141" s="63">
        <v>2</v>
      </c>
      <c r="FC141" s="64">
        <v>6</v>
      </c>
      <c r="FD141" s="64" t="e">
        <f>#REF!</f>
        <v>#REF!</v>
      </c>
      <c r="FE141" s="64" t="e">
        <f>#REF!</f>
        <v>#REF!</v>
      </c>
      <c r="FF141" s="64" t="e">
        <f>#REF!</f>
        <v>#REF!</v>
      </c>
      <c r="FG141" s="64" t="e">
        <f>#REF!</f>
        <v>#REF!</v>
      </c>
      <c r="FH141" s="64" t="e">
        <f>#REF!</f>
        <v>#REF!</v>
      </c>
      <c r="FI141" s="64" t="e">
        <f>#REF!</f>
        <v>#REF!</v>
      </c>
    </row>
    <row r="142" spans="91:165" ht="15" customHeight="1" x14ac:dyDescent="0.15">
      <c r="FB142" s="63">
        <v>2</v>
      </c>
      <c r="FC142" s="64">
        <v>7</v>
      </c>
      <c r="FD142" s="64" t="e">
        <f>#REF!</f>
        <v>#REF!</v>
      </c>
      <c r="FE142" s="64" t="e">
        <f>#REF!</f>
        <v>#REF!</v>
      </c>
      <c r="FF142" s="64" t="e">
        <f>#REF!</f>
        <v>#REF!</v>
      </c>
      <c r="FG142" s="64" t="e">
        <f>#REF!</f>
        <v>#REF!</v>
      </c>
      <c r="FH142" s="64" t="e">
        <f>#REF!</f>
        <v>#REF!</v>
      </c>
      <c r="FI142" s="64" t="e">
        <f>#REF!</f>
        <v>#REF!</v>
      </c>
    </row>
    <row r="143" spans="91:165" ht="15" customHeight="1" x14ac:dyDescent="0.15">
      <c r="FB143" s="63">
        <v>2</v>
      </c>
      <c r="FC143" s="64">
        <v>8</v>
      </c>
      <c r="FD143" s="64" t="e">
        <f>#REF!</f>
        <v>#REF!</v>
      </c>
      <c r="FE143" s="64" t="e">
        <f>#REF!</f>
        <v>#REF!</v>
      </c>
      <c r="FF143" s="64" t="e">
        <f>#REF!</f>
        <v>#REF!</v>
      </c>
      <c r="FG143" s="64" t="e">
        <f>#REF!</f>
        <v>#REF!</v>
      </c>
      <c r="FH143" s="64" t="e">
        <f>#REF!</f>
        <v>#REF!</v>
      </c>
      <c r="FI143" s="64" t="e">
        <f>#REF!</f>
        <v>#REF!</v>
      </c>
    </row>
    <row r="144" spans="91:165" ht="15" customHeight="1" x14ac:dyDescent="0.15">
      <c r="FB144" s="63">
        <v>2</v>
      </c>
      <c r="FC144" s="64">
        <v>9</v>
      </c>
      <c r="FD144" s="64" t="e">
        <f>#REF!</f>
        <v>#REF!</v>
      </c>
      <c r="FE144" s="64" t="e">
        <f>#REF!</f>
        <v>#REF!</v>
      </c>
      <c r="FF144" s="64" t="e">
        <f>#REF!</f>
        <v>#REF!</v>
      </c>
      <c r="FG144" s="64" t="e">
        <f>#REF!</f>
        <v>#REF!</v>
      </c>
      <c r="FH144" s="64" t="e">
        <f>#REF!</f>
        <v>#REF!</v>
      </c>
      <c r="FI144" s="64" t="e">
        <f>#REF!</f>
        <v>#REF!</v>
      </c>
    </row>
    <row r="145" spans="158:165" ht="15" customHeight="1" x14ac:dyDescent="0.15">
      <c r="FB145" s="63">
        <v>2</v>
      </c>
      <c r="FC145" s="64">
        <v>10</v>
      </c>
      <c r="FD145" s="64" t="e">
        <f>#REF!</f>
        <v>#REF!</v>
      </c>
      <c r="FE145" s="64" t="e">
        <f>#REF!</f>
        <v>#REF!</v>
      </c>
      <c r="FF145" s="64" t="e">
        <f>#REF!</f>
        <v>#REF!</v>
      </c>
      <c r="FG145" s="64" t="e">
        <f>#REF!</f>
        <v>#REF!</v>
      </c>
      <c r="FH145" s="64" t="e">
        <f>#REF!</f>
        <v>#REF!</v>
      </c>
      <c r="FI145" s="64" t="e">
        <f>#REF!</f>
        <v>#REF!</v>
      </c>
    </row>
    <row r="146" spans="158:165" ht="15" customHeight="1" x14ac:dyDescent="0.15">
      <c r="FB146" s="63">
        <v>2</v>
      </c>
      <c r="FC146" s="64">
        <v>11</v>
      </c>
      <c r="FD146" s="64" t="e">
        <f>#REF!</f>
        <v>#REF!</v>
      </c>
      <c r="FE146" s="64" t="e">
        <f>#REF!</f>
        <v>#REF!</v>
      </c>
      <c r="FF146" s="64" t="e">
        <f>#REF!</f>
        <v>#REF!</v>
      </c>
      <c r="FG146" s="64" t="e">
        <f>#REF!</f>
        <v>#REF!</v>
      </c>
      <c r="FH146" s="64" t="e">
        <f>#REF!</f>
        <v>#REF!</v>
      </c>
      <c r="FI146" s="64" t="e">
        <f>#REF!</f>
        <v>#REF!</v>
      </c>
    </row>
    <row r="147" spans="158:165" ht="15" customHeight="1" x14ac:dyDescent="0.15">
      <c r="FB147" s="63">
        <v>2</v>
      </c>
      <c r="FC147" s="64">
        <v>12</v>
      </c>
      <c r="FD147" s="64" t="e">
        <f>#REF!</f>
        <v>#REF!</v>
      </c>
      <c r="FE147" s="64" t="e">
        <f>#REF!</f>
        <v>#REF!</v>
      </c>
      <c r="FF147" s="64" t="e">
        <f>#REF!</f>
        <v>#REF!</v>
      </c>
      <c r="FG147" s="64" t="e">
        <f>#REF!</f>
        <v>#REF!</v>
      </c>
      <c r="FH147" s="64" t="e">
        <f>#REF!</f>
        <v>#REF!</v>
      </c>
      <c r="FI147" s="64" t="e">
        <f>#REF!</f>
        <v>#REF!</v>
      </c>
    </row>
    <row r="148" spans="158:165" ht="15" customHeight="1" x14ac:dyDescent="0.15">
      <c r="FB148" s="63">
        <v>2</v>
      </c>
      <c r="FC148" s="64">
        <v>13</v>
      </c>
      <c r="FD148" s="64" t="e">
        <f>#REF!</f>
        <v>#REF!</v>
      </c>
      <c r="FE148" s="64" t="e">
        <f>#REF!</f>
        <v>#REF!</v>
      </c>
      <c r="FF148" s="64" t="e">
        <f>#REF!</f>
        <v>#REF!</v>
      </c>
      <c r="FG148" s="64" t="e">
        <f>#REF!</f>
        <v>#REF!</v>
      </c>
      <c r="FH148" s="64" t="e">
        <f>#REF!</f>
        <v>#REF!</v>
      </c>
      <c r="FI148" s="64" t="e">
        <f>#REF!</f>
        <v>#REF!</v>
      </c>
    </row>
    <row r="149" spans="158:165" ht="15" customHeight="1" x14ac:dyDescent="0.15">
      <c r="FB149" s="63">
        <v>2</v>
      </c>
      <c r="FC149" s="64">
        <v>14</v>
      </c>
      <c r="FD149" s="64" t="e">
        <f>#REF!</f>
        <v>#REF!</v>
      </c>
      <c r="FE149" s="64" t="e">
        <f>#REF!</f>
        <v>#REF!</v>
      </c>
      <c r="FF149" s="64" t="e">
        <f>#REF!</f>
        <v>#REF!</v>
      </c>
      <c r="FG149" s="64" t="e">
        <f>#REF!</f>
        <v>#REF!</v>
      </c>
      <c r="FH149" s="64" t="e">
        <f>#REF!</f>
        <v>#REF!</v>
      </c>
      <c r="FI149" s="64" t="e">
        <f>#REF!</f>
        <v>#REF!</v>
      </c>
    </row>
    <row r="150" spans="158:165" ht="15" customHeight="1" x14ac:dyDescent="0.15">
      <c r="FB150" s="63">
        <v>2</v>
      </c>
      <c r="FC150" s="64">
        <v>15</v>
      </c>
      <c r="FD150" s="64" t="e">
        <f>#REF!</f>
        <v>#REF!</v>
      </c>
      <c r="FE150" s="64" t="e">
        <f>#REF!</f>
        <v>#REF!</v>
      </c>
      <c r="FF150" s="64" t="e">
        <f>#REF!</f>
        <v>#REF!</v>
      </c>
      <c r="FG150" s="64" t="e">
        <f>#REF!</f>
        <v>#REF!</v>
      </c>
      <c r="FH150" s="64" t="e">
        <f>#REF!</f>
        <v>#REF!</v>
      </c>
      <c r="FI150" s="64" t="e">
        <f>#REF!</f>
        <v>#REF!</v>
      </c>
    </row>
    <row r="151" spans="158:165" ht="15" customHeight="1" x14ac:dyDescent="0.15">
      <c r="FB151" s="63">
        <v>2</v>
      </c>
      <c r="FC151" s="64">
        <v>16</v>
      </c>
      <c r="FD151" s="64" t="e">
        <f>#REF!</f>
        <v>#REF!</v>
      </c>
      <c r="FE151" s="64" t="e">
        <f>#REF!</f>
        <v>#REF!</v>
      </c>
      <c r="FF151" s="64" t="e">
        <f>#REF!</f>
        <v>#REF!</v>
      </c>
      <c r="FG151" s="64" t="e">
        <f>#REF!</f>
        <v>#REF!</v>
      </c>
      <c r="FH151" s="64" t="e">
        <f>#REF!</f>
        <v>#REF!</v>
      </c>
      <c r="FI151" s="64" t="e">
        <f>#REF!</f>
        <v>#REF!</v>
      </c>
    </row>
    <row r="152" spans="158:165" ht="15" customHeight="1" x14ac:dyDescent="0.15">
      <c r="FB152" s="63">
        <v>2</v>
      </c>
      <c r="FC152" s="64">
        <v>17</v>
      </c>
      <c r="FD152" s="64" t="e">
        <f>#REF!</f>
        <v>#REF!</v>
      </c>
      <c r="FE152" s="64" t="e">
        <f>#REF!</f>
        <v>#REF!</v>
      </c>
      <c r="FF152" s="64" t="e">
        <f>#REF!</f>
        <v>#REF!</v>
      </c>
      <c r="FG152" s="64" t="e">
        <f>#REF!</f>
        <v>#REF!</v>
      </c>
      <c r="FH152" s="64" t="e">
        <f>#REF!</f>
        <v>#REF!</v>
      </c>
      <c r="FI152" s="64" t="e">
        <f>#REF!</f>
        <v>#REF!</v>
      </c>
    </row>
    <row r="153" spans="158:165" ht="15" customHeight="1" x14ac:dyDescent="0.15">
      <c r="FB153" s="63">
        <v>2</v>
      </c>
      <c r="FC153" s="64">
        <v>18</v>
      </c>
      <c r="FD153" s="64" t="e">
        <f>#REF!</f>
        <v>#REF!</v>
      </c>
      <c r="FE153" s="64" t="e">
        <f>#REF!</f>
        <v>#REF!</v>
      </c>
      <c r="FF153" s="64" t="e">
        <f>#REF!</f>
        <v>#REF!</v>
      </c>
      <c r="FG153" s="64" t="e">
        <f>#REF!</f>
        <v>#REF!</v>
      </c>
      <c r="FH153" s="64" t="e">
        <f>#REF!</f>
        <v>#REF!</v>
      </c>
      <c r="FI153" s="64" t="e">
        <f>#REF!</f>
        <v>#REF!</v>
      </c>
    </row>
    <row r="154" spans="158:165" ht="15" customHeight="1" x14ac:dyDescent="0.15">
      <c r="FB154" s="63">
        <v>2</v>
      </c>
      <c r="FC154" s="64">
        <v>19</v>
      </c>
      <c r="FD154" s="64" t="e">
        <f>#REF!</f>
        <v>#REF!</v>
      </c>
      <c r="FE154" s="64" t="e">
        <f>#REF!</f>
        <v>#REF!</v>
      </c>
      <c r="FF154" s="64" t="e">
        <f>#REF!</f>
        <v>#REF!</v>
      </c>
      <c r="FG154" s="64" t="e">
        <f>#REF!</f>
        <v>#REF!</v>
      </c>
      <c r="FH154" s="64" t="e">
        <f>#REF!</f>
        <v>#REF!</v>
      </c>
      <c r="FI154" s="64" t="e">
        <f>#REF!</f>
        <v>#REF!</v>
      </c>
    </row>
    <row r="155" spans="158:165" ht="15" customHeight="1" x14ac:dyDescent="0.15">
      <c r="FB155" s="63">
        <v>2</v>
      </c>
      <c r="FC155" s="64">
        <v>20</v>
      </c>
      <c r="FD155" s="64" t="e">
        <f>#REF!</f>
        <v>#REF!</v>
      </c>
      <c r="FE155" s="64" t="e">
        <f>#REF!</f>
        <v>#REF!</v>
      </c>
      <c r="FF155" s="64" t="e">
        <f>#REF!</f>
        <v>#REF!</v>
      </c>
      <c r="FG155" s="64" t="e">
        <f>#REF!</f>
        <v>#REF!</v>
      </c>
      <c r="FH155" s="64" t="e">
        <f>#REF!</f>
        <v>#REF!</v>
      </c>
      <c r="FI155" s="64" t="e">
        <f>#REF!</f>
        <v>#REF!</v>
      </c>
    </row>
    <row r="156" spans="158:165" ht="15" customHeight="1" x14ac:dyDescent="0.15">
      <c r="FB156" s="63">
        <v>2</v>
      </c>
      <c r="FC156" s="64">
        <v>21</v>
      </c>
      <c r="FD156" s="64" t="e">
        <f>#REF!</f>
        <v>#REF!</v>
      </c>
      <c r="FE156" s="64" t="e">
        <f>#REF!</f>
        <v>#REF!</v>
      </c>
      <c r="FF156" s="64" t="e">
        <f>#REF!</f>
        <v>#REF!</v>
      </c>
      <c r="FG156" s="64" t="e">
        <f>#REF!</f>
        <v>#REF!</v>
      </c>
      <c r="FH156" s="64" t="e">
        <f>#REF!</f>
        <v>#REF!</v>
      </c>
      <c r="FI156" s="64" t="e">
        <f>#REF!</f>
        <v>#REF!</v>
      </c>
    </row>
    <row r="157" spans="158:165" ht="15" customHeight="1" x14ac:dyDescent="0.15">
      <c r="FB157" s="63">
        <v>2</v>
      </c>
      <c r="FC157" s="64">
        <v>22</v>
      </c>
      <c r="FD157" s="64" t="e">
        <f>#REF!</f>
        <v>#REF!</v>
      </c>
      <c r="FE157" s="64" t="e">
        <f>#REF!</f>
        <v>#REF!</v>
      </c>
      <c r="FF157" s="64" t="e">
        <f>#REF!</f>
        <v>#REF!</v>
      </c>
      <c r="FG157" s="64" t="e">
        <f>#REF!</f>
        <v>#REF!</v>
      </c>
      <c r="FH157" s="64" t="e">
        <f>#REF!</f>
        <v>#REF!</v>
      </c>
      <c r="FI157" s="64" t="e">
        <f>#REF!</f>
        <v>#REF!</v>
      </c>
    </row>
    <row r="158" spans="158:165" ht="15" customHeight="1" x14ac:dyDescent="0.15">
      <c r="FB158" s="63">
        <v>2</v>
      </c>
      <c r="FC158" s="64">
        <v>23</v>
      </c>
      <c r="FD158" s="64" t="e">
        <f>#REF!</f>
        <v>#REF!</v>
      </c>
      <c r="FE158" s="64" t="e">
        <f>#REF!</f>
        <v>#REF!</v>
      </c>
      <c r="FF158" s="64" t="e">
        <f>#REF!</f>
        <v>#REF!</v>
      </c>
      <c r="FG158" s="64" t="e">
        <f>#REF!</f>
        <v>#REF!</v>
      </c>
      <c r="FH158" s="64" t="e">
        <f>#REF!</f>
        <v>#REF!</v>
      </c>
      <c r="FI158" s="64" t="e">
        <f>#REF!</f>
        <v>#REF!</v>
      </c>
    </row>
    <row r="159" spans="158:165" ht="15" customHeight="1" x14ac:dyDescent="0.15">
      <c r="FB159" s="63">
        <v>3</v>
      </c>
      <c r="FC159" s="64">
        <v>1</v>
      </c>
      <c r="FD159" s="64" t="e">
        <f>#REF!</f>
        <v>#REF!</v>
      </c>
      <c r="FE159" s="64" t="e">
        <f>#REF!</f>
        <v>#REF!</v>
      </c>
      <c r="FF159" s="64" t="e">
        <f>#REF!</f>
        <v>#REF!</v>
      </c>
      <c r="FG159" s="64" t="e">
        <f>#REF!</f>
        <v>#REF!</v>
      </c>
      <c r="FH159" s="64" t="e">
        <f>#REF!</f>
        <v>#REF!</v>
      </c>
      <c r="FI159" s="64" t="e">
        <f>#REF!</f>
        <v>#REF!</v>
      </c>
    </row>
    <row r="160" spans="158:165" ht="15" customHeight="1" x14ac:dyDescent="0.15">
      <c r="FB160" s="63">
        <v>3</v>
      </c>
      <c r="FC160" s="64">
        <v>2</v>
      </c>
      <c r="FD160" s="64" t="e">
        <f>#REF!</f>
        <v>#REF!</v>
      </c>
      <c r="FE160" s="64" t="e">
        <f>#REF!</f>
        <v>#REF!</v>
      </c>
      <c r="FF160" s="64" t="e">
        <f>#REF!</f>
        <v>#REF!</v>
      </c>
      <c r="FG160" s="64" t="e">
        <f>#REF!</f>
        <v>#REF!</v>
      </c>
      <c r="FH160" s="64" t="e">
        <f>#REF!</f>
        <v>#REF!</v>
      </c>
      <c r="FI160" s="64" t="e">
        <f>#REF!</f>
        <v>#REF!</v>
      </c>
    </row>
    <row r="161" spans="16:165" ht="15" customHeight="1" x14ac:dyDescent="0.15">
      <c r="FB161" s="63">
        <v>3</v>
      </c>
      <c r="FC161" s="64">
        <v>3</v>
      </c>
      <c r="FD161" s="64" t="e">
        <f>#REF!</f>
        <v>#REF!</v>
      </c>
      <c r="FE161" s="64" t="e">
        <f>#REF!</f>
        <v>#REF!</v>
      </c>
      <c r="FF161" s="64" t="e">
        <f>#REF!</f>
        <v>#REF!</v>
      </c>
      <c r="FG161" s="64" t="e">
        <f>#REF!</f>
        <v>#REF!</v>
      </c>
      <c r="FH161" s="64" t="e">
        <f>#REF!</f>
        <v>#REF!</v>
      </c>
      <c r="FI161" s="64" t="e">
        <f>#REF!</f>
        <v>#REF!</v>
      </c>
    </row>
    <row r="162" spans="16:165" ht="15" customHeight="1" x14ac:dyDescent="0.15">
      <c r="FB162" s="63">
        <v>3</v>
      </c>
      <c r="FC162" s="64">
        <v>4</v>
      </c>
      <c r="FD162" s="64" t="e">
        <f>#REF!</f>
        <v>#REF!</v>
      </c>
      <c r="FE162" s="64" t="e">
        <f>#REF!</f>
        <v>#REF!</v>
      </c>
      <c r="FF162" s="64" t="e">
        <f>#REF!</f>
        <v>#REF!</v>
      </c>
      <c r="FG162" s="64" t="e">
        <f>#REF!</f>
        <v>#REF!</v>
      </c>
      <c r="FH162" s="64" t="e">
        <f>#REF!</f>
        <v>#REF!</v>
      </c>
      <c r="FI162" s="64" t="e">
        <f>#REF!</f>
        <v>#REF!</v>
      </c>
    </row>
    <row r="163" spans="16:165" ht="15" customHeight="1" x14ac:dyDescent="0.15">
      <c r="FB163" s="63">
        <v>3</v>
      </c>
      <c r="FC163" s="64">
        <v>5</v>
      </c>
      <c r="FD163" s="64" t="e">
        <f>#REF!</f>
        <v>#REF!</v>
      </c>
      <c r="FE163" s="64" t="e">
        <f>#REF!</f>
        <v>#REF!</v>
      </c>
      <c r="FF163" s="64" t="e">
        <f>#REF!</f>
        <v>#REF!</v>
      </c>
      <c r="FG163" s="64" t="e">
        <f>#REF!</f>
        <v>#REF!</v>
      </c>
      <c r="FH163" s="64" t="e">
        <f>#REF!</f>
        <v>#REF!</v>
      </c>
      <c r="FI163" s="64" t="e">
        <f>#REF!</f>
        <v>#REF!</v>
      </c>
    </row>
    <row r="164" spans="16:165" ht="15" customHeight="1" x14ac:dyDescent="0.15">
      <c r="FB164" s="63">
        <v>3</v>
      </c>
      <c r="FC164" s="64">
        <v>6</v>
      </c>
      <c r="FD164" s="64" t="e">
        <f>#REF!</f>
        <v>#REF!</v>
      </c>
      <c r="FE164" s="64" t="e">
        <f>#REF!</f>
        <v>#REF!</v>
      </c>
      <c r="FF164" s="64" t="e">
        <f>#REF!</f>
        <v>#REF!</v>
      </c>
      <c r="FG164" s="64" t="e">
        <f>#REF!</f>
        <v>#REF!</v>
      </c>
      <c r="FH164" s="64" t="e">
        <f>#REF!</f>
        <v>#REF!</v>
      </c>
      <c r="FI164" s="64" t="e">
        <f>#REF!</f>
        <v>#REF!</v>
      </c>
    </row>
    <row r="165" spans="16:165" ht="15" customHeight="1" x14ac:dyDescent="0.15">
      <c r="FB165" s="63">
        <v>3</v>
      </c>
      <c r="FC165" s="64">
        <v>7</v>
      </c>
      <c r="FD165" s="64" t="e">
        <f>#REF!</f>
        <v>#REF!</v>
      </c>
      <c r="FE165" s="64" t="e">
        <f>#REF!</f>
        <v>#REF!</v>
      </c>
      <c r="FF165" s="64" t="e">
        <f>#REF!</f>
        <v>#REF!</v>
      </c>
      <c r="FG165" s="64" t="e">
        <f>#REF!</f>
        <v>#REF!</v>
      </c>
      <c r="FH165" s="64" t="e">
        <f>#REF!</f>
        <v>#REF!</v>
      </c>
      <c r="FI165" s="64" t="e">
        <f>#REF!</f>
        <v>#REF!</v>
      </c>
    </row>
    <row r="166" spans="16:165" ht="15" customHeight="1" x14ac:dyDescent="0.15">
      <c r="FB166" s="63">
        <v>3</v>
      </c>
      <c r="FC166" s="64">
        <v>8</v>
      </c>
      <c r="FD166" s="64" t="e">
        <f>#REF!</f>
        <v>#REF!</v>
      </c>
      <c r="FE166" s="64" t="e">
        <f>#REF!</f>
        <v>#REF!</v>
      </c>
      <c r="FF166" s="64" t="e">
        <f>#REF!</f>
        <v>#REF!</v>
      </c>
      <c r="FG166" s="64" t="e">
        <f>#REF!</f>
        <v>#REF!</v>
      </c>
      <c r="FH166" s="64" t="e">
        <f>#REF!</f>
        <v>#REF!</v>
      </c>
      <c r="FI166" s="64" t="e">
        <f>#REF!</f>
        <v>#REF!</v>
      </c>
    </row>
    <row r="167" spans="16:165" ht="15" customHeight="1" x14ac:dyDescent="0.15">
      <c r="FB167" s="63">
        <v>3</v>
      </c>
      <c r="FC167" s="64">
        <v>9</v>
      </c>
      <c r="FD167" s="64" t="e">
        <f>#REF!</f>
        <v>#REF!</v>
      </c>
      <c r="FE167" s="64" t="e">
        <f>#REF!</f>
        <v>#REF!</v>
      </c>
      <c r="FF167" s="64" t="e">
        <f>#REF!</f>
        <v>#REF!</v>
      </c>
      <c r="FG167" s="64" t="e">
        <f>#REF!</f>
        <v>#REF!</v>
      </c>
      <c r="FH167" s="64" t="e">
        <f>#REF!</f>
        <v>#REF!</v>
      </c>
      <c r="FI167" s="64" t="e">
        <f>#REF!</f>
        <v>#REF!</v>
      </c>
    </row>
    <row r="168" spans="16:165" ht="15" customHeight="1" x14ac:dyDescent="0.15">
      <c r="FB168" s="63">
        <v>3</v>
      </c>
      <c r="FC168" s="64">
        <v>10</v>
      </c>
      <c r="FD168" s="64" t="e">
        <f>#REF!</f>
        <v>#REF!</v>
      </c>
      <c r="FE168" s="64" t="e">
        <f>#REF!</f>
        <v>#REF!</v>
      </c>
      <c r="FF168" s="64" t="e">
        <f>#REF!</f>
        <v>#REF!</v>
      </c>
      <c r="FG168" s="64" t="e">
        <f>#REF!</f>
        <v>#REF!</v>
      </c>
      <c r="FH168" s="64" t="e">
        <f>#REF!</f>
        <v>#REF!</v>
      </c>
      <c r="FI168" s="64" t="e">
        <f>#REF!</f>
        <v>#REF!</v>
      </c>
    </row>
    <row r="169" spans="16:165" ht="15" customHeight="1" x14ac:dyDescent="0.15">
      <c r="FB169" s="63">
        <v>3</v>
      </c>
      <c r="FC169" s="64">
        <v>11</v>
      </c>
      <c r="FD169" s="64" t="e">
        <f>#REF!</f>
        <v>#REF!</v>
      </c>
      <c r="FE169" s="64" t="e">
        <f>#REF!</f>
        <v>#REF!</v>
      </c>
      <c r="FF169" s="64" t="e">
        <f>#REF!</f>
        <v>#REF!</v>
      </c>
      <c r="FG169" s="64" t="e">
        <f>#REF!</f>
        <v>#REF!</v>
      </c>
      <c r="FH169" s="64" t="e">
        <f>#REF!</f>
        <v>#REF!</v>
      </c>
      <c r="FI169" s="64" t="e">
        <f>#REF!</f>
        <v>#REF!</v>
      </c>
    </row>
    <row r="170" spans="16:165" ht="15" customHeight="1" x14ac:dyDescent="0.15">
      <c r="FB170" s="63">
        <v>3</v>
      </c>
      <c r="FC170" s="64">
        <v>12</v>
      </c>
      <c r="FD170" s="64" t="e">
        <f>#REF!</f>
        <v>#REF!</v>
      </c>
      <c r="FE170" s="64" t="e">
        <f>#REF!</f>
        <v>#REF!</v>
      </c>
      <c r="FF170" s="64" t="e">
        <f>#REF!</f>
        <v>#REF!</v>
      </c>
      <c r="FG170" s="64" t="e">
        <f>#REF!</f>
        <v>#REF!</v>
      </c>
      <c r="FH170" s="64" t="e">
        <f>#REF!</f>
        <v>#REF!</v>
      </c>
      <c r="FI170" s="64" t="e">
        <f>#REF!</f>
        <v>#REF!</v>
      </c>
    </row>
    <row r="171" spans="16:165" ht="15" customHeight="1" x14ac:dyDescent="0.15">
      <c r="FB171" s="63">
        <v>3</v>
      </c>
      <c r="FC171" s="64">
        <v>13</v>
      </c>
      <c r="FD171" s="64" t="e">
        <f>#REF!</f>
        <v>#REF!</v>
      </c>
      <c r="FE171" s="64" t="e">
        <f>#REF!</f>
        <v>#REF!</v>
      </c>
      <c r="FF171" s="64" t="e">
        <f>#REF!</f>
        <v>#REF!</v>
      </c>
      <c r="FG171" s="64" t="e">
        <f>#REF!</f>
        <v>#REF!</v>
      </c>
      <c r="FH171" s="64" t="e">
        <f>#REF!</f>
        <v>#REF!</v>
      </c>
      <c r="FI171" s="64" t="e">
        <f>#REF!</f>
        <v>#REF!</v>
      </c>
    </row>
    <row r="172" spans="16:165" ht="15" customHeight="1" x14ac:dyDescent="0.15">
      <c r="FB172" s="63">
        <v>3</v>
      </c>
      <c r="FC172" s="64">
        <v>14</v>
      </c>
      <c r="FD172" s="64" t="e">
        <f>#REF!</f>
        <v>#REF!</v>
      </c>
      <c r="FE172" s="64" t="e">
        <f>#REF!</f>
        <v>#REF!</v>
      </c>
      <c r="FF172" s="64" t="e">
        <f>#REF!</f>
        <v>#REF!</v>
      </c>
      <c r="FG172" s="64" t="e">
        <f>#REF!</f>
        <v>#REF!</v>
      </c>
      <c r="FH172" s="64" t="e">
        <f>#REF!</f>
        <v>#REF!</v>
      </c>
      <c r="FI172" s="64" t="e">
        <f>#REF!</f>
        <v>#REF!</v>
      </c>
    </row>
    <row r="173" spans="16:165" ht="15" customHeight="1" x14ac:dyDescent="0.15">
      <c r="P173" s="30"/>
      <c r="Q173" s="30"/>
      <c r="R173" s="30"/>
      <c r="S173" s="30"/>
      <c r="T173" s="30"/>
      <c r="U173" s="30"/>
      <c r="V173" s="30"/>
      <c r="W173" s="30"/>
      <c r="FB173" s="63">
        <v>3</v>
      </c>
      <c r="FC173" s="64">
        <v>15</v>
      </c>
      <c r="FD173" s="64" t="e">
        <f>#REF!</f>
        <v>#REF!</v>
      </c>
      <c r="FE173" s="64" t="e">
        <f>#REF!</f>
        <v>#REF!</v>
      </c>
      <c r="FF173" s="64" t="e">
        <f>#REF!</f>
        <v>#REF!</v>
      </c>
      <c r="FG173" s="64" t="e">
        <f>#REF!</f>
        <v>#REF!</v>
      </c>
      <c r="FH173" s="64" t="e">
        <f>#REF!</f>
        <v>#REF!</v>
      </c>
      <c r="FI173" s="64" t="e">
        <f>#REF!</f>
        <v>#REF!</v>
      </c>
    </row>
    <row r="174" spans="16:165" ht="15" customHeight="1" x14ac:dyDescent="0.15">
      <c r="P174" s="30">
        <v>0</v>
      </c>
      <c r="Q174" s="30">
        <v>15</v>
      </c>
      <c r="R174" s="30">
        <v>32</v>
      </c>
      <c r="S174" s="30">
        <v>117</v>
      </c>
      <c r="T174" s="30">
        <v>41</v>
      </c>
      <c r="U174" s="30">
        <v>124</v>
      </c>
      <c r="V174" s="30"/>
      <c r="W174" s="30"/>
      <c r="FB174" s="63">
        <v>3</v>
      </c>
      <c r="FC174" s="64">
        <v>16</v>
      </c>
      <c r="FD174" s="64" t="e">
        <f>#REF!</f>
        <v>#REF!</v>
      </c>
      <c r="FE174" s="64" t="e">
        <f>#REF!</f>
        <v>#REF!</v>
      </c>
      <c r="FF174" s="64" t="e">
        <f>#REF!</f>
        <v>#REF!</v>
      </c>
      <c r="FG174" s="64" t="e">
        <f>#REF!</f>
        <v>#REF!</v>
      </c>
      <c r="FH174" s="64" t="e">
        <f>#REF!</f>
        <v>#REF!</v>
      </c>
      <c r="FI174" s="64" t="e">
        <f>#REF!</f>
        <v>#REF!</v>
      </c>
    </row>
    <row r="175" spans="16:165" ht="15" customHeight="1" x14ac:dyDescent="0.15">
      <c r="P175" s="30"/>
      <c r="Q175" s="30"/>
      <c r="R175" s="30"/>
      <c r="S175" s="30"/>
      <c r="T175" s="30"/>
      <c r="U175" s="30"/>
      <c r="V175" s="30"/>
      <c r="W175" s="30"/>
      <c r="FB175" s="63">
        <v>3</v>
      </c>
      <c r="FC175" s="64">
        <v>17</v>
      </c>
      <c r="FD175" s="64" t="e">
        <f>#REF!</f>
        <v>#REF!</v>
      </c>
      <c r="FE175" s="64" t="e">
        <f>#REF!</f>
        <v>#REF!</v>
      </c>
      <c r="FF175" s="64" t="e">
        <f>#REF!</f>
        <v>#REF!</v>
      </c>
      <c r="FG175" s="64" t="e">
        <f>#REF!</f>
        <v>#REF!</v>
      </c>
      <c r="FH175" s="64" t="e">
        <f>#REF!</f>
        <v>#REF!</v>
      </c>
      <c r="FI175" s="64" t="e">
        <f>#REF!</f>
        <v>#REF!</v>
      </c>
    </row>
    <row r="176" spans="16:165" ht="15" customHeight="1" x14ac:dyDescent="0.15">
      <c r="P176" s="30" t="s">
        <v>91</v>
      </c>
      <c r="Q176" s="30"/>
      <c r="R176" s="30"/>
      <c r="S176" s="30"/>
      <c r="T176" s="30"/>
      <c r="U176" s="30"/>
      <c r="V176" s="30"/>
      <c r="W176" s="30"/>
      <c r="FB176" s="63">
        <v>3</v>
      </c>
      <c r="FC176" s="64">
        <v>18</v>
      </c>
      <c r="FD176" s="64" t="e">
        <f>#REF!</f>
        <v>#REF!</v>
      </c>
      <c r="FE176" s="64" t="e">
        <f>#REF!</f>
        <v>#REF!</v>
      </c>
      <c r="FF176" s="64" t="e">
        <f>#REF!</f>
        <v>#REF!</v>
      </c>
      <c r="FG176" s="64" t="e">
        <f>#REF!</f>
        <v>#REF!</v>
      </c>
      <c r="FH176" s="64" t="e">
        <f>#REF!</f>
        <v>#REF!</v>
      </c>
      <c r="FI176" s="64" t="e">
        <f>#REF!</f>
        <v>#REF!</v>
      </c>
    </row>
    <row r="177" spans="1:165" ht="15" customHeight="1" x14ac:dyDescent="0.15"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FB177" s="63">
        <v>3</v>
      </c>
      <c r="FC177" s="64">
        <v>19</v>
      </c>
      <c r="FD177" s="64" t="e">
        <f>#REF!</f>
        <v>#REF!</v>
      </c>
      <c r="FE177" s="64" t="e">
        <f>#REF!</f>
        <v>#REF!</v>
      </c>
      <c r="FF177" s="64" t="e">
        <f>#REF!</f>
        <v>#REF!</v>
      </c>
      <c r="FG177" s="64" t="e">
        <f>#REF!</f>
        <v>#REF!</v>
      </c>
      <c r="FH177" s="64" t="e">
        <f>#REF!</f>
        <v>#REF!</v>
      </c>
      <c r="FI177" s="64" t="e">
        <f>#REF!</f>
        <v>#REF!</v>
      </c>
    </row>
    <row r="178" spans="1:165" ht="15" customHeight="1" x14ac:dyDescent="0.15">
      <c r="A178" s="29"/>
      <c r="P178" s="30"/>
      <c r="Q178" s="30"/>
      <c r="R178" s="30"/>
      <c r="S178" s="30"/>
      <c r="T178" s="30"/>
      <c r="U178" s="30"/>
      <c r="FB178" s="63">
        <v>3</v>
      </c>
      <c r="FC178" s="64">
        <v>20</v>
      </c>
      <c r="FD178" s="64" t="e">
        <f>#REF!</f>
        <v>#REF!</v>
      </c>
      <c r="FE178" s="64" t="e">
        <f>#REF!</f>
        <v>#REF!</v>
      </c>
      <c r="FF178" s="64" t="e">
        <f>#REF!</f>
        <v>#REF!</v>
      </c>
      <c r="FG178" s="64" t="e">
        <f>#REF!</f>
        <v>#REF!</v>
      </c>
      <c r="FH178" s="64" t="e">
        <f>#REF!</f>
        <v>#REF!</v>
      </c>
      <c r="FI178" s="64" t="e">
        <f>#REF!</f>
        <v>#REF!</v>
      </c>
    </row>
    <row r="179" spans="1:165" ht="15" customHeight="1" x14ac:dyDescent="0.15">
      <c r="P179" s="30"/>
      <c r="Q179" s="2"/>
      <c r="R179" s="2"/>
      <c r="S179" s="2"/>
      <c r="FB179" s="63">
        <v>3</v>
      </c>
      <c r="FC179" s="64">
        <v>21</v>
      </c>
      <c r="FD179" s="64" t="e">
        <f>#REF!</f>
        <v>#REF!</v>
      </c>
      <c r="FE179" s="64" t="e">
        <f>#REF!</f>
        <v>#REF!</v>
      </c>
      <c r="FF179" s="64" t="e">
        <f>#REF!</f>
        <v>#REF!</v>
      </c>
      <c r="FG179" s="64" t="e">
        <f>#REF!</f>
        <v>#REF!</v>
      </c>
      <c r="FH179" s="64" t="e">
        <f>#REF!</f>
        <v>#REF!</v>
      </c>
      <c r="FI179" s="64" t="e">
        <f>#REF!</f>
        <v>#REF!</v>
      </c>
    </row>
    <row r="180" spans="1:165" ht="15" customHeight="1" x14ac:dyDescent="0.15">
      <c r="FB180" s="63">
        <v>3</v>
      </c>
      <c r="FC180" s="64">
        <v>22</v>
      </c>
      <c r="FD180" s="64" t="e">
        <f>#REF!</f>
        <v>#REF!</v>
      </c>
      <c r="FE180" s="64" t="e">
        <f>#REF!</f>
        <v>#REF!</v>
      </c>
      <c r="FF180" s="64" t="e">
        <f>#REF!</f>
        <v>#REF!</v>
      </c>
      <c r="FG180" s="64" t="e">
        <f>#REF!</f>
        <v>#REF!</v>
      </c>
      <c r="FH180" s="64" t="e">
        <f>#REF!</f>
        <v>#REF!</v>
      </c>
      <c r="FI180" s="64" t="e">
        <f>#REF!</f>
        <v>#REF!</v>
      </c>
    </row>
    <row r="181" spans="1:165" ht="15" customHeight="1" x14ac:dyDescent="0.15">
      <c r="FB181" s="63">
        <v>3</v>
      </c>
      <c r="FC181" s="64">
        <v>23</v>
      </c>
      <c r="FD181" s="64" t="e">
        <f>#REF!</f>
        <v>#REF!</v>
      </c>
      <c r="FE181" s="64" t="e">
        <f>#REF!</f>
        <v>#REF!</v>
      </c>
      <c r="FF181" s="64" t="e">
        <f>#REF!</f>
        <v>#REF!</v>
      </c>
      <c r="FG181" s="64" t="e">
        <f>#REF!</f>
        <v>#REF!</v>
      </c>
      <c r="FH181" s="64" t="e">
        <f>#REF!</f>
        <v>#REF!</v>
      </c>
      <c r="FI181" s="64" t="e">
        <f>#REF!</f>
        <v>#REF!</v>
      </c>
    </row>
    <row r="182" spans="1:165" ht="15" customHeight="1" x14ac:dyDescent="0.15">
      <c r="FB182" s="63"/>
      <c r="FC182" s="64"/>
      <c r="FD182" s="64"/>
      <c r="FE182" s="64"/>
      <c r="FF182" s="64"/>
      <c r="FG182" s="64"/>
      <c r="FH182" s="64"/>
      <c r="FI182" s="64"/>
    </row>
    <row r="183" spans="1:165" ht="15" customHeight="1" x14ac:dyDescent="0.15">
      <c r="FB183" s="63"/>
      <c r="FC183" s="64"/>
      <c r="FD183" s="64"/>
      <c r="FE183" s="64"/>
      <c r="FF183" s="64"/>
      <c r="FG183" s="64"/>
      <c r="FH183" s="64"/>
      <c r="FI183" s="64"/>
    </row>
    <row r="184" spans="1:165" ht="15" customHeight="1" x14ac:dyDescent="0.15">
      <c r="FB184" s="63"/>
      <c r="FC184" s="64"/>
      <c r="FD184" s="64"/>
      <c r="FE184" s="64"/>
      <c r="FF184" s="64"/>
      <c r="FG184" s="64"/>
      <c r="FH184" s="64"/>
      <c r="FI184" s="64"/>
    </row>
    <row r="185" spans="1:165" ht="15" customHeight="1" x14ac:dyDescent="0.15">
      <c r="FB185" s="63"/>
      <c r="FC185" s="64"/>
      <c r="FD185" s="64"/>
      <c r="FE185" s="64"/>
      <c r="FF185" s="64"/>
      <c r="FG185" s="64"/>
      <c r="FH185" s="64"/>
      <c r="FI185" s="64"/>
    </row>
    <row r="186" spans="1:165" ht="15" customHeight="1" x14ac:dyDescent="0.15">
      <c r="FB186" s="63"/>
      <c r="FC186" s="64"/>
      <c r="FD186" s="64"/>
      <c r="FE186" s="64"/>
      <c r="FF186" s="64"/>
      <c r="FG186" s="64"/>
      <c r="FH186" s="64"/>
      <c r="FI186" s="64"/>
    </row>
    <row r="187" spans="1:165" ht="15" customHeight="1" x14ac:dyDescent="0.15">
      <c r="FB187" s="63"/>
      <c r="FC187" s="64"/>
      <c r="FD187" s="64"/>
      <c r="FE187" s="64"/>
      <c r="FF187" s="64"/>
      <c r="FG187" s="64"/>
      <c r="FH187" s="64"/>
      <c r="FI187" s="64"/>
    </row>
    <row r="188" spans="1:165" ht="15" customHeight="1" x14ac:dyDescent="0.15">
      <c r="FB188" s="63"/>
      <c r="FC188" s="64"/>
      <c r="FD188" s="64"/>
      <c r="FE188" s="64"/>
      <c r="FF188" s="64"/>
      <c r="FG188" s="64"/>
      <c r="FH188" s="64"/>
      <c r="FI188" s="64"/>
    </row>
    <row r="189" spans="1:165" ht="15" customHeight="1" x14ac:dyDescent="0.15">
      <c r="FB189" s="63"/>
      <c r="FC189" s="64"/>
      <c r="FD189" s="64"/>
      <c r="FE189" s="64"/>
      <c r="FF189" s="64"/>
      <c r="FG189" s="64"/>
      <c r="FH189" s="64"/>
      <c r="FI189" s="64"/>
    </row>
    <row r="190" spans="1:165" ht="15" customHeight="1" x14ac:dyDescent="0.15">
      <c r="FB190" s="63"/>
      <c r="FC190" s="64"/>
      <c r="FD190" s="64"/>
      <c r="FE190" s="64"/>
      <c r="FF190" s="64"/>
      <c r="FG190" s="64"/>
      <c r="FH190" s="64"/>
      <c r="FI190" s="64"/>
    </row>
    <row r="191" spans="1:165" ht="15" customHeight="1" x14ac:dyDescent="0.15">
      <c r="FB191" s="63"/>
      <c r="FC191" s="64"/>
      <c r="FD191" s="64"/>
      <c r="FE191" s="64"/>
      <c r="FF191" s="64"/>
      <c r="FG191" s="64"/>
      <c r="FH191" s="64"/>
      <c r="FI191" s="64"/>
    </row>
    <row r="192" spans="1:165" ht="15" customHeight="1" x14ac:dyDescent="0.15">
      <c r="FB192" s="63"/>
      <c r="FC192" s="64"/>
      <c r="FD192" s="64"/>
      <c r="FE192" s="64"/>
      <c r="FF192" s="64"/>
      <c r="FG192" s="64"/>
      <c r="FH192" s="64"/>
      <c r="FI192" s="64"/>
    </row>
    <row r="193" spans="84:165" ht="15" customHeight="1" x14ac:dyDescent="0.15">
      <c r="FB193" s="63"/>
      <c r="FC193" s="64"/>
      <c r="FD193" s="64"/>
      <c r="FE193" s="64"/>
      <c r="FF193" s="64"/>
      <c r="FG193" s="64"/>
      <c r="FH193" s="64"/>
      <c r="FI193" s="64"/>
    </row>
    <row r="194" spans="84:165" ht="15" customHeight="1" x14ac:dyDescent="0.15">
      <c r="FB194" s="63"/>
      <c r="FC194" s="64"/>
      <c r="FD194" s="64"/>
      <c r="FE194" s="64"/>
      <c r="FF194" s="64"/>
      <c r="FG194" s="64"/>
      <c r="FH194" s="64"/>
      <c r="FI194" s="64"/>
    </row>
    <row r="195" spans="84:165" ht="15" customHeight="1" x14ac:dyDescent="0.15">
      <c r="FB195" s="63"/>
      <c r="FC195" s="64"/>
      <c r="FD195" s="64"/>
      <c r="FE195" s="64"/>
      <c r="FF195" s="64"/>
      <c r="FG195" s="64"/>
      <c r="FH195" s="64"/>
      <c r="FI195" s="64"/>
    </row>
    <row r="196" spans="84:165" ht="15" customHeight="1" x14ac:dyDescent="0.15">
      <c r="FB196" s="63"/>
      <c r="FC196" s="64"/>
      <c r="FD196" s="64"/>
      <c r="FE196" s="64"/>
      <c r="FF196" s="64"/>
      <c r="FG196" s="64"/>
      <c r="FH196" s="64"/>
      <c r="FI196" s="64"/>
    </row>
    <row r="197" spans="84:165" ht="15" customHeight="1" x14ac:dyDescent="0.15">
      <c r="FB197" s="63"/>
      <c r="FC197" s="64"/>
      <c r="FD197" s="64"/>
      <c r="FE197" s="64"/>
      <c r="FF197" s="64"/>
      <c r="FG197" s="64"/>
      <c r="FH197" s="64"/>
      <c r="FI197" s="64"/>
    </row>
    <row r="198" spans="84:165" ht="15" customHeight="1" x14ac:dyDescent="0.15">
      <c r="FB198" s="63"/>
      <c r="FC198" s="64"/>
      <c r="FD198" s="64"/>
      <c r="FE198" s="64"/>
      <c r="FF198" s="64"/>
      <c r="FG198" s="64"/>
      <c r="FH198" s="64"/>
      <c r="FI198" s="64"/>
    </row>
    <row r="199" spans="84:165" ht="15" customHeight="1" x14ac:dyDescent="0.15">
      <c r="FB199" s="63"/>
      <c r="FC199" s="64"/>
      <c r="FD199" s="64"/>
      <c r="FE199" s="64"/>
      <c r="FF199" s="64"/>
      <c r="FG199" s="64"/>
      <c r="FH199" s="64"/>
      <c r="FI199" s="64"/>
    </row>
    <row r="200" spans="84:165" ht="15" customHeight="1" x14ac:dyDescent="0.15">
      <c r="FB200" s="63"/>
      <c r="FC200" s="64"/>
      <c r="FD200" s="64"/>
      <c r="FE200" s="64"/>
      <c r="FF200" s="64"/>
      <c r="FG200" s="64"/>
      <c r="FH200" s="64"/>
      <c r="FI200" s="64"/>
    </row>
    <row r="201" spans="84:165" ht="15" customHeight="1" x14ac:dyDescent="0.15">
      <c r="CF201" s="61"/>
      <c r="FB201" s="63"/>
      <c r="FC201" s="64"/>
      <c r="FD201" s="64"/>
      <c r="FE201" s="64"/>
      <c r="FF201" s="64"/>
      <c r="FG201" s="64"/>
      <c r="FH201" s="64"/>
      <c r="FI201" s="64"/>
    </row>
    <row r="202" spans="84:165" ht="15" customHeight="1" x14ac:dyDescent="0.15">
      <c r="FB202" s="63"/>
      <c r="FC202" s="64"/>
      <c r="FD202" s="64"/>
      <c r="FE202" s="64"/>
      <c r="FF202" s="64"/>
      <c r="FG202" s="64"/>
      <c r="FH202" s="64"/>
      <c r="FI202" s="64"/>
    </row>
    <row r="203" spans="84:165" ht="15" customHeight="1" x14ac:dyDescent="0.15">
      <c r="FB203" s="63"/>
      <c r="FC203" s="64"/>
      <c r="FD203" s="64"/>
      <c r="FE203" s="64"/>
      <c r="FF203" s="64"/>
      <c r="FG203" s="64"/>
      <c r="FH203" s="64"/>
      <c r="FI203" s="64"/>
    </row>
    <row r="204" spans="84:165" ht="15" customHeight="1" x14ac:dyDescent="0.15">
      <c r="FB204" s="63"/>
      <c r="FC204" s="64"/>
      <c r="FD204" s="64"/>
      <c r="FE204" s="64"/>
      <c r="FF204" s="64"/>
      <c r="FG204" s="64"/>
      <c r="FH204" s="64"/>
      <c r="FI204" s="64"/>
    </row>
    <row r="205" spans="84:165" ht="15" customHeight="1" x14ac:dyDescent="0.15">
      <c r="FB205" s="63"/>
      <c r="FC205" s="64"/>
      <c r="FD205" s="64"/>
      <c r="FE205" s="64"/>
      <c r="FF205" s="64"/>
      <c r="FG205" s="64"/>
      <c r="FH205" s="64"/>
      <c r="FI205" s="64"/>
    </row>
    <row r="206" spans="84:165" ht="15" customHeight="1" x14ac:dyDescent="0.15">
      <c r="FB206" s="63"/>
      <c r="FC206" s="64"/>
      <c r="FD206" s="64"/>
      <c r="FE206" s="64"/>
      <c r="FF206" s="64"/>
      <c r="FG206" s="64"/>
      <c r="FH206" s="64"/>
      <c r="FI206" s="64"/>
    </row>
    <row r="207" spans="84:165" ht="15" customHeight="1" x14ac:dyDescent="0.15">
      <c r="FB207" s="63"/>
      <c r="FC207" s="64"/>
      <c r="FD207" s="64"/>
      <c r="FE207" s="64"/>
      <c r="FF207" s="64"/>
      <c r="FG207" s="64"/>
      <c r="FH207" s="64"/>
      <c r="FI207" s="64"/>
    </row>
    <row r="208" spans="84:165" ht="15" customHeight="1" x14ac:dyDescent="0.15">
      <c r="FB208" s="63"/>
      <c r="FC208" s="64"/>
      <c r="FD208" s="64"/>
      <c r="FE208" s="64"/>
      <c r="FF208" s="64"/>
      <c r="FG208" s="64"/>
      <c r="FH208" s="64"/>
      <c r="FI208" s="64"/>
    </row>
    <row r="209" spans="158:165" ht="15" customHeight="1" x14ac:dyDescent="0.15">
      <c r="FB209" s="63"/>
      <c r="FC209" s="64"/>
      <c r="FD209" s="64"/>
      <c r="FE209" s="64"/>
      <c r="FF209" s="64"/>
      <c r="FG209" s="64"/>
      <c r="FH209" s="64"/>
      <c r="FI209" s="64"/>
    </row>
    <row r="210" spans="158:165" ht="15" customHeight="1" x14ac:dyDescent="0.15">
      <c r="FB210" s="63"/>
      <c r="FC210" s="64"/>
      <c r="FD210" s="64"/>
      <c r="FE210" s="64"/>
      <c r="FF210" s="64"/>
      <c r="FG210" s="64"/>
      <c r="FH210" s="64"/>
      <c r="FI210" s="64"/>
    </row>
    <row r="211" spans="158:165" ht="15" customHeight="1" x14ac:dyDescent="0.15">
      <c r="FB211" s="63"/>
      <c r="FC211" s="64"/>
      <c r="FD211" s="64"/>
      <c r="FE211" s="64"/>
      <c r="FF211" s="64"/>
      <c r="FG211" s="64"/>
      <c r="FH211" s="64"/>
      <c r="FI211" s="64"/>
    </row>
    <row r="212" spans="158:165" ht="15" customHeight="1" x14ac:dyDescent="0.15">
      <c r="FB212" s="63"/>
      <c r="FC212" s="64"/>
      <c r="FD212" s="64"/>
      <c r="FE212" s="64"/>
      <c r="FF212" s="64"/>
      <c r="FG212" s="64"/>
      <c r="FH212" s="64"/>
      <c r="FI212" s="64"/>
    </row>
    <row r="213" spans="158:165" ht="15" customHeight="1" x14ac:dyDescent="0.15">
      <c r="FB213" s="63"/>
      <c r="FC213" s="64"/>
      <c r="FD213" s="64"/>
      <c r="FE213" s="64"/>
      <c r="FF213" s="64"/>
      <c r="FG213" s="64"/>
      <c r="FH213" s="64"/>
      <c r="FI213" s="64"/>
    </row>
    <row r="214" spans="158:165" ht="15" customHeight="1" x14ac:dyDescent="0.15">
      <c r="FB214" s="63"/>
      <c r="FC214" s="64"/>
      <c r="FD214" s="64"/>
      <c r="FE214" s="64"/>
      <c r="FF214" s="64"/>
      <c r="FG214" s="64"/>
      <c r="FH214" s="64"/>
      <c r="FI214" s="64"/>
    </row>
    <row r="215" spans="158:165" ht="15" customHeight="1" x14ac:dyDescent="0.15">
      <c r="FB215" s="63"/>
      <c r="FC215" s="64"/>
      <c r="FD215" s="64"/>
      <c r="FE215" s="64"/>
      <c r="FF215" s="64"/>
      <c r="FG215" s="64"/>
      <c r="FH215" s="64"/>
      <c r="FI215" s="64"/>
    </row>
    <row r="216" spans="158:165" ht="15" customHeight="1" x14ac:dyDescent="0.15">
      <c r="FB216" s="63"/>
      <c r="FC216" s="64"/>
      <c r="FD216" s="64"/>
      <c r="FE216" s="64"/>
      <c r="FF216" s="64"/>
      <c r="FG216" s="64"/>
      <c r="FH216" s="64"/>
      <c r="FI216" s="64"/>
    </row>
    <row r="217" spans="158:165" ht="15" customHeight="1" x14ac:dyDescent="0.15">
      <c r="FB217" s="63"/>
      <c r="FC217" s="64"/>
      <c r="FD217" s="64"/>
      <c r="FE217" s="64"/>
      <c r="FF217" s="64"/>
      <c r="FG217" s="64"/>
      <c r="FH217" s="64"/>
      <c r="FI217" s="64"/>
    </row>
    <row r="218" spans="158:165" ht="15" customHeight="1" x14ac:dyDescent="0.15">
      <c r="FB218" s="63"/>
      <c r="FC218" s="64"/>
      <c r="FD218" s="64"/>
      <c r="FE218" s="64"/>
      <c r="FF218" s="64"/>
      <c r="FG218" s="64"/>
      <c r="FH218" s="64"/>
      <c r="FI218" s="64"/>
    </row>
    <row r="219" spans="158:165" ht="15" customHeight="1" x14ac:dyDescent="0.15">
      <c r="FB219" s="63"/>
      <c r="FC219" s="64"/>
      <c r="FD219" s="64"/>
      <c r="FE219" s="64"/>
      <c r="FF219" s="64"/>
      <c r="FG219" s="64"/>
      <c r="FH219" s="64"/>
      <c r="FI219" s="64"/>
    </row>
    <row r="220" spans="158:165" ht="15" customHeight="1" x14ac:dyDescent="0.15">
      <c r="FB220" s="63"/>
      <c r="FC220" s="64"/>
      <c r="FD220" s="64"/>
      <c r="FE220" s="64"/>
      <c r="FF220" s="64"/>
      <c r="FG220" s="64"/>
      <c r="FH220" s="64"/>
      <c r="FI220" s="64"/>
    </row>
    <row r="221" spans="158:165" ht="15" customHeight="1" x14ac:dyDescent="0.15">
      <c r="FB221" s="63"/>
      <c r="FC221" s="64"/>
      <c r="FD221" s="64"/>
      <c r="FE221" s="64"/>
      <c r="FF221" s="64"/>
      <c r="FG221" s="64"/>
      <c r="FH221" s="64"/>
      <c r="FI221" s="64"/>
    </row>
    <row r="222" spans="158:165" ht="15" customHeight="1" x14ac:dyDescent="0.15">
      <c r="FB222" s="63"/>
      <c r="FC222" s="64"/>
      <c r="FD222" s="64"/>
      <c r="FE222" s="64"/>
      <c r="FF222" s="64"/>
      <c r="FG222" s="64"/>
      <c r="FH222" s="64"/>
      <c r="FI222" s="64"/>
    </row>
    <row r="223" spans="158:165" ht="15" customHeight="1" x14ac:dyDescent="0.15">
      <c r="FB223" s="63"/>
      <c r="FC223" s="64"/>
      <c r="FD223" s="64"/>
      <c r="FE223" s="64"/>
      <c r="FF223" s="64"/>
      <c r="FG223" s="64"/>
      <c r="FH223" s="64"/>
      <c r="FI223" s="64"/>
    </row>
    <row r="224" spans="158:165" ht="15" customHeight="1" x14ac:dyDescent="0.15">
      <c r="FB224" s="63"/>
      <c r="FC224" s="64"/>
      <c r="FD224" s="64"/>
      <c r="FE224" s="64"/>
      <c r="FF224" s="64"/>
      <c r="FG224" s="64"/>
      <c r="FH224" s="64"/>
      <c r="FI224" s="64"/>
    </row>
    <row r="225" spans="158:165" ht="15" customHeight="1" x14ac:dyDescent="0.15">
      <c r="FB225" s="63"/>
      <c r="FC225" s="64"/>
      <c r="FD225" s="64"/>
      <c r="FE225" s="64"/>
      <c r="FF225" s="64"/>
      <c r="FG225" s="64"/>
      <c r="FH225" s="64"/>
      <c r="FI225" s="64"/>
    </row>
    <row r="226" spans="158:165" ht="15" customHeight="1" x14ac:dyDescent="0.15">
      <c r="FB226" s="63"/>
      <c r="FC226" s="64"/>
      <c r="FD226" s="64"/>
      <c r="FE226" s="64"/>
      <c r="FF226" s="64"/>
      <c r="FG226" s="64"/>
      <c r="FH226" s="64"/>
      <c r="FI226" s="64"/>
    </row>
    <row r="227" spans="158:165" ht="15" customHeight="1" x14ac:dyDescent="0.15">
      <c r="FB227" s="63"/>
      <c r="FC227" s="64"/>
      <c r="FD227" s="64"/>
      <c r="FE227" s="64"/>
      <c r="FF227" s="64"/>
      <c r="FG227" s="64"/>
      <c r="FH227" s="64"/>
      <c r="FI227" s="64"/>
    </row>
    <row r="228" spans="158:165" ht="15" customHeight="1" x14ac:dyDescent="0.15">
      <c r="FB228" s="63"/>
      <c r="FC228" s="64"/>
      <c r="FD228" s="64"/>
      <c r="FE228" s="64"/>
      <c r="FF228" s="64"/>
      <c r="FG228" s="64"/>
      <c r="FH228" s="64"/>
      <c r="FI228" s="64"/>
    </row>
    <row r="229" spans="158:165" ht="15" customHeight="1" x14ac:dyDescent="0.15">
      <c r="FB229" s="63"/>
      <c r="FC229" s="64"/>
      <c r="FD229" s="64"/>
      <c r="FE229" s="64"/>
      <c r="FF229" s="64"/>
      <c r="FG229" s="64"/>
      <c r="FH229" s="64"/>
      <c r="FI229" s="64"/>
    </row>
    <row r="230" spans="158:165" ht="15" customHeight="1" x14ac:dyDescent="0.15">
      <c r="FB230" s="63"/>
      <c r="FC230" s="64"/>
      <c r="FD230" s="64"/>
      <c r="FE230" s="64"/>
      <c r="FF230" s="64"/>
      <c r="FG230" s="64"/>
      <c r="FH230" s="64"/>
      <c r="FI230" s="64"/>
    </row>
    <row r="231" spans="158:165" ht="15" customHeight="1" x14ac:dyDescent="0.15">
      <c r="FB231" s="63"/>
      <c r="FC231" s="64"/>
      <c r="FD231" s="64"/>
      <c r="FE231" s="64"/>
      <c r="FF231" s="64"/>
      <c r="FG231" s="64"/>
      <c r="FH231" s="64"/>
      <c r="FI231" s="64"/>
    </row>
    <row r="232" spans="158:165" ht="15" customHeight="1" x14ac:dyDescent="0.15">
      <c r="FB232" s="63"/>
      <c r="FC232" s="64"/>
      <c r="FD232" s="64"/>
      <c r="FE232" s="64"/>
      <c r="FF232" s="64"/>
      <c r="FG232" s="64"/>
      <c r="FH232" s="64"/>
      <c r="FI232" s="64"/>
    </row>
    <row r="233" spans="158:165" ht="15" customHeight="1" x14ac:dyDescent="0.15">
      <c r="FB233" s="63"/>
      <c r="FC233" s="64"/>
      <c r="FD233" s="64"/>
      <c r="FE233" s="64"/>
      <c r="FF233" s="64"/>
      <c r="FG233" s="64"/>
      <c r="FH233" s="64"/>
      <c r="FI233" s="64"/>
    </row>
    <row r="234" spans="158:165" ht="15" customHeight="1" x14ac:dyDescent="0.15">
      <c r="FB234" s="63"/>
      <c r="FC234" s="64"/>
      <c r="FD234" s="64"/>
      <c r="FE234" s="64"/>
      <c r="FF234" s="64"/>
      <c r="FG234" s="64"/>
      <c r="FH234" s="64"/>
      <c r="FI234" s="64"/>
    </row>
    <row r="235" spans="158:165" ht="15" customHeight="1" x14ac:dyDescent="0.15">
      <c r="FB235" s="63"/>
      <c r="FC235" s="64"/>
      <c r="FD235" s="64"/>
      <c r="FE235" s="64"/>
      <c r="FF235" s="64"/>
      <c r="FG235" s="64"/>
      <c r="FH235" s="64"/>
      <c r="FI235" s="64"/>
    </row>
    <row r="236" spans="158:165" ht="15" customHeight="1" x14ac:dyDescent="0.15">
      <c r="FB236" s="63"/>
      <c r="FC236" s="64"/>
      <c r="FD236" s="64"/>
      <c r="FE236" s="64"/>
      <c r="FF236" s="64"/>
      <c r="FG236" s="64"/>
      <c r="FH236" s="64"/>
      <c r="FI236" s="64"/>
    </row>
    <row r="237" spans="158:165" ht="15" customHeight="1" x14ac:dyDescent="0.15">
      <c r="FB237" s="63"/>
      <c r="FC237" s="64"/>
      <c r="FD237" s="64"/>
      <c r="FE237" s="64"/>
      <c r="FF237" s="64"/>
      <c r="FG237" s="64"/>
      <c r="FH237" s="64"/>
      <c r="FI237" s="64"/>
    </row>
    <row r="238" spans="158:165" ht="15" customHeight="1" x14ac:dyDescent="0.15">
      <c r="FB238" s="63"/>
      <c r="FC238" s="64"/>
      <c r="FD238" s="64"/>
      <c r="FE238" s="64"/>
      <c r="FF238" s="64"/>
      <c r="FG238" s="64"/>
      <c r="FH238" s="64"/>
      <c r="FI238" s="64"/>
    </row>
    <row r="239" spans="158:165" ht="15" customHeight="1" x14ac:dyDescent="0.15">
      <c r="FB239" s="63"/>
      <c r="FC239" s="64"/>
      <c r="FD239" s="64"/>
      <c r="FE239" s="64"/>
      <c r="FF239" s="64"/>
      <c r="FG239" s="64"/>
      <c r="FH239" s="64"/>
      <c r="FI239" s="64"/>
    </row>
    <row r="240" spans="158:165" ht="15" customHeight="1" x14ac:dyDescent="0.15">
      <c r="FB240" s="63"/>
      <c r="FC240" s="64"/>
      <c r="FD240" s="64"/>
      <c r="FE240" s="64"/>
      <c r="FF240" s="64"/>
      <c r="FG240" s="64"/>
      <c r="FH240" s="64"/>
      <c r="FI240" s="64"/>
    </row>
    <row r="241" spans="158:165" ht="15" customHeight="1" x14ac:dyDescent="0.15">
      <c r="FB241" s="63"/>
      <c r="FC241" s="64"/>
      <c r="FD241" s="64"/>
      <c r="FE241" s="64"/>
      <c r="FF241" s="64"/>
      <c r="FG241" s="64"/>
      <c r="FH241" s="64"/>
      <c r="FI241" s="64"/>
    </row>
    <row r="242" spans="158:165" ht="15" customHeight="1" x14ac:dyDescent="0.15">
      <c r="FB242" s="63"/>
      <c r="FC242" s="64"/>
      <c r="FD242" s="64"/>
      <c r="FE242" s="64"/>
      <c r="FF242" s="64"/>
      <c r="FG242" s="64"/>
      <c r="FH242" s="64"/>
      <c r="FI242" s="64"/>
    </row>
    <row r="243" spans="158:165" ht="15" customHeight="1" x14ac:dyDescent="0.15">
      <c r="FB243" s="63"/>
      <c r="FC243" s="64"/>
      <c r="FD243" s="64"/>
      <c r="FE243" s="64"/>
      <c r="FF243" s="64"/>
      <c r="FG243" s="64"/>
      <c r="FH243" s="64"/>
      <c r="FI243" s="64"/>
    </row>
    <row r="244" spans="158:165" ht="15" customHeight="1" x14ac:dyDescent="0.15">
      <c r="FB244" s="63"/>
      <c r="FC244" s="64"/>
      <c r="FD244" s="64"/>
      <c r="FE244" s="64"/>
      <c r="FF244" s="64"/>
      <c r="FG244" s="64"/>
      <c r="FH244" s="64"/>
      <c r="FI244" s="64"/>
    </row>
    <row r="245" spans="158:165" ht="15" customHeight="1" x14ac:dyDescent="0.15">
      <c r="FB245" s="63"/>
      <c r="FC245" s="64"/>
      <c r="FD245" s="64"/>
      <c r="FE245" s="64"/>
      <c r="FF245" s="64"/>
      <c r="FG245" s="64"/>
      <c r="FH245" s="64"/>
      <c r="FI245" s="64"/>
    </row>
    <row r="246" spans="158:165" ht="15" customHeight="1" x14ac:dyDescent="0.15">
      <c r="FB246" s="63"/>
      <c r="FC246" s="64"/>
      <c r="FD246" s="64"/>
      <c r="FE246" s="64"/>
      <c r="FF246" s="64"/>
      <c r="FG246" s="64"/>
      <c r="FH246" s="64"/>
      <c r="FI246" s="64"/>
    </row>
    <row r="247" spans="158:165" ht="15" customHeight="1" x14ac:dyDescent="0.15">
      <c r="FB247" s="63"/>
      <c r="FC247" s="64"/>
      <c r="FD247" s="64"/>
      <c r="FE247" s="64"/>
      <c r="FF247" s="64"/>
      <c r="FG247" s="64"/>
      <c r="FH247" s="64"/>
      <c r="FI247" s="64"/>
    </row>
    <row r="248" spans="158:165" ht="15" customHeight="1" x14ac:dyDescent="0.15">
      <c r="FB248" s="63"/>
      <c r="FC248" s="64"/>
      <c r="FD248" s="64"/>
      <c r="FE248" s="64"/>
      <c r="FF248" s="64"/>
      <c r="FG248" s="64"/>
      <c r="FH248" s="64"/>
      <c r="FI248" s="64"/>
    </row>
    <row r="249" spans="158:165" ht="15" customHeight="1" x14ac:dyDescent="0.15">
      <c r="FB249" s="63"/>
      <c r="FC249" s="64"/>
      <c r="FD249" s="64"/>
      <c r="FE249" s="64"/>
      <c r="FF249" s="64"/>
      <c r="FG249" s="64"/>
      <c r="FH249" s="64"/>
      <c r="FI249" s="64"/>
    </row>
    <row r="250" spans="158:165" ht="15" customHeight="1" x14ac:dyDescent="0.15">
      <c r="FB250" s="63"/>
      <c r="FC250" s="64"/>
      <c r="FD250" s="64"/>
      <c r="FE250" s="64"/>
      <c r="FF250" s="64"/>
      <c r="FG250" s="64"/>
      <c r="FH250" s="64"/>
      <c r="FI250" s="64"/>
    </row>
    <row r="251" spans="158:165" ht="15" customHeight="1" x14ac:dyDescent="0.15">
      <c r="FB251" s="63"/>
      <c r="FC251" s="64"/>
      <c r="FD251" s="64"/>
      <c r="FE251" s="64"/>
      <c r="FF251" s="64"/>
      <c r="FG251" s="64"/>
      <c r="FH251" s="64"/>
      <c r="FI251" s="64"/>
    </row>
    <row r="252" spans="158:165" ht="15" customHeight="1" x14ac:dyDescent="0.15">
      <c r="FB252" s="63"/>
      <c r="FC252" s="64"/>
      <c r="FD252" s="64"/>
      <c r="FE252" s="64"/>
      <c r="FF252" s="64"/>
      <c r="FG252" s="64"/>
      <c r="FH252" s="64"/>
      <c r="FI252" s="64"/>
    </row>
    <row r="253" spans="158:165" ht="15" customHeight="1" x14ac:dyDescent="0.15">
      <c r="FB253" s="63"/>
      <c r="FC253" s="64"/>
      <c r="FD253" s="64"/>
      <c r="FE253" s="64"/>
      <c r="FF253" s="64"/>
      <c r="FG253" s="64"/>
      <c r="FH253" s="64"/>
      <c r="FI253" s="64"/>
    </row>
    <row r="254" spans="158:165" ht="15" customHeight="1" x14ac:dyDescent="0.15">
      <c r="FB254" s="63"/>
      <c r="FC254" s="64"/>
      <c r="FD254" s="64"/>
      <c r="FE254" s="64"/>
      <c r="FF254" s="64"/>
      <c r="FG254" s="64"/>
      <c r="FH254" s="64"/>
      <c r="FI254" s="64"/>
    </row>
    <row r="255" spans="158:165" ht="15" customHeight="1" x14ac:dyDescent="0.15">
      <c r="FB255" s="63"/>
      <c r="FC255" s="64"/>
      <c r="FD255" s="64"/>
      <c r="FE255" s="64"/>
      <c r="FF255" s="64"/>
      <c r="FG255" s="64"/>
      <c r="FH255" s="64"/>
      <c r="FI255" s="64"/>
    </row>
    <row r="256" spans="158:165" ht="15" customHeight="1" x14ac:dyDescent="0.15">
      <c r="FB256" s="63"/>
      <c r="FC256" s="64"/>
      <c r="FD256" s="64"/>
      <c r="FE256" s="64"/>
      <c r="FF256" s="64"/>
      <c r="FG256" s="64"/>
      <c r="FH256" s="64"/>
      <c r="FI256" s="64"/>
    </row>
    <row r="257" spans="158:165" ht="15" customHeight="1" x14ac:dyDescent="0.15">
      <c r="FB257" s="63"/>
      <c r="FC257" s="64"/>
      <c r="FD257" s="64"/>
      <c r="FE257" s="64"/>
      <c r="FF257" s="64"/>
      <c r="FG257" s="64"/>
      <c r="FH257" s="64"/>
      <c r="FI257" s="64"/>
    </row>
    <row r="258" spans="158:165" ht="15" customHeight="1" x14ac:dyDescent="0.15">
      <c r="FB258" s="63"/>
      <c r="FC258" s="64"/>
      <c r="FD258" s="64"/>
      <c r="FE258" s="64"/>
      <c r="FF258" s="64"/>
      <c r="FG258" s="64"/>
      <c r="FH258" s="64"/>
      <c r="FI258" s="64"/>
    </row>
    <row r="259" spans="158:165" ht="15" customHeight="1" x14ac:dyDescent="0.15">
      <c r="FB259" s="63"/>
      <c r="FC259" s="64"/>
      <c r="FD259" s="64"/>
      <c r="FE259" s="64"/>
      <c r="FF259" s="64"/>
      <c r="FG259" s="64"/>
      <c r="FH259" s="64"/>
      <c r="FI259" s="64"/>
    </row>
    <row r="260" spans="158:165" ht="15" customHeight="1" x14ac:dyDescent="0.15">
      <c r="FB260" s="63"/>
      <c r="FC260" s="64"/>
      <c r="FD260" s="64"/>
      <c r="FE260" s="64"/>
      <c r="FF260" s="64"/>
      <c r="FG260" s="64"/>
      <c r="FH260" s="64"/>
      <c r="FI260" s="64"/>
    </row>
    <row r="261" spans="158:165" ht="15" customHeight="1" x14ac:dyDescent="0.15">
      <c r="FB261" s="63"/>
      <c r="FC261" s="64"/>
      <c r="FD261" s="64"/>
      <c r="FE261" s="64"/>
      <c r="FF261" s="64"/>
      <c r="FG261" s="64"/>
      <c r="FH261" s="64"/>
      <c r="FI261" s="64"/>
    </row>
    <row r="262" spans="158:165" ht="15" customHeight="1" x14ac:dyDescent="0.15">
      <c r="FB262" s="63"/>
      <c r="FC262" s="64"/>
      <c r="FD262" s="64"/>
      <c r="FE262" s="64"/>
      <c r="FF262" s="64"/>
      <c r="FG262" s="64"/>
      <c r="FH262" s="64"/>
      <c r="FI262" s="64"/>
    </row>
    <row r="263" spans="158:165" ht="15" customHeight="1" x14ac:dyDescent="0.15">
      <c r="FB263" s="63"/>
      <c r="FC263" s="64"/>
      <c r="FD263" s="64"/>
      <c r="FE263" s="64"/>
      <c r="FF263" s="64"/>
      <c r="FG263" s="64"/>
      <c r="FH263" s="64"/>
      <c r="FI263" s="64"/>
    </row>
    <row r="264" spans="158:165" ht="15" customHeight="1" x14ac:dyDescent="0.15">
      <c r="FB264" s="63"/>
      <c r="FC264" s="64"/>
      <c r="FD264" s="64"/>
      <c r="FE264" s="64"/>
      <c r="FF264" s="64"/>
      <c r="FG264" s="64"/>
      <c r="FH264" s="64"/>
      <c r="FI264" s="64"/>
    </row>
    <row r="265" spans="158:165" ht="15" customHeight="1" x14ac:dyDescent="0.15">
      <c r="FB265" s="63"/>
      <c r="FC265" s="64"/>
      <c r="FD265" s="64"/>
      <c r="FE265" s="64"/>
      <c r="FF265" s="64"/>
      <c r="FG265" s="64"/>
      <c r="FH265" s="64"/>
      <c r="FI265" s="64"/>
    </row>
    <row r="266" spans="158:165" ht="15" customHeight="1" x14ac:dyDescent="0.15">
      <c r="FB266" s="63"/>
      <c r="FC266" s="64"/>
      <c r="FD266" s="64"/>
      <c r="FE266" s="64"/>
      <c r="FF266" s="64"/>
      <c r="FG266" s="64"/>
      <c r="FH266" s="64"/>
      <c r="FI266" s="64"/>
    </row>
    <row r="267" spans="158:165" ht="15" customHeight="1" x14ac:dyDescent="0.15">
      <c r="FB267" s="63"/>
      <c r="FC267" s="64"/>
      <c r="FD267" s="64"/>
      <c r="FE267" s="64"/>
      <c r="FF267" s="64"/>
      <c r="FG267" s="64"/>
      <c r="FH267" s="64"/>
      <c r="FI267" s="64"/>
    </row>
    <row r="268" spans="158:165" ht="15" customHeight="1" x14ac:dyDescent="0.15">
      <c r="FB268" s="63"/>
      <c r="FC268" s="64"/>
      <c r="FD268" s="64"/>
      <c r="FE268" s="64"/>
      <c r="FF268" s="64"/>
      <c r="FG268" s="64"/>
      <c r="FH268" s="64"/>
      <c r="FI268" s="64"/>
    </row>
    <row r="269" spans="158:165" ht="15" customHeight="1" x14ac:dyDescent="0.15">
      <c r="FB269" s="63"/>
      <c r="FC269" s="64"/>
      <c r="FD269" s="64"/>
      <c r="FE269" s="64"/>
      <c r="FF269" s="64"/>
      <c r="FG269" s="64"/>
      <c r="FH269" s="64"/>
      <c r="FI269" s="64"/>
    </row>
    <row r="270" spans="158:165" ht="15" customHeight="1" x14ac:dyDescent="0.15">
      <c r="FB270" s="63"/>
      <c r="FC270" s="64"/>
      <c r="FD270" s="64"/>
      <c r="FE270" s="64"/>
      <c r="FF270" s="64"/>
      <c r="FG270" s="64"/>
      <c r="FH270" s="64"/>
      <c r="FI270" s="64"/>
    </row>
    <row r="271" spans="158:165" ht="15" customHeight="1" x14ac:dyDescent="0.15">
      <c r="FB271" s="63"/>
      <c r="FC271" s="64"/>
      <c r="FD271" s="64"/>
      <c r="FE271" s="64"/>
      <c r="FF271" s="64"/>
      <c r="FG271" s="64"/>
      <c r="FH271" s="64"/>
      <c r="FI271" s="64"/>
    </row>
    <row r="272" spans="158:165" ht="15" customHeight="1" x14ac:dyDescent="0.15">
      <c r="FB272" s="63"/>
      <c r="FC272" s="64"/>
      <c r="FD272" s="64"/>
      <c r="FE272" s="64"/>
      <c r="FF272" s="64"/>
      <c r="FG272" s="64"/>
      <c r="FH272" s="64"/>
      <c r="FI272" s="64"/>
    </row>
    <row r="273" spans="158:165" ht="15" customHeight="1" x14ac:dyDescent="0.15">
      <c r="FB273" s="63"/>
      <c r="FC273" s="64"/>
      <c r="FD273" s="64"/>
      <c r="FE273" s="64"/>
      <c r="FF273" s="64"/>
      <c r="FG273" s="64"/>
      <c r="FH273" s="64"/>
      <c r="FI273" s="64"/>
    </row>
    <row r="274" spans="158:165" ht="15" customHeight="1" x14ac:dyDescent="0.15">
      <c r="FB274" s="63"/>
      <c r="FC274" s="64"/>
      <c r="FD274" s="64"/>
      <c r="FE274" s="64"/>
      <c r="FF274" s="64"/>
      <c r="FG274" s="64"/>
      <c r="FH274" s="64"/>
      <c r="FI274" s="64"/>
    </row>
    <row r="275" spans="158:165" ht="15" customHeight="1" x14ac:dyDescent="0.15">
      <c r="FB275" s="63"/>
      <c r="FC275" s="64"/>
      <c r="FD275" s="64"/>
      <c r="FE275" s="64"/>
      <c r="FF275" s="64"/>
      <c r="FG275" s="64"/>
      <c r="FH275" s="64"/>
      <c r="FI275" s="64"/>
    </row>
    <row r="276" spans="158:165" ht="15" customHeight="1" x14ac:dyDescent="0.15">
      <c r="FB276" s="63"/>
      <c r="FC276" s="64"/>
      <c r="FD276" s="64"/>
      <c r="FE276" s="64"/>
      <c r="FF276" s="64"/>
      <c r="FG276" s="64"/>
      <c r="FH276" s="64"/>
      <c r="FI276" s="64"/>
    </row>
    <row r="277" spans="158:165" ht="15" customHeight="1" x14ac:dyDescent="0.15">
      <c r="FB277" s="63"/>
      <c r="FC277" s="64"/>
      <c r="FD277" s="64"/>
      <c r="FE277" s="64"/>
      <c r="FF277" s="64"/>
      <c r="FG277" s="64"/>
      <c r="FH277" s="64"/>
      <c r="FI277" s="64"/>
    </row>
    <row r="278" spans="158:165" ht="15" customHeight="1" x14ac:dyDescent="0.15">
      <c r="FB278" s="63"/>
      <c r="FC278" s="64"/>
      <c r="FD278" s="64"/>
      <c r="FE278" s="64"/>
      <c r="FF278" s="64"/>
      <c r="FG278" s="64"/>
      <c r="FH278" s="64"/>
      <c r="FI278" s="64"/>
    </row>
    <row r="279" spans="158:165" ht="15" customHeight="1" x14ac:dyDescent="0.15">
      <c r="FB279" s="63"/>
      <c r="FC279" s="64"/>
      <c r="FD279" s="64"/>
      <c r="FE279" s="64"/>
      <c r="FF279" s="64"/>
      <c r="FG279" s="64"/>
      <c r="FH279" s="64"/>
      <c r="FI279" s="64"/>
    </row>
    <row r="280" spans="158:165" ht="15" customHeight="1" x14ac:dyDescent="0.15">
      <c r="FB280" s="63"/>
      <c r="FC280" s="64"/>
      <c r="FD280" s="64"/>
      <c r="FE280" s="64"/>
      <c r="FF280" s="64"/>
      <c r="FG280" s="64"/>
      <c r="FH280" s="64"/>
      <c r="FI280" s="64"/>
    </row>
    <row r="281" spans="158:165" ht="15" customHeight="1" x14ac:dyDescent="0.15">
      <c r="FB281" s="63"/>
      <c r="FC281" s="64"/>
      <c r="FD281" s="64"/>
      <c r="FE281" s="64"/>
      <c r="FF281" s="64"/>
      <c r="FG281" s="64"/>
      <c r="FH281" s="64"/>
      <c r="FI281" s="64"/>
    </row>
    <row r="282" spans="158:165" ht="15" customHeight="1" x14ac:dyDescent="0.15">
      <c r="FB282" s="63"/>
      <c r="FC282" s="64"/>
      <c r="FD282" s="64"/>
      <c r="FE282" s="64"/>
      <c r="FF282" s="64"/>
      <c r="FG282" s="64"/>
      <c r="FH282" s="64"/>
      <c r="FI282" s="64"/>
    </row>
    <row r="283" spans="158:165" ht="15" customHeight="1" x14ac:dyDescent="0.15">
      <c r="FB283" s="63"/>
      <c r="FC283" s="64"/>
      <c r="FD283" s="64"/>
      <c r="FE283" s="64"/>
      <c r="FF283" s="64"/>
      <c r="FG283" s="64"/>
      <c r="FH283" s="64"/>
      <c r="FI283" s="64"/>
    </row>
    <row r="284" spans="158:165" ht="15" customHeight="1" x14ac:dyDescent="0.15">
      <c r="FB284" s="63"/>
      <c r="FC284" s="64"/>
      <c r="FD284" s="64"/>
      <c r="FE284" s="64"/>
      <c r="FF284" s="64"/>
      <c r="FG284" s="64"/>
      <c r="FH284" s="64"/>
      <c r="FI284" s="64"/>
    </row>
    <row r="285" spans="158:165" ht="15" customHeight="1" x14ac:dyDescent="0.15">
      <c r="FB285" s="63"/>
      <c r="FC285" s="64"/>
      <c r="FD285" s="64"/>
      <c r="FE285" s="64"/>
      <c r="FF285" s="64"/>
      <c r="FG285" s="64"/>
      <c r="FH285" s="64"/>
      <c r="FI285" s="64"/>
    </row>
    <row r="286" spans="158:165" ht="15" customHeight="1" x14ac:dyDescent="0.15">
      <c r="FB286" s="63"/>
      <c r="FC286" s="64"/>
      <c r="FD286" s="64"/>
      <c r="FE286" s="64"/>
      <c r="FF286" s="64"/>
      <c r="FG286" s="64"/>
      <c r="FH286" s="64"/>
      <c r="FI286" s="64"/>
    </row>
    <row r="287" spans="158:165" ht="15" customHeight="1" x14ac:dyDescent="0.15">
      <c r="FB287" s="63"/>
      <c r="FC287" s="64"/>
      <c r="FD287" s="64"/>
      <c r="FE287" s="64"/>
      <c r="FF287" s="64"/>
      <c r="FG287" s="64"/>
      <c r="FH287" s="64"/>
      <c r="FI287" s="64"/>
    </row>
    <row r="288" spans="158:165" ht="15" customHeight="1" x14ac:dyDescent="0.15">
      <c r="FB288" s="63"/>
      <c r="FC288" s="64"/>
      <c r="FD288" s="64"/>
      <c r="FE288" s="64"/>
      <c r="FF288" s="64"/>
      <c r="FG288" s="64"/>
      <c r="FH288" s="64"/>
      <c r="FI288" s="64"/>
    </row>
    <row r="289" spans="158:165" ht="15" customHeight="1" x14ac:dyDescent="0.15">
      <c r="FB289" s="63"/>
      <c r="FC289" s="64"/>
      <c r="FD289" s="64"/>
      <c r="FE289" s="64"/>
      <c r="FF289" s="64"/>
      <c r="FG289" s="64"/>
      <c r="FH289" s="64"/>
      <c r="FI289" s="64"/>
    </row>
    <row r="290" spans="158:165" ht="15" customHeight="1" x14ac:dyDescent="0.15">
      <c r="FB290" s="63"/>
      <c r="FC290" s="64"/>
      <c r="FD290" s="64"/>
      <c r="FE290" s="64"/>
      <c r="FF290" s="64"/>
      <c r="FG290" s="64"/>
      <c r="FH290" s="64"/>
      <c r="FI290" s="64"/>
    </row>
    <row r="291" spans="158:165" ht="15" customHeight="1" x14ac:dyDescent="0.15">
      <c r="FB291" s="63"/>
      <c r="FC291" s="64"/>
      <c r="FD291" s="64"/>
      <c r="FE291" s="64"/>
      <c r="FF291" s="64"/>
      <c r="FG291" s="64"/>
      <c r="FH291" s="64"/>
      <c r="FI291" s="64"/>
    </row>
    <row r="292" spans="158:165" ht="15" customHeight="1" x14ac:dyDescent="0.15">
      <c r="FB292" s="63"/>
      <c r="FC292" s="64"/>
      <c r="FD292" s="64"/>
      <c r="FE292" s="64"/>
      <c r="FF292" s="64"/>
      <c r="FG292" s="64"/>
      <c r="FH292" s="64"/>
      <c r="FI292" s="64"/>
    </row>
    <row r="293" spans="158:165" ht="15" customHeight="1" x14ac:dyDescent="0.15">
      <c r="FB293" s="63"/>
      <c r="FC293" s="64"/>
      <c r="FD293" s="64"/>
      <c r="FE293" s="64"/>
      <c r="FF293" s="64"/>
      <c r="FG293" s="64"/>
      <c r="FH293" s="64"/>
      <c r="FI293" s="64"/>
    </row>
    <row r="294" spans="158:165" ht="15" customHeight="1" x14ac:dyDescent="0.15">
      <c r="FB294" s="63"/>
      <c r="FC294" s="64"/>
      <c r="FD294" s="64"/>
      <c r="FE294" s="64"/>
      <c r="FF294" s="64"/>
      <c r="FG294" s="64"/>
      <c r="FH294" s="64"/>
      <c r="FI294" s="64"/>
    </row>
    <row r="295" spans="158:165" ht="15" customHeight="1" x14ac:dyDescent="0.15">
      <c r="FB295" s="63"/>
      <c r="FC295" s="64"/>
      <c r="FD295" s="64"/>
      <c r="FE295" s="64"/>
      <c r="FF295" s="64"/>
      <c r="FG295" s="64"/>
      <c r="FH295" s="64"/>
      <c r="FI295" s="64"/>
    </row>
    <row r="296" spans="158:165" ht="15" customHeight="1" x14ac:dyDescent="0.15">
      <c r="FB296" s="63"/>
      <c r="FC296" s="64"/>
      <c r="FD296" s="64"/>
      <c r="FE296" s="64"/>
      <c r="FF296" s="64"/>
      <c r="FG296" s="64"/>
      <c r="FH296" s="64"/>
      <c r="FI296" s="64"/>
    </row>
    <row r="297" spans="158:165" ht="15" customHeight="1" x14ac:dyDescent="0.15">
      <c r="FB297" s="63"/>
      <c r="FC297" s="64"/>
      <c r="FD297" s="64"/>
      <c r="FE297" s="64"/>
      <c r="FF297" s="64"/>
      <c r="FG297" s="64"/>
      <c r="FH297" s="64"/>
      <c r="FI297" s="64"/>
    </row>
    <row r="298" spans="158:165" ht="15" customHeight="1" x14ac:dyDescent="0.15">
      <c r="FB298" s="63"/>
      <c r="FC298" s="64"/>
      <c r="FD298" s="64"/>
      <c r="FE298" s="64"/>
      <c r="FF298" s="64"/>
      <c r="FG298" s="64"/>
      <c r="FH298" s="64"/>
      <c r="FI298" s="64"/>
    </row>
    <row r="299" spans="158:165" ht="15" customHeight="1" x14ac:dyDescent="0.15">
      <c r="FB299" s="63"/>
      <c r="FC299" s="64"/>
      <c r="FD299" s="64"/>
      <c r="FE299" s="64"/>
      <c r="FF299" s="64"/>
      <c r="FG299" s="64"/>
      <c r="FH299" s="64"/>
      <c r="FI299" s="64"/>
    </row>
    <row r="300" spans="158:165" ht="15" customHeight="1" x14ac:dyDescent="0.15">
      <c r="FB300" s="63"/>
      <c r="FC300" s="64"/>
      <c r="FD300" s="64"/>
      <c r="FE300" s="64"/>
      <c r="FF300" s="64"/>
      <c r="FG300" s="64"/>
      <c r="FH300" s="64"/>
      <c r="FI300" s="64"/>
    </row>
    <row r="301" spans="158:165" ht="15" customHeight="1" x14ac:dyDescent="0.15">
      <c r="FB301" s="63"/>
      <c r="FC301" s="64"/>
      <c r="FD301" s="64"/>
      <c r="FE301" s="64"/>
      <c r="FF301" s="64"/>
      <c r="FG301" s="64"/>
      <c r="FH301" s="64"/>
      <c r="FI301" s="64"/>
    </row>
    <row r="302" spans="158:165" ht="15" customHeight="1" x14ac:dyDescent="0.15">
      <c r="FB302" s="63"/>
      <c r="FC302" s="64"/>
      <c r="FD302" s="64"/>
      <c r="FE302" s="64"/>
      <c r="FF302" s="64"/>
      <c r="FG302" s="64"/>
      <c r="FH302" s="64"/>
      <c r="FI302" s="64"/>
    </row>
    <row r="303" spans="158:165" ht="15" customHeight="1" x14ac:dyDescent="0.15">
      <c r="FB303" s="63"/>
      <c r="FC303" s="64"/>
      <c r="FD303" s="64"/>
      <c r="FE303" s="64"/>
      <c r="FF303" s="64"/>
      <c r="FG303" s="64"/>
      <c r="FH303" s="64"/>
      <c r="FI303" s="64"/>
    </row>
    <row r="304" spans="158:165" ht="15" customHeight="1" x14ac:dyDescent="0.15">
      <c r="FB304" s="63"/>
      <c r="FC304" s="64"/>
      <c r="FD304" s="64"/>
      <c r="FE304" s="64"/>
      <c r="FF304" s="64"/>
      <c r="FG304" s="64"/>
      <c r="FH304" s="64"/>
      <c r="FI304" s="64"/>
    </row>
    <row r="305" spans="158:165" ht="15" customHeight="1" x14ac:dyDescent="0.15">
      <c r="FB305" s="63"/>
      <c r="FC305" s="64"/>
      <c r="FD305" s="64"/>
      <c r="FE305" s="64"/>
      <c r="FF305" s="64"/>
      <c r="FG305" s="64"/>
      <c r="FH305" s="64"/>
      <c r="FI305" s="64"/>
    </row>
    <row r="306" spans="158:165" ht="15" customHeight="1" x14ac:dyDescent="0.15">
      <c r="FB306" s="63"/>
      <c r="FC306" s="64"/>
      <c r="FD306" s="64"/>
      <c r="FE306" s="64"/>
      <c r="FF306" s="64"/>
      <c r="FG306" s="64"/>
      <c r="FH306" s="64"/>
      <c r="FI306" s="64"/>
    </row>
    <row r="307" spans="158:165" ht="15" customHeight="1" x14ac:dyDescent="0.15">
      <c r="FB307" s="63"/>
      <c r="FC307" s="64"/>
      <c r="FD307" s="64"/>
      <c r="FE307" s="64"/>
      <c r="FF307" s="64"/>
      <c r="FG307" s="64"/>
      <c r="FH307" s="64"/>
      <c r="FI307" s="64"/>
    </row>
    <row r="308" spans="158:165" ht="15" customHeight="1" x14ac:dyDescent="0.15">
      <c r="FB308" s="63"/>
      <c r="FC308" s="64"/>
      <c r="FD308" s="64"/>
      <c r="FE308" s="64"/>
      <c r="FF308" s="64"/>
      <c r="FG308" s="64"/>
      <c r="FH308" s="64"/>
      <c r="FI308" s="64"/>
    </row>
    <row r="309" spans="158:165" ht="15" customHeight="1" x14ac:dyDescent="0.15">
      <c r="FB309" s="63"/>
      <c r="FC309" s="64"/>
      <c r="FD309" s="64"/>
      <c r="FE309" s="64"/>
      <c r="FF309" s="64"/>
      <c r="FG309" s="64"/>
      <c r="FH309" s="64"/>
      <c r="FI309" s="64"/>
    </row>
    <row r="310" spans="158:165" ht="15" customHeight="1" x14ac:dyDescent="0.15">
      <c r="FB310" s="63"/>
      <c r="FC310" s="64"/>
      <c r="FD310" s="64"/>
      <c r="FE310" s="64"/>
      <c r="FF310" s="64"/>
      <c r="FG310" s="64"/>
      <c r="FH310" s="64"/>
      <c r="FI310" s="64"/>
    </row>
    <row r="311" spans="158:165" ht="15" customHeight="1" x14ac:dyDescent="0.15">
      <c r="FB311" s="63"/>
      <c r="FC311" s="64"/>
      <c r="FD311" s="64"/>
      <c r="FE311" s="64"/>
      <c r="FF311" s="64"/>
      <c r="FG311" s="64"/>
      <c r="FH311" s="64"/>
      <c r="FI311" s="64"/>
    </row>
    <row r="312" spans="158:165" ht="15" customHeight="1" x14ac:dyDescent="0.15">
      <c r="FB312" s="63"/>
      <c r="FC312" s="64"/>
      <c r="FD312" s="64"/>
      <c r="FE312" s="64"/>
      <c r="FF312" s="64"/>
      <c r="FG312" s="64"/>
      <c r="FH312" s="64"/>
      <c r="FI312" s="64"/>
    </row>
    <row r="313" spans="158:165" ht="15" customHeight="1" x14ac:dyDescent="0.15">
      <c r="FB313" s="63"/>
      <c r="FC313" s="64"/>
      <c r="FD313" s="64"/>
      <c r="FE313" s="64"/>
      <c r="FF313" s="64"/>
      <c r="FG313" s="64"/>
      <c r="FH313" s="64"/>
      <c r="FI313" s="64"/>
    </row>
    <row r="314" spans="158:165" ht="15" customHeight="1" x14ac:dyDescent="0.15">
      <c r="FB314" s="63"/>
      <c r="FC314" s="64"/>
      <c r="FD314" s="64"/>
      <c r="FE314" s="64"/>
      <c r="FF314" s="64"/>
      <c r="FG314" s="64"/>
      <c r="FH314" s="64"/>
      <c r="FI314" s="64"/>
    </row>
    <row r="315" spans="158:165" ht="15" customHeight="1" x14ac:dyDescent="0.15">
      <c r="FB315" s="63"/>
      <c r="FC315" s="64"/>
      <c r="FD315" s="64"/>
      <c r="FE315" s="64"/>
      <c r="FF315" s="64"/>
      <c r="FG315" s="64"/>
      <c r="FH315" s="64"/>
      <c r="FI315" s="64"/>
    </row>
    <row r="316" spans="158:165" ht="15" customHeight="1" x14ac:dyDescent="0.15">
      <c r="FB316" s="63"/>
      <c r="FC316" s="64"/>
      <c r="FD316" s="64"/>
      <c r="FE316" s="64"/>
      <c r="FF316" s="64"/>
      <c r="FG316" s="64"/>
      <c r="FH316" s="64"/>
      <c r="FI316" s="64"/>
    </row>
    <row r="317" spans="158:165" ht="15" customHeight="1" x14ac:dyDescent="0.15">
      <c r="FB317" s="63"/>
      <c r="FC317" s="64"/>
      <c r="FD317" s="64"/>
      <c r="FE317" s="64"/>
      <c r="FF317" s="64"/>
      <c r="FG317" s="64"/>
      <c r="FH317" s="64"/>
      <c r="FI317" s="64"/>
    </row>
    <row r="318" spans="158:165" ht="15" customHeight="1" x14ac:dyDescent="0.15">
      <c r="FB318" s="63"/>
      <c r="FC318" s="64"/>
      <c r="FD318" s="64"/>
      <c r="FE318" s="64"/>
      <c r="FF318" s="64"/>
      <c r="FG318" s="64"/>
      <c r="FH318" s="64"/>
      <c r="FI318" s="64"/>
    </row>
    <row r="319" spans="158:165" ht="15" customHeight="1" x14ac:dyDescent="0.15">
      <c r="FB319" s="63"/>
      <c r="FC319" s="64"/>
      <c r="FD319" s="64"/>
      <c r="FE319" s="64"/>
      <c r="FF319" s="64"/>
      <c r="FG319" s="64"/>
      <c r="FH319" s="64"/>
      <c r="FI319" s="64"/>
    </row>
    <row r="320" spans="158:165" ht="15" customHeight="1" x14ac:dyDescent="0.15">
      <c r="FB320" s="63"/>
      <c r="FC320" s="64"/>
      <c r="FD320" s="64"/>
      <c r="FE320" s="64"/>
      <c r="FF320" s="64"/>
      <c r="FG320" s="64"/>
      <c r="FH320" s="64"/>
      <c r="FI320" s="64"/>
    </row>
    <row r="321" spans="158:165" ht="15" customHeight="1" x14ac:dyDescent="0.15">
      <c r="FB321" s="63"/>
      <c r="FC321" s="64"/>
      <c r="FD321" s="64"/>
      <c r="FE321" s="64"/>
      <c r="FF321" s="64"/>
      <c r="FG321" s="64"/>
      <c r="FH321" s="64"/>
      <c r="FI321" s="64"/>
    </row>
    <row r="322" spans="158:165" ht="15" customHeight="1" x14ac:dyDescent="0.15">
      <c r="FB322" s="63"/>
      <c r="FC322" s="64"/>
      <c r="FD322" s="64"/>
      <c r="FE322" s="64"/>
      <c r="FF322" s="64"/>
      <c r="FG322" s="64"/>
      <c r="FH322" s="64"/>
      <c r="FI322" s="64"/>
    </row>
    <row r="323" spans="158:165" ht="15" customHeight="1" x14ac:dyDescent="0.15">
      <c r="FB323" s="63"/>
      <c r="FC323" s="64"/>
      <c r="FD323" s="64"/>
      <c r="FE323" s="64"/>
      <c r="FF323" s="64"/>
      <c r="FG323" s="64"/>
      <c r="FH323" s="64"/>
      <c r="FI323" s="64"/>
    </row>
    <row r="324" spans="158:165" ht="15" customHeight="1" x14ac:dyDescent="0.15">
      <c r="FB324" s="63"/>
      <c r="FC324" s="64"/>
      <c r="FD324" s="64"/>
      <c r="FE324" s="64"/>
      <c r="FF324" s="64"/>
      <c r="FG324" s="64"/>
      <c r="FH324" s="64"/>
      <c r="FI324" s="64"/>
    </row>
    <row r="325" spans="158:165" ht="15" customHeight="1" x14ac:dyDescent="0.15">
      <c r="FB325" s="63"/>
      <c r="FC325" s="64"/>
      <c r="FD325" s="64"/>
      <c r="FE325" s="64"/>
      <c r="FF325" s="64"/>
      <c r="FG325" s="64"/>
      <c r="FH325" s="64"/>
      <c r="FI325" s="64"/>
    </row>
    <row r="326" spans="158:165" ht="15" customHeight="1" x14ac:dyDescent="0.15">
      <c r="FB326" s="63"/>
      <c r="FC326" s="64"/>
      <c r="FD326" s="64"/>
      <c r="FE326" s="64"/>
      <c r="FF326" s="64"/>
      <c r="FG326" s="64"/>
      <c r="FH326" s="64"/>
      <c r="FI326" s="64"/>
    </row>
    <row r="327" spans="158:165" ht="15" customHeight="1" x14ac:dyDescent="0.15">
      <c r="FB327" s="63"/>
      <c r="FC327" s="64"/>
      <c r="FD327" s="64"/>
      <c r="FE327" s="64"/>
      <c r="FF327" s="64"/>
      <c r="FG327" s="64"/>
      <c r="FH327" s="64"/>
      <c r="FI327" s="64"/>
    </row>
    <row r="328" spans="158:165" ht="15" customHeight="1" x14ac:dyDescent="0.15">
      <c r="FB328" s="63"/>
      <c r="FC328" s="64"/>
      <c r="FD328" s="64"/>
      <c r="FE328" s="64"/>
      <c r="FF328" s="64"/>
      <c r="FG328" s="64"/>
      <c r="FH328" s="64"/>
      <c r="FI328" s="64"/>
    </row>
    <row r="329" spans="158:165" ht="15" customHeight="1" x14ac:dyDescent="0.15">
      <c r="FB329" s="63"/>
      <c r="FC329" s="64"/>
      <c r="FD329" s="64"/>
      <c r="FE329" s="64"/>
      <c r="FF329" s="64"/>
      <c r="FG329" s="64"/>
      <c r="FH329" s="64"/>
      <c r="FI329" s="64"/>
    </row>
    <row r="330" spans="158:165" ht="15" customHeight="1" x14ac:dyDescent="0.15">
      <c r="FB330" s="63"/>
      <c r="FC330" s="64"/>
      <c r="FD330" s="64"/>
      <c r="FE330" s="64"/>
      <c r="FF330" s="64"/>
      <c r="FG330" s="64"/>
      <c r="FH330" s="64"/>
      <c r="FI330" s="64"/>
    </row>
    <row r="331" spans="158:165" ht="15" customHeight="1" x14ac:dyDescent="0.15">
      <c r="FB331" s="63"/>
      <c r="FC331" s="64"/>
      <c r="FD331" s="64"/>
      <c r="FE331" s="64"/>
      <c r="FF331" s="64"/>
      <c r="FG331" s="64"/>
      <c r="FH331" s="64"/>
      <c r="FI331" s="64"/>
    </row>
    <row r="332" spans="158:165" ht="15" customHeight="1" x14ac:dyDescent="0.15">
      <c r="FB332" s="63"/>
      <c r="FC332" s="64"/>
      <c r="FD332" s="64"/>
      <c r="FE332" s="64"/>
      <c r="FF332" s="64"/>
      <c r="FG332" s="64"/>
      <c r="FH332" s="64"/>
      <c r="FI332" s="64"/>
    </row>
    <row r="333" spans="158:165" ht="15" customHeight="1" x14ac:dyDescent="0.15">
      <c r="FB333" s="63"/>
      <c r="FC333" s="64"/>
      <c r="FD333" s="64"/>
      <c r="FE333" s="64"/>
      <c r="FF333" s="64"/>
      <c r="FG333" s="64"/>
      <c r="FH333" s="64"/>
      <c r="FI333" s="64"/>
    </row>
    <row r="334" spans="158:165" ht="15" customHeight="1" x14ac:dyDescent="0.15">
      <c r="FB334" s="63"/>
      <c r="FC334" s="64"/>
      <c r="FD334" s="64"/>
      <c r="FE334" s="64"/>
      <c r="FF334" s="64"/>
      <c r="FG334" s="64"/>
      <c r="FH334" s="64"/>
      <c r="FI334" s="64"/>
    </row>
    <row r="335" spans="158:165" ht="15" customHeight="1" x14ac:dyDescent="0.15">
      <c r="FB335" s="63"/>
      <c r="FC335" s="64"/>
      <c r="FD335" s="64"/>
      <c r="FE335" s="64"/>
      <c r="FF335" s="64"/>
      <c r="FG335" s="64"/>
      <c r="FH335" s="64"/>
      <c r="FI335" s="64"/>
    </row>
    <row r="336" spans="158:165" ht="15" customHeight="1" x14ac:dyDescent="0.15">
      <c r="FB336" s="63"/>
      <c r="FC336" s="64"/>
      <c r="FD336" s="64"/>
      <c r="FE336" s="64"/>
      <c r="FF336" s="64"/>
      <c r="FG336" s="64"/>
      <c r="FH336" s="64"/>
      <c r="FI336" s="64"/>
    </row>
    <row r="337" spans="158:165" ht="15" customHeight="1" x14ac:dyDescent="0.15">
      <c r="FB337" s="63"/>
      <c r="FC337" s="64"/>
      <c r="FD337" s="64"/>
      <c r="FE337" s="64"/>
      <c r="FF337" s="64"/>
      <c r="FG337" s="64"/>
      <c r="FH337" s="64"/>
      <c r="FI337" s="64"/>
    </row>
    <row r="338" spans="158:165" ht="15" customHeight="1" x14ac:dyDescent="0.15">
      <c r="FB338" s="63"/>
      <c r="FC338" s="64"/>
      <c r="FD338" s="64"/>
      <c r="FE338" s="64"/>
      <c r="FF338" s="64"/>
      <c r="FG338" s="64"/>
      <c r="FH338" s="64"/>
      <c r="FI338" s="64"/>
    </row>
    <row r="339" spans="158:165" ht="15" customHeight="1" x14ac:dyDescent="0.15">
      <c r="FB339" s="63"/>
      <c r="FC339" s="64"/>
      <c r="FD339" s="64"/>
      <c r="FE339" s="64"/>
      <c r="FF339" s="64"/>
      <c r="FG339" s="64"/>
      <c r="FH339" s="64"/>
      <c r="FI339" s="64"/>
    </row>
    <row r="340" spans="158:165" ht="15" customHeight="1" x14ac:dyDescent="0.15">
      <c r="FB340" s="63"/>
      <c r="FC340" s="64"/>
      <c r="FD340" s="64"/>
      <c r="FE340" s="64"/>
      <c r="FF340" s="64"/>
      <c r="FG340" s="64"/>
      <c r="FH340" s="64"/>
      <c r="FI340" s="64"/>
    </row>
    <row r="341" spans="158:165" ht="15" customHeight="1" x14ac:dyDescent="0.15">
      <c r="FB341" s="63"/>
      <c r="FC341" s="64"/>
      <c r="FD341" s="64"/>
      <c r="FE341" s="64"/>
      <c r="FF341" s="64"/>
      <c r="FG341" s="64"/>
      <c r="FH341" s="64"/>
      <c r="FI341" s="64"/>
    </row>
    <row r="342" spans="158:165" ht="15" customHeight="1" x14ac:dyDescent="0.15">
      <c r="FB342" s="63"/>
      <c r="FC342" s="64"/>
      <c r="FD342" s="64"/>
      <c r="FE342" s="64"/>
      <c r="FF342" s="64"/>
      <c r="FG342" s="64"/>
      <c r="FH342" s="64"/>
      <c r="FI342" s="64"/>
    </row>
    <row r="400" spans="158:165" ht="15" customHeight="1" x14ac:dyDescent="0.15">
      <c r="FB400" s="62" t="s">
        <v>63</v>
      </c>
      <c r="FC400" s="62" t="s">
        <v>64</v>
      </c>
      <c r="FD400" s="62" t="s">
        <v>65</v>
      </c>
      <c r="FE400" s="62" t="s">
        <v>66</v>
      </c>
      <c r="FF400" s="62" t="s">
        <v>18</v>
      </c>
      <c r="FG400" s="62" t="s">
        <v>69</v>
      </c>
      <c r="FH400" s="62" t="s">
        <v>67</v>
      </c>
      <c r="FI400" s="62" t="s">
        <v>68</v>
      </c>
    </row>
    <row r="401" spans="158:165" ht="15" customHeight="1" x14ac:dyDescent="0.15">
      <c r="FB401" s="63"/>
      <c r="FC401" s="64"/>
      <c r="FD401" s="64"/>
      <c r="FE401" s="64"/>
      <c r="FF401" s="64"/>
      <c r="FG401" s="64"/>
      <c r="FH401" s="64"/>
      <c r="FI401" s="64"/>
    </row>
    <row r="402" spans="158:165" ht="15" customHeight="1" x14ac:dyDescent="0.15">
      <c r="FB402" s="63"/>
      <c r="FC402" s="64"/>
      <c r="FD402" s="64"/>
      <c r="FE402" s="64"/>
      <c r="FF402" s="64"/>
      <c r="FG402" s="64"/>
      <c r="FH402" s="64"/>
      <c r="FI402" s="64"/>
    </row>
    <row r="403" spans="158:165" ht="15" customHeight="1" x14ac:dyDescent="0.15">
      <c r="FB403" s="63"/>
      <c r="FC403" s="64"/>
      <c r="FD403" s="64"/>
      <c r="FE403" s="64"/>
      <c r="FF403" s="64"/>
      <c r="FG403" s="64"/>
      <c r="FH403" s="64"/>
      <c r="FI403" s="64"/>
    </row>
    <row r="404" spans="158:165" ht="15" customHeight="1" x14ac:dyDescent="0.15">
      <c r="FB404" s="63"/>
      <c r="FC404" s="64"/>
      <c r="FD404" s="64"/>
      <c r="FE404" s="64"/>
      <c r="FF404" s="64"/>
      <c r="FG404" s="64"/>
      <c r="FH404" s="64"/>
      <c r="FI404" s="64"/>
    </row>
    <row r="405" spans="158:165" ht="15" customHeight="1" x14ac:dyDescent="0.15">
      <c r="FB405" s="63"/>
      <c r="FC405" s="64"/>
      <c r="FD405" s="64"/>
      <c r="FE405" s="64"/>
      <c r="FF405" s="64"/>
      <c r="FG405" s="64"/>
      <c r="FH405" s="64"/>
      <c r="FI405" s="64"/>
    </row>
    <row r="406" spans="158:165" ht="15" customHeight="1" x14ac:dyDescent="0.15">
      <c r="FB406" s="63"/>
      <c r="FC406" s="64"/>
      <c r="FD406" s="64"/>
      <c r="FE406" s="64"/>
      <c r="FF406" s="64"/>
      <c r="FG406" s="64"/>
      <c r="FH406" s="64"/>
      <c r="FI406" s="64"/>
    </row>
    <row r="407" spans="158:165" ht="15" customHeight="1" x14ac:dyDescent="0.15">
      <c r="FB407" s="63"/>
      <c r="FC407" s="64"/>
      <c r="FD407" s="64"/>
      <c r="FE407" s="64"/>
      <c r="FF407" s="64"/>
      <c r="FG407" s="64"/>
      <c r="FH407" s="64"/>
      <c r="FI407" s="64"/>
    </row>
    <row r="408" spans="158:165" ht="15" customHeight="1" x14ac:dyDescent="0.15">
      <c r="FB408" s="63"/>
      <c r="FC408" s="64"/>
      <c r="FD408" s="64"/>
      <c r="FE408" s="64"/>
      <c r="FF408" s="64"/>
      <c r="FG408" s="64"/>
      <c r="FH408" s="64"/>
      <c r="FI408" s="64"/>
    </row>
    <row r="409" spans="158:165" ht="15" customHeight="1" x14ac:dyDescent="0.15">
      <c r="FB409" s="63"/>
      <c r="FC409" s="64"/>
      <c r="FD409" s="64"/>
      <c r="FE409" s="64"/>
      <c r="FF409" s="64"/>
      <c r="FG409" s="64"/>
      <c r="FH409" s="64"/>
      <c r="FI409" s="64"/>
    </row>
    <row r="410" spans="158:165" ht="15" customHeight="1" x14ac:dyDescent="0.15">
      <c r="FB410" s="63"/>
      <c r="FC410" s="64"/>
      <c r="FD410" s="64"/>
      <c r="FE410" s="64"/>
      <c r="FF410" s="64"/>
      <c r="FG410" s="64"/>
      <c r="FH410" s="64"/>
      <c r="FI410" s="64"/>
    </row>
    <row r="411" spans="158:165" ht="15" customHeight="1" x14ac:dyDescent="0.15">
      <c r="FB411" s="63"/>
      <c r="FC411" s="64"/>
      <c r="FD411" s="64"/>
      <c r="FE411" s="64"/>
      <c r="FF411" s="64"/>
      <c r="FG411" s="64"/>
      <c r="FH411" s="64"/>
      <c r="FI411" s="64"/>
    </row>
    <row r="412" spans="158:165" ht="15" customHeight="1" x14ac:dyDescent="0.15">
      <c r="FB412" s="63"/>
      <c r="FC412" s="64"/>
      <c r="FD412" s="64"/>
      <c r="FE412" s="64"/>
      <c r="FF412" s="64"/>
      <c r="FG412" s="64"/>
      <c r="FH412" s="64"/>
      <c r="FI412" s="64"/>
    </row>
    <row r="413" spans="158:165" ht="15" customHeight="1" x14ac:dyDescent="0.15">
      <c r="FB413" s="63"/>
      <c r="FC413" s="64"/>
      <c r="FD413" s="64"/>
      <c r="FE413" s="64"/>
      <c r="FF413" s="64"/>
      <c r="FG413" s="64"/>
      <c r="FH413" s="64"/>
      <c r="FI413" s="64"/>
    </row>
    <row r="414" spans="158:165" ht="15" customHeight="1" x14ac:dyDescent="0.15">
      <c r="FB414" s="63"/>
      <c r="FC414" s="64"/>
      <c r="FD414" s="64"/>
      <c r="FE414" s="64"/>
      <c r="FF414" s="64"/>
      <c r="FG414" s="64"/>
      <c r="FH414" s="64"/>
      <c r="FI414" s="64"/>
    </row>
    <row r="415" spans="158:165" ht="15" customHeight="1" x14ac:dyDescent="0.15">
      <c r="FB415" s="63"/>
      <c r="FC415" s="64"/>
      <c r="FD415" s="64"/>
      <c r="FE415" s="64"/>
      <c r="FF415" s="64"/>
      <c r="FG415" s="64"/>
      <c r="FH415" s="64"/>
      <c r="FI415" s="64"/>
    </row>
    <row r="416" spans="158:165" ht="15" customHeight="1" x14ac:dyDescent="0.15">
      <c r="FB416" s="63"/>
      <c r="FC416" s="64"/>
      <c r="FD416" s="64"/>
      <c r="FE416" s="64"/>
      <c r="FF416" s="64"/>
      <c r="FG416" s="64"/>
      <c r="FH416" s="64"/>
      <c r="FI416" s="64"/>
    </row>
    <row r="417" spans="158:165" ht="15" customHeight="1" x14ac:dyDescent="0.15">
      <c r="FB417" s="63"/>
      <c r="FC417" s="64"/>
      <c r="FD417" s="64"/>
      <c r="FE417" s="64"/>
      <c r="FF417" s="64"/>
      <c r="FG417" s="64"/>
      <c r="FH417" s="64"/>
      <c r="FI417" s="64"/>
    </row>
    <row r="418" spans="158:165" ht="15" customHeight="1" x14ac:dyDescent="0.15">
      <c r="FB418" s="63"/>
      <c r="FC418" s="64"/>
      <c r="FD418" s="64"/>
      <c r="FE418" s="64"/>
      <c r="FF418" s="64"/>
      <c r="FG418" s="64"/>
      <c r="FH418" s="64"/>
      <c r="FI418" s="64"/>
    </row>
    <row r="419" spans="158:165" ht="15" customHeight="1" x14ac:dyDescent="0.15">
      <c r="FB419" s="63"/>
      <c r="FC419" s="64"/>
      <c r="FD419" s="64"/>
      <c r="FE419" s="64"/>
      <c r="FF419" s="64"/>
      <c r="FG419" s="64"/>
      <c r="FH419" s="64"/>
      <c r="FI419" s="64"/>
    </row>
    <row r="420" spans="158:165" ht="15" customHeight="1" x14ac:dyDescent="0.15">
      <c r="FB420" s="63"/>
      <c r="FC420" s="64"/>
      <c r="FD420" s="64"/>
      <c r="FE420" s="64"/>
      <c r="FF420" s="64"/>
      <c r="FG420" s="64"/>
      <c r="FH420" s="64"/>
      <c r="FI420" s="64"/>
    </row>
    <row r="421" spans="158:165" ht="15" customHeight="1" x14ac:dyDescent="0.15">
      <c r="FB421" s="63"/>
      <c r="FC421" s="64"/>
      <c r="FD421" s="64"/>
      <c r="FE421" s="64"/>
      <c r="FF421" s="64"/>
      <c r="FG421" s="64"/>
      <c r="FH421" s="64"/>
      <c r="FI421" s="64"/>
    </row>
    <row r="422" spans="158:165" ht="15" customHeight="1" x14ac:dyDescent="0.15">
      <c r="FB422" s="63"/>
      <c r="FC422" s="64"/>
      <c r="FD422" s="64"/>
      <c r="FE422" s="64"/>
      <c r="FF422" s="64"/>
      <c r="FG422" s="64"/>
      <c r="FH422" s="64"/>
      <c r="FI422" s="64"/>
    </row>
    <row r="423" spans="158:165" ht="15" customHeight="1" x14ac:dyDescent="0.15">
      <c r="FB423" s="63"/>
      <c r="FC423" s="64"/>
      <c r="FD423" s="64"/>
      <c r="FE423" s="64"/>
      <c r="FF423" s="64"/>
      <c r="FG423" s="64"/>
      <c r="FH423" s="64"/>
      <c r="FI423" s="64"/>
    </row>
    <row r="424" spans="158:165" ht="15" customHeight="1" x14ac:dyDescent="0.15">
      <c r="FB424" s="63"/>
      <c r="FC424" s="64"/>
      <c r="FD424" s="64"/>
      <c r="FE424" s="64"/>
      <c r="FF424" s="64"/>
      <c r="FG424" s="64"/>
      <c r="FH424" s="64"/>
      <c r="FI424" s="64"/>
    </row>
    <row r="425" spans="158:165" ht="15" customHeight="1" x14ac:dyDescent="0.15">
      <c r="FB425" s="63"/>
      <c r="FC425" s="64"/>
      <c r="FD425" s="64"/>
      <c r="FE425" s="64"/>
      <c r="FF425" s="64"/>
      <c r="FG425" s="64"/>
      <c r="FH425" s="64"/>
      <c r="FI425" s="64"/>
    </row>
    <row r="426" spans="158:165" ht="15" customHeight="1" x14ac:dyDescent="0.15">
      <c r="FB426" s="63"/>
      <c r="FC426" s="64"/>
      <c r="FD426" s="64"/>
      <c r="FE426" s="64"/>
      <c r="FF426" s="64"/>
      <c r="FG426" s="64"/>
      <c r="FH426" s="64"/>
      <c r="FI426" s="64"/>
    </row>
    <row r="427" spans="158:165" ht="15" customHeight="1" x14ac:dyDescent="0.15">
      <c r="FB427" s="63"/>
      <c r="FC427" s="64"/>
      <c r="FD427" s="64"/>
      <c r="FE427" s="64"/>
      <c r="FF427" s="64"/>
      <c r="FG427" s="64"/>
      <c r="FH427" s="64"/>
      <c r="FI427" s="64"/>
    </row>
    <row r="428" spans="158:165" ht="15" customHeight="1" x14ac:dyDescent="0.15">
      <c r="FB428" s="63"/>
      <c r="FC428" s="64"/>
      <c r="FD428" s="64"/>
      <c r="FE428" s="64"/>
      <c r="FF428" s="64"/>
      <c r="FG428" s="64"/>
      <c r="FH428" s="64"/>
      <c r="FI428" s="64"/>
    </row>
    <row r="429" spans="158:165" ht="15" customHeight="1" x14ac:dyDescent="0.15">
      <c r="FB429" s="63"/>
      <c r="FC429" s="64"/>
      <c r="FD429" s="64"/>
      <c r="FE429" s="64"/>
      <c r="FF429" s="64"/>
      <c r="FG429" s="64"/>
      <c r="FH429" s="64"/>
      <c r="FI429" s="64"/>
    </row>
    <row r="430" spans="158:165" ht="15" customHeight="1" x14ac:dyDescent="0.15">
      <c r="FB430" s="63"/>
      <c r="FC430" s="64"/>
      <c r="FD430" s="64"/>
      <c r="FE430" s="64"/>
      <c r="FF430" s="64"/>
      <c r="FG430" s="64"/>
      <c r="FH430" s="64"/>
      <c r="FI430" s="64"/>
    </row>
    <row r="431" spans="158:165" ht="15" customHeight="1" x14ac:dyDescent="0.15">
      <c r="FB431" s="63"/>
      <c r="FC431" s="64"/>
      <c r="FD431" s="64"/>
      <c r="FE431" s="64"/>
      <c r="FF431" s="64"/>
      <c r="FG431" s="64"/>
      <c r="FH431" s="64"/>
      <c r="FI431" s="64"/>
    </row>
    <row r="432" spans="158:165" ht="15" customHeight="1" x14ac:dyDescent="0.15">
      <c r="FB432" s="63"/>
      <c r="FC432" s="64"/>
      <c r="FD432" s="64"/>
      <c r="FE432" s="64"/>
      <c r="FF432" s="64"/>
      <c r="FG432" s="64"/>
      <c r="FH432" s="64"/>
      <c r="FI432" s="64"/>
    </row>
    <row r="433" spans="158:165" ht="15" customHeight="1" x14ac:dyDescent="0.15">
      <c r="FB433" s="63"/>
      <c r="FC433" s="64"/>
      <c r="FD433" s="64"/>
      <c r="FE433" s="64"/>
      <c r="FF433" s="64"/>
      <c r="FG433" s="64"/>
      <c r="FH433" s="64"/>
      <c r="FI433" s="64"/>
    </row>
    <row r="434" spans="158:165" ht="15" customHeight="1" x14ac:dyDescent="0.15">
      <c r="FB434" s="63"/>
      <c r="FC434" s="64"/>
      <c r="FD434" s="64"/>
      <c r="FE434" s="64"/>
      <c r="FF434" s="64"/>
      <c r="FG434" s="64"/>
      <c r="FH434" s="64"/>
      <c r="FI434" s="64"/>
    </row>
    <row r="435" spans="158:165" ht="15" customHeight="1" x14ac:dyDescent="0.15">
      <c r="FB435" s="63"/>
      <c r="FC435" s="64"/>
      <c r="FD435" s="64"/>
      <c r="FE435" s="64"/>
      <c r="FF435" s="64"/>
      <c r="FG435" s="64"/>
      <c r="FH435" s="64"/>
      <c r="FI435" s="64"/>
    </row>
    <row r="436" spans="158:165" ht="15" customHeight="1" x14ac:dyDescent="0.15">
      <c r="FB436" s="63"/>
      <c r="FC436" s="64"/>
      <c r="FD436" s="64"/>
      <c r="FE436" s="64"/>
      <c r="FF436" s="64"/>
      <c r="FG436" s="64"/>
      <c r="FH436" s="64"/>
      <c r="FI436" s="64"/>
    </row>
    <row r="437" spans="158:165" ht="15" customHeight="1" x14ac:dyDescent="0.15">
      <c r="FB437" s="63"/>
      <c r="FC437" s="64"/>
      <c r="FD437" s="64"/>
      <c r="FE437" s="64"/>
      <c r="FF437" s="64"/>
      <c r="FG437" s="64"/>
      <c r="FH437" s="64"/>
      <c r="FI437" s="64"/>
    </row>
    <row r="438" spans="158:165" ht="15" customHeight="1" x14ac:dyDescent="0.15">
      <c r="FB438" s="63"/>
      <c r="FC438" s="64"/>
      <c r="FD438" s="64"/>
      <c r="FE438" s="64"/>
      <c r="FF438" s="64"/>
      <c r="FG438" s="64"/>
      <c r="FH438" s="64"/>
      <c r="FI438" s="64"/>
    </row>
    <row r="439" spans="158:165" ht="15" customHeight="1" x14ac:dyDescent="0.15">
      <c r="FB439" s="63"/>
      <c r="FC439" s="64"/>
      <c r="FD439" s="64"/>
      <c r="FE439" s="64"/>
      <c r="FF439" s="64"/>
      <c r="FG439" s="64"/>
      <c r="FH439" s="64"/>
      <c r="FI439" s="64"/>
    </row>
    <row r="440" spans="158:165" ht="15" customHeight="1" x14ac:dyDescent="0.15">
      <c r="FB440" s="63"/>
      <c r="FC440" s="64"/>
      <c r="FD440" s="64"/>
      <c r="FE440" s="64"/>
      <c r="FF440" s="64"/>
      <c r="FG440" s="64"/>
      <c r="FH440" s="64"/>
      <c r="FI440" s="64"/>
    </row>
    <row r="441" spans="158:165" ht="15" customHeight="1" x14ac:dyDescent="0.15">
      <c r="FB441" s="63"/>
      <c r="FC441" s="64"/>
      <c r="FD441" s="64"/>
      <c r="FE441" s="64"/>
      <c r="FF441" s="64"/>
      <c r="FG441" s="64"/>
      <c r="FH441" s="64"/>
      <c r="FI441" s="64"/>
    </row>
    <row r="442" spans="158:165" ht="15" customHeight="1" x14ac:dyDescent="0.15">
      <c r="FB442" s="63"/>
      <c r="FC442" s="64"/>
      <c r="FD442" s="64"/>
      <c r="FE442" s="64"/>
      <c r="FF442" s="64"/>
      <c r="FG442" s="64"/>
      <c r="FH442" s="64"/>
      <c r="FI442" s="64"/>
    </row>
    <row r="443" spans="158:165" ht="15" customHeight="1" x14ac:dyDescent="0.15">
      <c r="FB443" s="63"/>
      <c r="FC443" s="64"/>
      <c r="FD443" s="64"/>
      <c r="FE443" s="64"/>
      <c r="FF443" s="64"/>
      <c r="FG443" s="64"/>
      <c r="FH443" s="64"/>
      <c r="FI443" s="64"/>
    </row>
    <row r="444" spans="158:165" ht="15" customHeight="1" x14ac:dyDescent="0.15">
      <c r="FB444" s="63"/>
      <c r="FC444" s="64"/>
      <c r="FD444" s="64"/>
      <c r="FE444" s="64"/>
      <c r="FF444" s="64"/>
      <c r="FG444" s="64"/>
      <c r="FH444" s="64"/>
      <c r="FI444" s="64"/>
    </row>
    <row r="445" spans="158:165" ht="15" customHeight="1" x14ac:dyDescent="0.15">
      <c r="FB445" s="63"/>
      <c r="FC445" s="64"/>
      <c r="FD445" s="64"/>
      <c r="FE445" s="64"/>
      <c r="FF445" s="64"/>
      <c r="FG445" s="64"/>
      <c r="FH445" s="64"/>
      <c r="FI445" s="64"/>
    </row>
    <row r="446" spans="158:165" ht="15" customHeight="1" x14ac:dyDescent="0.15">
      <c r="FB446" s="63"/>
      <c r="FC446" s="64"/>
      <c r="FD446" s="64"/>
      <c r="FE446" s="64"/>
      <c r="FF446" s="64"/>
      <c r="FG446" s="64"/>
      <c r="FH446" s="64"/>
      <c r="FI446" s="64"/>
    </row>
    <row r="447" spans="158:165" ht="15" customHeight="1" x14ac:dyDescent="0.15">
      <c r="FB447" s="63"/>
      <c r="FC447" s="64"/>
      <c r="FD447" s="64"/>
      <c r="FE447" s="64"/>
      <c r="FF447" s="64"/>
      <c r="FG447" s="64"/>
      <c r="FH447" s="64"/>
      <c r="FI447" s="64"/>
    </row>
    <row r="448" spans="158:165" ht="15" customHeight="1" x14ac:dyDescent="0.15">
      <c r="FB448" s="63"/>
      <c r="FC448" s="64"/>
      <c r="FD448" s="64"/>
      <c r="FE448" s="64"/>
      <c r="FF448" s="64"/>
      <c r="FG448" s="64"/>
      <c r="FH448" s="64"/>
      <c r="FI448" s="64"/>
    </row>
    <row r="449" spans="158:165" ht="15" customHeight="1" x14ac:dyDescent="0.15">
      <c r="FB449" s="63"/>
      <c r="FC449" s="64"/>
      <c r="FD449" s="64"/>
      <c r="FE449" s="64"/>
      <c r="FF449" s="64"/>
      <c r="FG449" s="64"/>
      <c r="FH449" s="64"/>
      <c r="FI449" s="64"/>
    </row>
    <row r="450" spans="158:165" ht="15" customHeight="1" x14ac:dyDescent="0.15">
      <c r="FB450" s="63"/>
      <c r="FC450" s="64"/>
      <c r="FD450" s="64"/>
      <c r="FE450" s="64"/>
      <c r="FF450" s="64"/>
      <c r="FG450" s="64"/>
      <c r="FH450" s="64"/>
      <c r="FI450" s="64"/>
    </row>
    <row r="451" spans="158:165" ht="15" customHeight="1" x14ac:dyDescent="0.15">
      <c r="FB451" s="63"/>
      <c r="FC451" s="64"/>
      <c r="FD451" s="64"/>
      <c r="FE451" s="64"/>
      <c r="FF451" s="64"/>
      <c r="FG451" s="64"/>
      <c r="FH451" s="64"/>
      <c r="FI451" s="64"/>
    </row>
    <row r="452" spans="158:165" ht="15" customHeight="1" x14ac:dyDescent="0.15">
      <c r="FB452" s="63"/>
      <c r="FC452" s="64"/>
      <c r="FD452" s="64"/>
      <c r="FE452" s="64"/>
      <c r="FF452" s="64"/>
      <c r="FG452" s="64"/>
      <c r="FH452" s="64"/>
      <c r="FI452" s="64"/>
    </row>
    <row r="453" spans="158:165" ht="15" customHeight="1" x14ac:dyDescent="0.15">
      <c r="FB453" s="63"/>
      <c r="FC453" s="64"/>
      <c r="FD453" s="64"/>
      <c r="FE453" s="64"/>
      <c r="FF453" s="64"/>
      <c r="FG453" s="64"/>
      <c r="FH453" s="64"/>
      <c r="FI453" s="64"/>
    </row>
    <row r="454" spans="158:165" ht="15" customHeight="1" x14ac:dyDescent="0.15">
      <c r="FB454" s="63"/>
      <c r="FC454" s="64"/>
      <c r="FD454" s="64"/>
      <c r="FE454" s="64"/>
      <c r="FF454" s="64"/>
      <c r="FG454" s="64"/>
      <c r="FH454" s="64"/>
      <c r="FI454" s="64"/>
    </row>
    <row r="455" spans="158:165" ht="15" customHeight="1" x14ac:dyDescent="0.15">
      <c r="FB455" s="63"/>
      <c r="FC455" s="64"/>
      <c r="FD455" s="64"/>
      <c r="FE455" s="64"/>
      <c r="FF455" s="64"/>
      <c r="FG455" s="64"/>
      <c r="FH455" s="64"/>
      <c r="FI455" s="64"/>
    </row>
    <row r="456" spans="158:165" ht="15" customHeight="1" x14ac:dyDescent="0.15">
      <c r="FB456" s="63"/>
      <c r="FC456" s="64"/>
      <c r="FD456" s="64"/>
      <c r="FE456" s="64"/>
      <c r="FF456" s="64"/>
      <c r="FG456" s="64"/>
      <c r="FH456" s="64"/>
      <c r="FI456" s="64"/>
    </row>
    <row r="457" spans="158:165" ht="15" customHeight="1" x14ac:dyDescent="0.15">
      <c r="FB457" s="63"/>
      <c r="FC457" s="64"/>
      <c r="FD457" s="64"/>
      <c r="FE457" s="64"/>
      <c r="FF457" s="64"/>
      <c r="FG457" s="64"/>
      <c r="FH457" s="64"/>
      <c r="FI457" s="64"/>
    </row>
    <row r="458" spans="158:165" ht="15" customHeight="1" x14ac:dyDescent="0.15">
      <c r="FB458" s="63"/>
      <c r="FC458" s="64"/>
      <c r="FD458" s="64"/>
      <c r="FE458" s="64"/>
      <c r="FF458" s="64"/>
      <c r="FG458" s="64"/>
      <c r="FH458" s="64"/>
      <c r="FI458" s="64"/>
    </row>
    <row r="459" spans="158:165" ht="15" customHeight="1" x14ac:dyDescent="0.15">
      <c r="FB459" s="63"/>
      <c r="FC459" s="64"/>
      <c r="FD459" s="64"/>
      <c r="FE459" s="64"/>
      <c r="FF459" s="64"/>
      <c r="FG459" s="64"/>
      <c r="FH459" s="64"/>
      <c r="FI459" s="64"/>
    </row>
    <row r="460" spans="158:165" ht="15" customHeight="1" x14ac:dyDescent="0.15">
      <c r="FB460" s="63"/>
      <c r="FC460" s="64"/>
      <c r="FD460" s="64"/>
      <c r="FE460" s="64"/>
      <c r="FF460" s="64"/>
      <c r="FG460" s="64"/>
      <c r="FH460" s="64"/>
      <c r="FI460" s="64"/>
    </row>
    <row r="461" spans="158:165" ht="15" customHeight="1" x14ac:dyDescent="0.15">
      <c r="FB461" s="63"/>
      <c r="FC461" s="64"/>
      <c r="FD461" s="64"/>
      <c r="FE461" s="64"/>
      <c r="FF461" s="64"/>
      <c r="FG461" s="64"/>
      <c r="FH461" s="64"/>
      <c r="FI461" s="64"/>
    </row>
    <row r="462" spans="158:165" ht="15" customHeight="1" x14ac:dyDescent="0.15">
      <c r="FB462" s="63"/>
      <c r="FC462" s="64"/>
      <c r="FD462" s="64"/>
      <c r="FE462" s="64"/>
      <c r="FF462" s="64"/>
      <c r="FG462" s="64"/>
      <c r="FH462" s="64"/>
      <c r="FI462" s="64"/>
    </row>
    <row r="463" spans="158:165" ht="15" customHeight="1" x14ac:dyDescent="0.15">
      <c r="FB463" s="63"/>
      <c r="FC463" s="64"/>
      <c r="FD463" s="64"/>
      <c r="FE463" s="64"/>
      <c r="FF463" s="64"/>
      <c r="FG463" s="64"/>
      <c r="FH463" s="64"/>
      <c r="FI463" s="64"/>
    </row>
    <row r="464" spans="158:165" ht="15" customHeight="1" x14ac:dyDescent="0.15">
      <c r="FB464" s="63"/>
      <c r="FC464" s="64"/>
      <c r="FD464" s="64"/>
      <c r="FE464" s="64"/>
      <c r="FF464" s="64"/>
      <c r="FG464" s="64"/>
      <c r="FH464" s="64"/>
      <c r="FI464" s="64"/>
    </row>
    <row r="465" spans="158:165" ht="15" customHeight="1" x14ac:dyDescent="0.15">
      <c r="FB465" s="63"/>
      <c r="FC465" s="64"/>
      <c r="FD465" s="64"/>
      <c r="FE465" s="64"/>
      <c r="FF465" s="64"/>
      <c r="FG465" s="64"/>
      <c r="FH465" s="64"/>
      <c r="FI465" s="64"/>
    </row>
    <row r="466" spans="158:165" ht="15" customHeight="1" x14ac:dyDescent="0.15">
      <c r="FB466" s="63"/>
      <c r="FC466" s="64"/>
      <c r="FD466" s="64"/>
      <c r="FE466" s="64"/>
      <c r="FF466" s="64"/>
      <c r="FG466" s="64"/>
      <c r="FH466" s="64"/>
      <c r="FI466" s="64"/>
    </row>
    <row r="467" spans="158:165" ht="15" customHeight="1" x14ac:dyDescent="0.15">
      <c r="FB467" s="63"/>
      <c r="FC467" s="64"/>
      <c r="FD467" s="64"/>
      <c r="FE467" s="64"/>
      <c r="FF467" s="64"/>
      <c r="FG467" s="64"/>
      <c r="FH467" s="64"/>
      <c r="FI467" s="64"/>
    </row>
    <row r="468" spans="158:165" ht="15" customHeight="1" x14ac:dyDescent="0.15">
      <c r="FB468" s="63"/>
      <c r="FC468" s="64"/>
      <c r="FD468" s="64"/>
      <c r="FE468" s="64"/>
      <c r="FF468" s="64"/>
      <c r="FG468" s="64"/>
      <c r="FH468" s="64"/>
      <c r="FI468" s="64"/>
    </row>
    <row r="469" spans="158:165" ht="15" customHeight="1" x14ac:dyDescent="0.15">
      <c r="FB469" s="63"/>
      <c r="FC469" s="64"/>
      <c r="FD469" s="64"/>
      <c r="FE469" s="64"/>
      <c r="FF469" s="64"/>
      <c r="FG469" s="64"/>
      <c r="FH469" s="64"/>
      <c r="FI469" s="64"/>
    </row>
    <row r="470" spans="158:165" ht="15" customHeight="1" x14ac:dyDescent="0.15">
      <c r="FB470" s="63"/>
      <c r="FC470" s="64"/>
      <c r="FD470" s="64"/>
      <c r="FE470" s="64"/>
      <c r="FF470" s="64"/>
      <c r="FG470" s="64"/>
      <c r="FH470" s="64"/>
      <c r="FI470" s="64"/>
    </row>
    <row r="471" spans="158:165" ht="15" customHeight="1" x14ac:dyDescent="0.15">
      <c r="FB471" s="63"/>
      <c r="FC471" s="64"/>
      <c r="FD471" s="64"/>
      <c r="FE471" s="64"/>
      <c r="FF471" s="64"/>
      <c r="FG471" s="64"/>
      <c r="FH471" s="64"/>
      <c r="FI471" s="64"/>
    </row>
    <row r="472" spans="158:165" ht="15" customHeight="1" x14ac:dyDescent="0.15">
      <c r="FB472" s="63"/>
      <c r="FC472" s="64"/>
      <c r="FD472" s="64"/>
      <c r="FE472" s="64"/>
      <c r="FF472" s="64"/>
      <c r="FG472" s="64"/>
      <c r="FH472" s="64"/>
      <c r="FI472" s="64"/>
    </row>
    <row r="473" spans="158:165" ht="15" customHeight="1" x14ac:dyDescent="0.15">
      <c r="FB473" s="63"/>
      <c r="FC473" s="64"/>
      <c r="FD473" s="64"/>
      <c r="FE473" s="64"/>
      <c r="FF473" s="64"/>
      <c r="FG473" s="64"/>
      <c r="FH473" s="64"/>
      <c r="FI473" s="64"/>
    </row>
    <row r="474" spans="158:165" ht="15" customHeight="1" x14ac:dyDescent="0.15">
      <c r="FB474" s="63"/>
      <c r="FC474" s="64"/>
      <c r="FD474" s="64"/>
      <c r="FE474" s="64"/>
      <c r="FF474" s="64"/>
      <c r="FG474" s="64"/>
      <c r="FH474" s="64"/>
      <c r="FI474" s="64"/>
    </row>
    <row r="475" spans="158:165" ht="15" customHeight="1" x14ac:dyDescent="0.15">
      <c r="FB475" s="63"/>
      <c r="FC475" s="64"/>
      <c r="FD475" s="64"/>
      <c r="FE475" s="64"/>
      <c r="FF475" s="64"/>
      <c r="FG475" s="64"/>
      <c r="FH475" s="64"/>
      <c r="FI475" s="64"/>
    </row>
    <row r="476" spans="158:165" ht="15" customHeight="1" x14ac:dyDescent="0.15">
      <c r="FB476" s="63"/>
      <c r="FC476" s="64"/>
      <c r="FD476" s="64"/>
      <c r="FE476" s="64"/>
      <c r="FF476" s="64"/>
      <c r="FG476" s="64"/>
      <c r="FH476" s="64"/>
      <c r="FI476" s="64"/>
    </row>
    <row r="477" spans="158:165" ht="15" customHeight="1" x14ac:dyDescent="0.15">
      <c r="FB477" s="63"/>
      <c r="FC477" s="64"/>
      <c r="FD477" s="64"/>
      <c r="FE477" s="64"/>
      <c r="FF477" s="64"/>
      <c r="FG477" s="64"/>
      <c r="FH477" s="64"/>
      <c r="FI477" s="64"/>
    </row>
    <row r="478" spans="158:165" ht="15" customHeight="1" x14ac:dyDescent="0.15">
      <c r="FB478" s="63"/>
      <c r="FC478" s="64"/>
      <c r="FD478" s="64"/>
      <c r="FE478" s="64"/>
      <c r="FF478" s="64"/>
      <c r="FG478" s="64"/>
      <c r="FH478" s="64"/>
      <c r="FI478" s="64"/>
    </row>
    <row r="479" spans="158:165" ht="15" customHeight="1" x14ac:dyDescent="0.15">
      <c r="FB479" s="63"/>
      <c r="FC479" s="64"/>
      <c r="FD479" s="64"/>
      <c r="FE479" s="64"/>
      <c r="FF479" s="64"/>
      <c r="FG479" s="64"/>
      <c r="FH479" s="64"/>
      <c r="FI479" s="64"/>
    </row>
    <row r="480" spans="158:165" ht="15" customHeight="1" x14ac:dyDescent="0.15">
      <c r="FB480" s="63"/>
      <c r="FC480" s="64"/>
      <c r="FD480" s="64"/>
      <c r="FE480" s="64"/>
      <c r="FF480" s="64"/>
      <c r="FG480" s="64"/>
      <c r="FH480" s="64"/>
      <c r="FI480" s="64"/>
    </row>
    <row r="481" spans="158:165" ht="15" customHeight="1" x14ac:dyDescent="0.15">
      <c r="FB481" s="63"/>
      <c r="FC481" s="64"/>
      <c r="FD481" s="64"/>
      <c r="FE481" s="64"/>
      <c r="FF481" s="64"/>
      <c r="FG481" s="64"/>
      <c r="FH481" s="64"/>
      <c r="FI481" s="64"/>
    </row>
    <row r="482" spans="158:165" ht="15" customHeight="1" x14ac:dyDescent="0.15">
      <c r="FB482" s="63"/>
      <c r="FC482" s="64"/>
      <c r="FD482" s="64"/>
      <c r="FE482" s="64"/>
      <c r="FF482" s="64"/>
      <c r="FG482" s="64"/>
      <c r="FH482" s="64"/>
      <c r="FI482" s="64"/>
    </row>
    <row r="483" spans="158:165" ht="15" customHeight="1" x14ac:dyDescent="0.15">
      <c r="FB483" s="63"/>
      <c r="FC483" s="64"/>
      <c r="FD483" s="64"/>
      <c r="FE483" s="64"/>
      <c r="FF483" s="64"/>
      <c r="FG483" s="64"/>
      <c r="FH483" s="64"/>
      <c r="FI483" s="64"/>
    </row>
    <row r="484" spans="158:165" ht="15" customHeight="1" x14ac:dyDescent="0.15">
      <c r="FB484" s="63"/>
      <c r="FC484" s="64"/>
      <c r="FD484" s="64"/>
      <c r="FE484" s="64"/>
      <c r="FF484" s="64"/>
      <c r="FG484" s="64"/>
      <c r="FH484" s="64"/>
      <c r="FI484" s="64"/>
    </row>
    <row r="485" spans="158:165" ht="15" customHeight="1" x14ac:dyDescent="0.15">
      <c r="FB485" s="63"/>
      <c r="FC485" s="64"/>
      <c r="FD485" s="64"/>
      <c r="FE485" s="64"/>
      <c r="FF485" s="64"/>
      <c r="FG485" s="64"/>
      <c r="FH485" s="64"/>
      <c r="FI485" s="64"/>
    </row>
    <row r="486" spans="158:165" ht="15" customHeight="1" x14ac:dyDescent="0.15">
      <c r="FB486" s="63"/>
      <c r="FC486" s="64"/>
      <c r="FD486" s="64"/>
      <c r="FE486" s="64"/>
      <c r="FF486" s="64"/>
      <c r="FG486" s="64"/>
      <c r="FH486" s="64"/>
      <c r="FI486" s="64"/>
    </row>
    <row r="487" spans="158:165" ht="15" customHeight="1" x14ac:dyDescent="0.15">
      <c r="FB487" s="63"/>
      <c r="FC487" s="64"/>
      <c r="FD487" s="64"/>
      <c r="FE487" s="64"/>
      <c r="FF487" s="64"/>
      <c r="FG487" s="64"/>
      <c r="FH487" s="64"/>
      <c r="FI487" s="64"/>
    </row>
    <row r="488" spans="158:165" ht="15" customHeight="1" x14ac:dyDescent="0.15">
      <c r="FB488" s="63"/>
      <c r="FC488" s="64"/>
      <c r="FD488" s="64"/>
      <c r="FE488" s="64"/>
      <c r="FF488" s="64"/>
      <c r="FG488" s="64"/>
      <c r="FH488" s="64"/>
      <c r="FI488" s="64"/>
    </row>
    <row r="489" spans="158:165" ht="15" customHeight="1" x14ac:dyDescent="0.15">
      <c r="FB489" s="63"/>
      <c r="FC489" s="64"/>
      <c r="FD489" s="64"/>
      <c r="FE489" s="64"/>
      <c r="FF489" s="64"/>
      <c r="FG489" s="64"/>
      <c r="FH489" s="64"/>
      <c r="FI489" s="64"/>
    </row>
    <row r="490" spans="158:165" ht="15" customHeight="1" x14ac:dyDescent="0.15">
      <c r="FB490" s="63"/>
      <c r="FC490" s="64"/>
      <c r="FD490" s="64"/>
      <c r="FE490" s="64"/>
      <c r="FF490" s="64"/>
      <c r="FG490" s="64"/>
      <c r="FH490" s="64"/>
      <c r="FI490" s="64"/>
    </row>
    <row r="491" spans="158:165" ht="15" customHeight="1" x14ac:dyDescent="0.15">
      <c r="FB491" s="63"/>
      <c r="FC491" s="64"/>
      <c r="FD491" s="64"/>
      <c r="FE491" s="64"/>
      <c r="FF491" s="64"/>
      <c r="FG491" s="64"/>
      <c r="FH491" s="64"/>
      <c r="FI491" s="64"/>
    </row>
    <row r="492" spans="158:165" ht="15" customHeight="1" x14ac:dyDescent="0.15">
      <c r="FB492" s="63"/>
      <c r="FC492" s="64"/>
      <c r="FD492" s="64"/>
      <c r="FE492" s="64"/>
      <c r="FF492" s="64"/>
      <c r="FG492" s="64"/>
      <c r="FH492" s="64"/>
      <c r="FI492" s="64"/>
    </row>
    <row r="493" spans="158:165" ht="15" customHeight="1" x14ac:dyDescent="0.15">
      <c r="FB493" s="63"/>
      <c r="FC493" s="64"/>
      <c r="FD493" s="64"/>
      <c r="FE493" s="64"/>
      <c r="FF493" s="64"/>
      <c r="FG493" s="64"/>
      <c r="FH493" s="64"/>
      <c r="FI493" s="64"/>
    </row>
    <row r="494" spans="158:165" ht="15" customHeight="1" x14ac:dyDescent="0.15">
      <c r="FB494" s="63"/>
      <c r="FC494" s="64"/>
      <c r="FD494" s="64"/>
      <c r="FE494" s="64"/>
      <c r="FF494" s="64"/>
      <c r="FG494" s="64"/>
      <c r="FH494" s="64"/>
      <c r="FI494" s="64"/>
    </row>
    <row r="495" spans="158:165" ht="15" customHeight="1" x14ac:dyDescent="0.15">
      <c r="FB495" s="63"/>
      <c r="FC495" s="64"/>
      <c r="FD495" s="64"/>
      <c r="FE495" s="64"/>
      <c r="FF495" s="64"/>
      <c r="FG495" s="64"/>
      <c r="FH495" s="64"/>
      <c r="FI495" s="64"/>
    </row>
    <row r="496" spans="158:165" ht="15" customHeight="1" x14ac:dyDescent="0.15">
      <c r="FB496" s="63"/>
      <c r="FC496" s="64"/>
      <c r="FD496" s="64"/>
      <c r="FE496" s="64"/>
      <c r="FF496" s="64"/>
      <c r="FG496" s="64"/>
      <c r="FH496" s="64"/>
      <c r="FI496" s="64"/>
    </row>
    <row r="497" spans="158:165" ht="15" customHeight="1" x14ac:dyDescent="0.15">
      <c r="FB497" s="63"/>
      <c r="FC497" s="64"/>
      <c r="FD497" s="64"/>
      <c r="FE497" s="64"/>
      <c r="FF497" s="64"/>
      <c r="FG497" s="64"/>
      <c r="FH497" s="64"/>
      <c r="FI497" s="64"/>
    </row>
    <row r="498" spans="158:165" ht="15" customHeight="1" x14ac:dyDescent="0.15">
      <c r="FB498" s="63"/>
      <c r="FC498" s="64"/>
      <c r="FD498" s="64"/>
      <c r="FE498" s="64"/>
      <c r="FF498" s="64"/>
      <c r="FG498" s="64"/>
      <c r="FH498" s="64"/>
      <c r="FI498" s="64"/>
    </row>
    <row r="499" spans="158:165" ht="15" customHeight="1" x14ac:dyDescent="0.15">
      <c r="FB499" s="63"/>
      <c r="FC499" s="64"/>
      <c r="FD499" s="64"/>
      <c r="FE499" s="64"/>
      <c r="FF499" s="64"/>
      <c r="FG499" s="64"/>
      <c r="FH499" s="64"/>
      <c r="FI499" s="64"/>
    </row>
    <row r="500" spans="158:165" ht="15" customHeight="1" x14ac:dyDescent="0.15">
      <c r="FB500" s="63"/>
      <c r="FC500" s="64"/>
      <c r="FD500" s="64"/>
      <c r="FE500" s="64"/>
      <c r="FF500" s="64"/>
      <c r="FG500" s="64"/>
      <c r="FH500" s="64"/>
      <c r="FI500" s="64"/>
    </row>
    <row r="501" spans="158:165" ht="15" customHeight="1" x14ac:dyDescent="0.15">
      <c r="FB501" s="63"/>
      <c r="FC501" s="64"/>
      <c r="FD501" s="64"/>
      <c r="FE501" s="64"/>
      <c r="FF501" s="64"/>
      <c r="FG501" s="64"/>
      <c r="FH501" s="64"/>
      <c r="FI501" s="64"/>
    </row>
    <row r="502" spans="158:165" ht="15" customHeight="1" x14ac:dyDescent="0.15">
      <c r="FB502" s="63"/>
      <c r="FC502" s="64"/>
      <c r="FD502" s="64"/>
      <c r="FE502" s="64"/>
      <c r="FF502" s="64"/>
      <c r="FG502" s="64"/>
      <c r="FH502" s="64"/>
      <c r="FI502" s="64"/>
    </row>
    <row r="503" spans="158:165" ht="15" customHeight="1" x14ac:dyDescent="0.15">
      <c r="FB503" s="63"/>
      <c r="FC503" s="64"/>
      <c r="FD503" s="64"/>
      <c r="FE503" s="64"/>
      <c r="FF503" s="64"/>
      <c r="FG503" s="64"/>
      <c r="FH503" s="64"/>
      <c r="FI503" s="64"/>
    </row>
    <row r="504" spans="158:165" ht="15" customHeight="1" x14ac:dyDescent="0.15">
      <c r="FB504" s="63"/>
      <c r="FC504" s="64"/>
      <c r="FD504" s="64"/>
      <c r="FE504" s="64"/>
      <c r="FF504" s="64"/>
      <c r="FG504" s="64"/>
      <c r="FH504" s="64"/>
      <c r="FI504" s="64"/>
    </row>
    <row r="505" spans="158:165" ht="15" customHeight="1" x14ac:dyDescent="0.15">
      <c r="FB505" s="63"/>
      <c r="FC505" s="64"/>
      <c r="FD505" s="64"/>
      <c r="FE505" s="64"/>
      <c r="FF505" s="64"/>
      <c r="FG505" s="64"/>
      <c r="FH505" s="64"/>
      <c r="FI505" s="64"/>
    </row>
    <row r="506" spans="158:165" ht="15" customHeight="1" x14ac:dyDescent="0.15">
      <c r="FB506" s="63"/>
      <c r="FC506" s="64"/>
      <c r="FD506" s="64"/>
      <c r="FE506" s="64"/>
      <c r="FF506" s="64"/>
      <c r="FG506" s="64"/>
      <c r="FH506" s="64"/>
      <c r="FI506" s="64"/>
    </row>
    <row r="507" spans="158:165" ht="15" customHeight="1" x14ac:dyDescent="0.15">
      <c r="FB507" s="63"/>
      <c r="FC507" s="64"/>
      <c r="FD507" s="64"/>
      <c r="FE507" s="64"/>
      <c r="FF507" s="64"/>
      <c r="FG507" s="64"/>
      <c r="FH507" s="64"/>
      <c r="FI507" s="64"/>
    </row>
    <row r="508" spans="158:165" ht="15" customHeight="1" x14ac:dyDescent="0.15">
      <c r="FB508" s="63"/>
      <c r="FC508" s="64"/>
      <c r="FD508" s="64"/>
      <c r="FE508" s="64"/>
      <c r="FF508" s="64"/>
      <c r="FG508" s="64"/>
      <c r="FH508" s="64"/>
      <c r="FI508" s="64"/>
    </row>
    <row r="509" spans="158:165" ht="15" customHeight="1" x14ac:dyDescent="0.15">
      <c r="FB509" s="63"/>
      <c r="FC509" s="64"/>
      <c r="FD509" s="64"/>
      <c r="FE509" s="64"/>
      <c r="FF509" s="64"/>
      <c r="FG509" s="64"/>
      <c r="FH509" s="64"/>
      <c r="FI509" s="64"/>
    </row>
    <row r="510" spans="158:165" ht="15" customHeight="1" x14ac:dyDescent="0.15">
      <c r="FB510" s="63"/>
      <c r="FC510" s="64"/>
      <c r="FD510" s="64"/>
      <c r="FE510" s="64"/>
      <c r="FF510" s="64"/>
      <c r="FG510" s="64"/>
      <c r="FH510" s="64"/>
      <c r="FI510" s="64"/>
    </row>
    <row r="511" spans="158:165" ht="15" customHeight="1" x14ac:dyDescent="0.15">
      <c r="FB511" s="63"/>
      <c r="FC511" s="64"/>
      <c r="FD511" s="64"/>
      <c r="FE511" s="64"/>
      <c r="FF511" s="64"/>
      <c r="FG511" s="64"/>
      <c r="FH511" s="64"/>
      <c r="FI511" s="64"/>
    </row>
    <row r="512" spans="158:165" ht="15" customHeight="1" x14ac:dyDescent="0.15">
      <c r="FB512" s="63"/>
      <c r="FC512" s="64"/>
      <c r="FD512" s="64"/>
      <c r="FE512" s="64"/>
      <c r="FF512" s="64"/>
      <c r="FG512" s="64"/>
      <c r="FH512" s="64"/>
      <c r="FI512" s="64"/>
    </row>
    <row r="513" spans="158:165" ht="15" customHeight="1" x14ac:dyDescent="0.15">
      <c r="FB513" s="63"/>
      <c r="FC513" s="64"/>
      <c r="FD513" s="64"/>
      <c r="FE513" s="64"/>
      <c r="FF513" s="64"/>
      <c r="FG513" s="64"/>
      <c r="FH513" s="64"/>
      <c r="FI513" s="64"/>
    </row>
    <row r="514" spans="158:165" ht="15" customHeight="1" x14ac:dyDescent="0.15">
      <c r="FB514" s="63"/>
      <c r="FC514" s="64"/>
      <c r="FD514" s="64"/>
      <c r="FE514" s="64"/>
      <c r="FF514" s="64"/>
      <c r="FG514" s="64"/>
      <c r="FH514" s="64"/>
      <c r="FI514" s="64"/>
    </row>
    <row r="515" spans="158:165" ht="15" customHeight="1" x14ac:dyDescent="0.15">
      <c r="FB515" s="63"/>
      <c r="FC515" s="64"/>
      <c r="FD515" s="64"/>
      <c r="FE515" s="64"/>
      <c r="FF515" s="64"/>
      <c r="FG515" s="64"/>
      <c r="FH515" s="64"/>
      <c r="FI515" s="64"/>
    </row>
    <row r="516" spans="158:165" ht="15" customHeight="1" x14ac:dyDescent="0.15">
      <c r="FB516" s="63"/>
      <c r="FC516" s="64"/>
      <c r="FD516" s="64"/>
      <c r="FE516" s="64"/>
      <c r="FF516" s="64"/>
      <c r="FG516" s="64"/>
      <c r="FH516" s="64"/>
      <c r="FI516" s="64"/>
    </row>
    <row r="517" spans="158:165" ht="15" customHeight="1" x14ac:dyDescent="0.15">
      <c r="FB517" s="63"/>
      <c r="FC517" s="64"/>
      <c r="FD517" s="64"/>
      <c r="FE517" s="64"/>
      <c r="FF517" s="64"/>
      <c r="FG517" s="64"/>
      <c r="FH517" s="64"/>
      <c r="FI517" s="64"/>
    </row>
    <row r="518" spans="158:165" ht="15" customHeight="1" x14ac:dyDescent="0.15">
      <c r="FB518" s="63"/>
      <c r="FC518" s="64"/>
      <c r="FD518" s="64"/>
      <c r="FE518" s="64"/>
      <c r="FF518" s="64"/>
      <c r="FG518" s="64"/>
      <c r="FH518" s="64"/>
      <c r="FI518" s="64"/>
    </row>
    <row r="519" spans="158:165" ht="15" customHeight="1" x14ac:dyDescent="0.15">
      <c r="FB519" s="63"/>
      <c r="FC519" s="64"/>
      <c r="FD519" s="64"/>
      <c r="FE519" s="64"/>
      <c r="FF519" s="64"/>
      <c r="FG519" s="64"/>
      <c r="FH519" s="64"/>
      <c r="FI519" s="64"/>
    </row>
    <row r="520" spans="158:165" ht="15" customHeight="1" x14ac:dyDescent="0.15">
      <c r="FB520" s="63"/>
      <c r="FC520" s="64"/>
      <c r="FD520" s="64"/>
      <c r="FE520" s="64"/>
      <c r="FF520" s="64"/>
      <c r="FG520" s="64"/>
      <c r="FH520" s="64"/>
      <c r="FI520" s="64"/>
    </row>
    <row r="521" spans="158:165" ht="15" customHeight="1" x14ac:dyDescent="0.15">
      <c r="FB521" s="63"/>
      <c r="FC521" s="64"/>
      <c r="FD521" s="64"/>
      <c r="FE521" s="64"/>
      <c r="FF521" s="64"/>
      <c r="FG521" s="64"/>
      <c r="FH521" s="64"/>
      <c r="FI521" s="64"/>
    </row>
    <row r="522" spans="158:165" ht="15" customHeight="1" x14ac:dyDescent="0.15">
      <c r="FB522" s="63"/>
      <c r="FC522" s="64"/>
      <c r="FD522" s="64"/>
      <c r="FE522" s="64"/>
      <c r="FF522" s="64"/>
      <c r="FG522" s="64"/>
      <c r="FH522" s="64"/>
      <c r="FI522" s="64"/>
    </row>
    <row r="523" spans="158:165" ht="15" customHeight="1" x14ac:dyDescent="0.15">
      <c r="FB523" s="63"/>
      <c r="FC523" s="64"/>
      <c r="FD523" s="64"/>
      <c r="FE523" s="64"/>
      <c r="FF523" s="64"/>
      <c r="FG523" s="64"/>
      <c r="FH523" s="64"/>
      <c r="FI523" s="64"/>
    </row>
    <row r="524" spans="158:165" ht="15" customHeight="1" x14ac:dyDescent="0.15">
      <c r="FB524" s="63"/>
      <c r="FC524" s="64"/>
      <c r="FD524" s="64"/>
      <c r="FE524" s="64"/>
      <c r="FF524" s="64"/>
      <c r="FG524" s="64"/>
      <c r="FH524" s="64"/>
      <c r="FI524" s="64"/>
    </row>
    <row r="525" spans="158:165" ht="15" customHeight="1" x14ac:dyDescent="0.15">
      <c r="FB525" s="63"/>
      <c r="FC525" s="64"/>
      <c r="FD525" s="64"/>
      <c r="FE525" s="64"/>
      <c r="FF525" s="64"/>
      <c r="FG525" s="64"/>
      <c r="FH525" s="64"/>
      <c r="FI525" s="64"/>
    </row>
    <row r="526" spans="158:165" ht="15" customHeight="1" x14ac:dyDescent="0.15">
      <c r="FB526" s="63"/>
      <c r="FC526" s="64"/>
      <c r="FD526" s="64"/>
      <c r="FE526" s="64"/>
      <c r="FF526" s="64"/>
      <c r="FG526" s="64"/>
      <c r="FH526" s="64"/>
      <c r="FI526" s="64"/>
    </row>
    <row r="527" spans="158:165" ht="15" customHeight="1" x14ac:dyDescent="0.15">
      <c r="FB527" s="63"/>
      <c r="FC527" s="64"/>
      <c r="FD527" s="64"/>
      <c r="FE527" s="64"/>
      <c r="FF527" s="64"/>
      <c r="FG527" s="64"/>
      <c r="FH527" s="64"/>
      <c r="FI527" s="64"/>
    </row>
    <row r="528" spans="158:165" ht="15" customHeight="1" x14ac:dyDescent="0.15">
      <c r="FB528" s="63"/>
      <c r="FC528" s="64"/>
      <c r="FD528" s="64"/>
      <c r="FE528" s="64"/>
      <c r="FF528" s="64"/>
      <c r="FG528" s="64"/>
      <c r="FH528" s="64"/>
      <c r="FI528" s="64"/>
    </row>
    <row r="529" spans="158:165" ht="15" customHeight="1" x14ac:dyDescent="0.15">
      <c r="FB529" s="63"/>
      <c r="FC529" s="64"/>
      <c r="FD529" s="64"/>
      <c r="FE529" s="64"/>
      <c r="FF529" s="64"/>
      <c r="FG529" s="64"/>
      <c r="FH529" s="64"/>
      <c r="FI529" s="64"/>
    </row>
    <row r="530" spans="158:165" ht="15" customHeight="1" x14ac:dyDescent="0.15">
      <c r="FB530" s="63"/>
      <c r="FC530" s="64"/>
      <c r="FD530" s="64"/>
      <c r="FE530" s="64"/>
      <c r="FF530" s="64"/>
      <c r="FG530" s="64"/>
      <c r="FH530" s="64"/>
      <c r="FI530" s="64"/>
    </row>
    <row r="531" spans="158:165" ht="15" customHeight="1" x14ac:dyDescent="0.15">
      <c r="FB531" s="63"/>
      <c r="FC531" s="64"/>
      <c r="FD531" s="64"/>
      <c r="FE531" s="64"/>
      <c r="FF531" s="64"/>
      <c r="FG531" s="64"/>
      <c r="FH531" s="64"/>
      <c r="FI531" s="64"/>
    </row>
    <row r="532" spans="158:165" ht="15" customHeight="1" x14ac:dyDescent="0.15">
      <c r="FB532" s="63"/>
      <c r="FC532" s="64"/>
      <c r="FD532" s="64"/>
      <c r="FE532" s="64"/>
      <c r="FF532" s="64"/>
      <c r="FG532" s="64"/>
      <c r="FH532" s="64"/>
      <c r="FI532" s="64"/>
    </row>
    <row r="533" spans="158:165" ht="15" customHeight="1" x14ac:dyDescent="0.15">
      <c r="FB533" s="63"/>
      <c r="FC533" s="64"/>
      <c r="FD533" s="64"/>
      <c r="FE533" s="64"/>
      <c r="FF533" s="64"/>
      <c r="FG533" s="64"/>
      <c r="FH533" s="64"/>
      <c r="FI533" s="64"/>
    </row>
    <row r="534" spans="158:165" ht="15" customHeight="1" x14ac:dyDescent="0.15">
      <c r="FB534" s="63"/>
      <c r="FC534" s="64"/>
      <c r="FD534" s="64"/>
      <c r="FE534" s="64"/>
      <c r="FF534" s="64"/>
      <c r="FG534" s="64"/>
      <c r="FH534" s="64"/>
      <c r="FI534" s="64"/>
    </row>
    <row r="535" spans="158:165" ht="15" customHeight="1" x14ac:dyDescent="0.15">
      <c r="FB535" s="63"/>
      <c r="FC535" s="64"/>
      <c r="FD535" s="64"/>
      <c r="FE535" s="64"/>
      <c r="FF535" s="64"/>
      <c r="FG535" s="64"/>
      <c r="FH535" s="64"/>
      <c r="FI535" s="64"/>
    </row>
    <row r="536" spans="158:165" ht="15" customHeight="1" x14ac:dyDescent="0.15">
      <c r="FB536" s="63"/>
      <c r="FC536" s="64"/>
      <c r="FD536" s="64"/>
      <c r="FE536" s="64"/>
      <c r="FF536" s="64"/>
      <c r="FG536" s="64"/>
      <c r="FH536" s="64"/>
      <c r="FI536" s="64"/>
    </row>
    <row r="537" spans="158:165" ht="15" customHeight="1" x14ac:dyDescent="0.15">
      <c r="FB537" s="63"/>
      <c r="FC537" s="64"/>
      <c r="FD537" s="64"/>
      <c r="FE537" s="64"/>
      <c r="FF537" s="64"/>
      <c r="FG537" s="64"/>
      <c r="FH537" s="64"/>
      <c r="FI537" s="64"/>
    </row>
    <row r="538" spans="158:165" ht="15" customHeight="1" x14ac:dyDescent="0.15">
      <c r="FB538" s="63"/>
      <c r="FC538" s="64"/>
      <c r="FD538" s="64"/>
      <c r="FE538" s="64"/>
      <c r="FF538" s="64"/>
      <c r="FG538" s="64"/>
      <c r="FH538" s="64"/>
      <c r="FI538" s="64"/>
    </row>
    <row r="539" spans="158:165" ht="15" customHeight="1" x14ac:dyDescent="0.15">
      <c r="FB539" s="63"/>
      <c r="FC539" s="64"/>
      <c r="FD539" s="64"/>
      <c r="FE539" s="64"/>
      <c r="FF539" s="64"/>
      <c r="FG539" s="64"/>
      <c r="FH539" s="64"/>
      <c r="FI539" s="64"/>
    </row>
    <row r="540" spans="158:165" ht="15" customHeight="1" x14ac:dyDescent="0.15">
      <c r="FB540" s="63"/>
      <c r="FC540" s="64"/>
      <c r="FD540" s="64"/>
      <c r="FE540" s="64"/>
      <c r="FF540" s="64"/>
      <c r="FG540" s="64"/>
      <c r="FH540" s="64"/>
      <c r="FI540" s="64"/>
    </row>
    <row r="541" spans="158:165" ht="15" customHeight="1" x14ac:dyDescent="0.15">
      <c r="FB541" s="63"/>
      <c r="FC541" s="64"/>
      <c r="FD541" s="64"/>
      <c r="FE541" s="64"/>
      <c r="FF541" s="64"/>
      <c r="FG541" s="64"/>
      <c r="FH541" s="64"/>
      <c r="FI541" s="64"/>
    </row>
    <row r="542" spans="158:165" ht="15" customHeight="1" x14ac:dyDescent="0.15">
      <c r="FB542" s="63"/>
      <c r="FC542" s="64"/>
      <c r="FD542" s="64"/>
      <c r="FE542" s="64"/>
      <c r="FF542" s="64"/>
      <c r="FG542" s="64"/>
      <c r="FH542" s="64"/>
      <c r="FI542" s="64"/>
    </row>
    <row r="543" spans="158:165" ht="15" customHeight="1" x14ac:dyDescent="0.15">
      <c r="FB543" s="63"/>
      <c r="FC543" s="64"/>
      <c r="FD543" s="64"/>
      <c r="FE543" s="64"/>
      <c r="FF543" s="64"/>
      <c r="FG543" s="64"/>
      <c r="FH543" s="64"/>
      <c r="FI543" s="64"/>
    </row>
    <row r="544" spans="158:165" ht="15" customHeight="1" x14ac:dyDescent="0.15">
      <c r="FB544" s="63"/>
      <c r="FC544" s="64"/>
      <c r="FD544" s="64"/>
      <c r="FE544" s="64"/>
      <c r="FF544" s="64"/>
      <c r="FG544" s="64"/>
      <c r="FH544" s="64"/>
      <c r="FI544" s="64"/>
    </row>
    <row r="545" spans="158:165" ht="15" customHeight="1" x14ac:dyDescent="0.15">
      <c r="FB545" s="63"/>
      <c r="FC545" s="64"/>
      <c r="FD545" s="64"/>
      <c r="FE545" s="64"/>
      <c r="FF545" s="64"/>
      <c r="FG545" s="64"/>
      <c r="FH545" s="64"/>
      <c r="FI545" s="64"/>
    </row>
    <row r="546" spans="158:165" ht="15" customHeight="1" x14ac:dyDescent="0.15">
      <c r="FB546" s="63"/>
      <c r="FC546" s="64"/>
      <c r="FD546" s="64"/>
      <c r="FE546" s="64"/>
      <c r="FF546" s="64"/>
      <c r="FG546" s="64"/>
      <c r="FH546" s="64"/>
      <c r="FI546" s="64"/>
    </row>
    <row r="547" spans="158:165" ht="15" customHeight="1" x14ac:dyDescent="0.15">
      <c r="FB547" s="63"/>
      <c r="FC547" s="64"/>
      <c r="FD547" s="64"/>
      <c r="FE547" s="64"/>
      <c r="FF547" s="64"/>
      <c r="FG547" s="64"/>
      <c r="FH547" s="64"/>
      <c r="FI547" s="64"/>
    </row>
    <row r="548" spans="158:165" ht="15" customHeight="1" x14ac:dyDescent="0.15">
      <c r="FB548" s="63"/>
      <c r="FC548" s="64"/>
      <c r="FD548" s="64"/>
      <c r="FE548" s="64"/>
      <c r="FF548" s="64"/>
      <c r="FG548" s="64"/>
      <c r="FH548" s="64"/>
      <c r="FI548" s="64"/>
    </row>
    <row r="549" spans="158:165" ht="15" customHeight="1" x14ac:dyDescent="0.15">
      <c r="FB549" s="63"/>
      <c r="FC549" s="64"/>
      <c r="FD549" s="64"/>
      <c r="FE549" s="64"/>
      <c r="FF549" s="64"/>
      <c r="FG549" s="64"/>
      <c r="FH549" s="64"/>
      <c r="FI549" s="64"/>
    </row>
    <row r="550" spans="158:165" ht="15" customHeight="1" x14ac:dyDescent="0.15">
      <c r="FB550" s="63"/>
      <c r="FC550" s="64"/>
      <c r="FD550" s="64"/>
      <c r="FE550" s="64"/>
      <c r="FF550" s="64"/>
      <c r="FG550" s="64"/>
      <c r="FH550" s="64"/>
      <c r="FI550" s="64"/>
    </row>
    <row r="551" spans="158:165" ht="15" customHeight="1" x14ac:dyDescent="0.15">
      <c r="FB551" s="63"/>
      <c r="FC551" s="64"/>
      <c r="FD551" s="64"/>
      <c r="FE551" s="64"/>
      <c r="FF551" s="64"/>
      <c r="FG551" s="64"/>
      <c r="FH551" s="64"/>
      <c r="FI551" s="64"/>
    </row>
    <row r="552" spans="158:165" ht="15" customHeight="1" x14ac:dyDescent="0.15">
      <c r="FB552" s="63"/>
      <c r="FC552" s="64"/>
      <c r="FD552" s="64"/>
      <c r="FE552" s="64"/>
      <c r="FF552" s="64"/>
      <c r="FG552" s="64"/>
      <c r="FH552" s="64"/>
      <c r="FI552" s="64"/>
    </row>
    <row r="553" spans="158:165" ht="15" customHeight="1" x14ac:dyDescent="0.15">
      <c r="FB553" s="63"/>
      <c r="FC553" s="64"/>
      <c r="FD553" s="64"/>
      <c r="FE553" s="64"/>
      <c r="FF553" s="64"/>
      <c r="FG553" s="64"/>
      <c r="FH553" s="64"/>
      <c r="FI553" s="64"/>
    </row>
    <row r="554" spans="158:165" ht="15" customHeight="1" x14ac:dyDescent="0.15">
      <c r="FB554" s="63"/>
      <c r="FC554" s="64"/>
      <c r="FD554" s="64"/>
      <c r="FE554" s="64"/>
      <c r="FF554" s="64"/>
      <c r="FG554" s="64"/>
      <c r="FH554" s="64"/>
      <c r="FI554" s="64"/>
    </row>
    <row r="555" spans="158:165" ht="15" customHeight="1" x14ac:dyDescent="0.15">
      <c r="FB555" s="63"/>
      <c r="FC555" s="64"/>
      <c r="FD555" s="64"/>
      <c r="FE555" s="64"/>
      <c r="FF555" s="64"/>
      <c r="FG555" s="64"/>
      <c r="FH555" s="64"/>
      <c r="FI555" s="64"/>
    </row>
    <row r="556" spans="158:165" ht="15" customHeight="1" x14ac:dyDescent="0.15">
      <c r="FB556" s="63"/>
      <c r="FC556" s="64"/>
      <c r="FD556" s="64"/>
      <c r="FE556" s="64"/>
      <c r="FF556" s="64"/>
      <c r="FG556" s="64"/>
      <c r="FH556" s="64"/>
      <c r="FI556" s="64"/>
    </row>
    <row r="557" spans="158:165" ht="15" customHeight="1" x14ac:dyDescent="0.15">
      <c r="FB557" s="63"/>
      <c r="FC557" s="64"/>
      <c r="FD557" s="64"/>
      <c r="FE557" s="64"/>
      <c r="FF557" s="64"/>
      <c r="FG557" s="64"/>
      <c r="FH557" s="64"/>
      <c r="FI557" s="64"/>
    </row>
    <row r="558" spans="158:165" ht="15" customHeight="1" x14ac:dyDescent="0.15">
      <c r="FB558" s="63"/>
      <c r="FC558" s="64"/>
      <c r="FD558" s="64"/>
      <c r="FE558" s="64"/>
      <c r="FF558" s="64"/>
      <c r="FG558" s="64"/>
      <c r="FH558" s="64"/>
      <c r="FI558" s="64"/>
    </row>
    <row r="559" spans="158:165" ht="15" customHeight="1" x14ac:dyDescent="0.15">
      <c r="FB559" s="63"/>
      <c r="FC559" s="64"/>
      <c r="FD559" s="64"/>
      <c r="FE559" s="64"/>
      <c r="FF559" s="64"/>
      <c r="FG559" s="64"/>
      <c r="FH559" s="64"/>
      <c r="FI559" s="64"/>
    </row>
    <row r="560" spans="158:165" ht="15" customHeight="1" x14ac:dyDescent="0.15">
      <c r="FB560" s="63"/>
      <c r="FC560" s="64"/>
      <c r="FD560" s="64"/>
      <c r="FE560" s="64"/>
      <c r="FF560" s="64"/>
      <c r="FG560" s="64"/>
      <c r="FH560" s="64"/>
      <c r="FI560" s="64"/>
    </row>
    <row r="561" spans="158:165" ht="15" customHeight="1" x14ac:dyDescent="0.15">
      <c r="FB561" s="63"/>
      <c r="FC561" s="64"/>
      <c r="FD561" s="64"/>
      <c r="FE561" s="64"/>
      <c r="FF561" s="64"/>
      <c r="FG561" s="64"/>
      <c r="FH561" s="64"/>
      <c r="FI561" s="64"/>
    </row>
    <row r="562" spans="158:165" ht="15" customHeight="1" x14ac:dyDescent="0.15">
      <c r="FB562" s="63"/>
      <c r="FC562" s="64"/>
      <c r="FD562" s="64"/>
      <c r="FE562" s="64"/>
      <c r="FF562" s="64"/>
      <c r="FG562" s="64"/>
      <c r="FH562" s="64"/>
      <c r="FI562" s="64"/>
    </row>
    <row r="563" spans="158:165" ht="15" customHeight="1" x14ac:dyDescent="0.15">
      <c r="FB563" s="63"/>
      <c r="FC563" s="64"/>
      <c r="FD563" s="64"/>
      <c r="FE563" s="64"/>
      <c r="FF563" s="64"/>
      <c r="FG563" s="64"/>
      <c r="FH563" s="64"/>
      <c r="FI563" s="64"/>
    </row>
    <row r="564" spans="158:165" ht="15" customHeight="1" x14ac:dyDescent="0.15">
      <c r="FB564" s="63"/>
      <c r="FC564" s="64"/>
      <c r="FD564" s="64"/>
      <c r="FE564" s="64"/>
      <c r="FF564" s="64"/>
      <c r="FG564" s="64"/>
      <c r="FH564" s="64"/>
      <c r="FI564" s="64"/>
    </row>
    <row r="565" spans="158:165" ht="15" customHeight="1" x14ac:dyDescent="0.15">
      <c r="FB565" s="63"/>
      <c r="FC565" s="64"/>
      <c r="FD565" s="64"/>
      <c r="FE565" s="64"/>
      <c r="FF565" s="64"/>
      <c r="FG565" s="64"/>
      <c r="FH565" s="64"/>
      <c r="FI565" s="64"/>
    </row>
    <row r="566" spans="158:165" ht="15" customHeight="1" x14ac:dyDescent="0.15">
      <c r="FB566" s="63"/>
      <c r="FC566" s="64"/>
      <c r="FD566" s="64"/>
      <c r="FE566" s="64"/>
      <c r="FF566" s="64"/>
      <c r="FG566" s="64"/>
      <c r="FH566" s="64"/>
      <c r="FI566" s="64"/>
    </row>
    <row r="567" spans="158:165" ht="15" customHeight="1" x14ac:dyDescent="0.15">
      <c r="FB567" s="63"/>
      <c r="FC567" s="64"/>
      <c r="FD567" s="64"/>
      <c r="FE567" s="64"/>
      <c r="FF567" s="64"/>
      <c r="FG567" s="64"/>
      <c r="FH567" s="64"/>
      <c r="FI567" s="64"/>
    </row>
    <row r="568" spans="158:165" ht="15" customHeight="1" x14ac:dyDescent="0.15">
      <c r="FB568" s="63"/>
      <c r="FC568" s="64"/>
      <c r="FD568" s="64"/>
      <c r="FE568" s="64"/>
      <c r="FF568" s="64"/>
      <c r="FG568" s="64"/>
      <c r="FH568" s="64"/>
      <c r="FI568" s="64"/>
    </row>
    <row r="569" spans="158:165" ht="15" customHeight="1" x14ac:dyDescent="0.15">
      <c r="FB569" s="63"/>
      <c r="FC569" s="64"/>
      <c r="FD569" s="64"/>
      <c r="FE569" s="64"/>
      <c r="FF569" s="64"/>
      <c r="FG569" s="64"/>
      <c r="FH569" s="64"/>
      <c r="FI569" s="64"/>
    </row>
    <row r="570" spans="158:165" ht="15" customHeight="1" x14ac:dyDescent="0.15">
      <c r="FB570" s="63"/>
      <c r="FC570" s="64"/>
      <c r="FD570" s="64"/>
      <c r="FE570" s="64"/>
      <c r="FF570" s="64"/>
      <c r="FG570" s="64"/>
      <c r="FH570" s="64"/>
      <c r="FI570" s="64"/>
    </row>
    <row r="571" spans="158:165" ht="15" customHeight="1" x14ac:dyDescent="0.15">
      <c r="FB571" s="63"/>
      <c r="FC571" s="64"/>
      <c r="FD571" s="64"/>
      <c r="FE571" s="64"/>
      <c r="FF571" s="64"/>
      <c r="FG571" s="64"/>
      <c r="FH571" s="64"/>
      <c r="FI571" s="64"/>
    </row>
    <row r="572" spans="158:165" ht="15" customHeight="1" x14ac:dyDescent="0.15">
      <c r="FB572" s="63"/>
      <c r="FC572" s="64"/>
      <c r="FD572" s="64"/>
      <c r="FE572" s="64"/>
      <c r="FF572" s="64"/>
      <c r="FG572" s="64"/>
      <c r="FH572" s="64"/>
      <c r="FI572" s="64"/>
    </row>
    <row r="573" spans="158:165" ht="15" customHeight="1" x14ac:dyDescent="0.15">
      <c r="FB573" s="63"/>
      <c r="FC573" s="64"/>
      <c r="FD573" s="64"/>
      <c r="FE573" s="64"/>
      <c r="FF573" s="64"/>
      <c r="FG573" s="64"/>
      <c r="FH573" s="64"/>
      <c r="FI573" s="64"/>
    </row>
    <row r="574" spans="158:165" ht="15" customHeight="1" x14ac:dyDescent="0.15">
      <c r="FB574" s="63"/>
      <c r="FC574" s="64"/>
      <c r="FD574" s="64"/>
      <c r="FE574" s="64"/>
      <c r="FF574" s="64"/>
      <c r="FG574" s="64"/>
      <c r="FH574" s="64"/>
      <c r="FI574" s="64"/>
    </row>
    <row r="575" spans="158:165" ht="15" customHeight="1" x14ac:dyDescent="0.15">
      <c r="FB575" s="63"/>
      <c r="FC575" s="64"/>
      <c r="FD575" s="64"/>
      <c r="FE575" s="64"/>
      <c r="FF575" s="64"/>
      <c r="FG575" s="64"/>
      <c r="FH575" s="64"/>
      <c r="FI575" s="64"/>
    </row>
    <row r="576" spans="158:165" ht="15" customHeight="1" x14ac:dyDescent="0.15">
      <c r="FB576" s="63"/>
      <c r="FC576" s="64"/>
      <c r="FD576" s="64"/>
      <c r="FE576" s="64"/>
      <c r="FF576" s="64"/>
      <c r="FG576" s="64"/>
      <c r="FH576" s="64"/>
      <c r="FI576" s="64"/>
    </row>
    <row r="577" spans="158:165" ht="15" customHeight="1" x14ac:dyDescent="0.15">
      <c r="FB577" s="63"/>
      <c r="FC577" s="64"/>
      <c r="FD577" s="64"/>
      <c r="FE577" s="64"/>
      <c r="FF577" s="64"/>
      <c r="FG577" s="64"/>
      <c r="FH577" s="64"/>
      <c r="FI577" s="64"/>
    </row>
    <row r="578" spans="158:165" ht="15" customHeight="1" x14ac:dyDescent="0.15">
      <c r="FB578" s="63"/>
      <c r="FC578" s="64"/>
      <c r="FD578" s="64"/>
      <c r="FE578" s="64"/>
      <c r="FF578" s="64"/>
      <c r="FG578" s="64"/>
      <c r="FH578" s="64"/>
      <c r="FI578" s="64"/>
    </row>
    <row r="579" spans="158:165" ht="15" customHeight="1" x14ac:dyDescent="0.15">
      <c r="FB579" s="63"/>
      <c r="FC579" s="64"/>
      <c r="FD579" s="64"/>
      <c r="FE579" s="64"/>
      <c r="FF579" s="64"/>
      <c r="FG579" s="64"/>
      <c r="FH579" s="64"/>
      <c r="FI579" s="64"/>
    </row>
    <row r="580" spans="158:165" ht="15" customHeight="1" x14ac:dyDescent="0.15">
      <c r="FB580" s="63"/>
      <c r="FC580" s="64"/>
      <c r="FD580" s="64"/>
      <c r="FE580" s="64"/>
      <c r="FF580" s="64"/>
      <c r="FG580" s="64"/>
      <c r="FH580" s="64"/>
      <c r="FI580" s="64"/>
    </row>
    <row r="581" spans="158:165" ht="15" customHeight="1" x14ac:dyDescent="0.15">
      <c r="FB581" s="63"/>
      <c r="FC581" s="64"/>
      <c r="FD581" s="64"/>
      <c r="FE581" s="64"/>
      <c r="FF581" s="64"/>
      <c r="FG581" s="64"/>
      <c r="FH581" s="64"/>
      <c r="FI581" s="64"/>
    </row>
    <row r="582" spans="158:165" ht="15" customHeight="1" x14ac:dyDescent="0.15">
      <c r="FB582" s="63"/>
      <c r="FC582" s="64"/>
      <c r="FD582" s="64"/>
      <c r="FE582" s="64"/>
      <c r="FF582" s="64"/>
      <c r="FG582" s="64"/>
      <c r="FH582" s="64"/>
      <c r="FI582" s="64"/>
    </row>
    <row r="583" spans="158:165" ht="15" customHeight="1" x14ac:dyDescent="0.15">
      <c r="FB583" s="63"/>
      <c r="FC583" s="64"/>
      <c r="FD583" s="64"/>
      <c r="FE583" s="64"/>
      <c r="FF583" s="64"/>
      <c r="FG583" s="64"/>
      <c r="FH583" s="64"/>
      <c r="FI583" s="64"/>
    </row>
    <row r="584" spans="158:165" ht="15" customHeight="1" x14ac:dyDescent="0.15">
      <c r="FB584" s="63"/>
      <c r="FC584" s="64"/>
      <c r="FD584" s="64"/>
      <c r="FE584" s="64"/>
      <c r="FF584" s="64"/>
      <c r="FG584" s="64"/>
      <c r="FH584" s="64"/>
      <c r="FI584" s="64"/>
    </row>
    <row r="585" spans="158:165" ht="15" customHeight="1" x14ac:dyDescent="0.15">
      <c r="FB585" s="63"/>
      <c r="FC585" s="64"/>
      <c r="FD585" s="64"/>
      <c r="FE585" s="64"/>
      <c r="FF585" s="64"/>
      <c r="FG585" s="64"/>
      <c r="FH585" s="64"/>
      <c r="FI585" s="64"/>
    </row>
    <row r="586" spans="158:165" ht="15" customHeight="1" x14ac:dyDescent="0.15">
      <c r="FB586" s="63"/>
      <c r="FC586" s="64"/>
      <c r="FD586" s="64"/>
      <c r="FE586" s="64"/>
      <c r="FF586" s="64"/>
      <c r="FG586" s="64"/>
      <c r="FH586" s="64"/>
      <c r="FI586" s="64"/>
    </row>
    <row r="587" spans="158:165" ht="15" customHeight="1" x14ac:dyDescent="0.15">
      <c r="FB587" s="63"/>
      <c r="FC587" s="64"/>
      <c r="FD587" s="64"/>
      <c r="FE587" s="64"/>
      <c r="FF587" s="64"/>
      <c r="FG587" s="64"/>
      <c r="FH587" s="64"/>
      <c r="FI587" s="64"/>
    </row>
    <row r="588" spans="158:165" ht="15" customHeight="1" x14ac:dyDescent="0.15">
      <c r="FB588" s="63"/>
      <c r="FC588" s="64"/>
      <c r="FD588" s="64"/>
      <c r="FE588" s="64"/>
      <c r="FF588" s="64"/>
      <c r="FG588" s="64"/>
      <c r="FH588" s="64"/>
      <c r="FI588" s="64"/>
    </row>
    <row r="589" spans="158:165" ht="15" customHeight="1" x14ac:dyDescent="0.15">
      <c r="FB589" s="63"/>
      <c r="FC589" s="64"/>
      <c r="FD589" s="64"/>
      <c r="FE589" s="64"/>
      <c r="FF589" s="64"/>
      <c r="FG589" s="64"/>
      <c r="FH589" s="64"/>
      <c r="FI589" s="64"/>
    </row>
    <row r="590" spans="158:165" ht="15" customHeight="1" x14ac:dyDescent="0.15">
      <c r="FB590" s="63"/>
      <c r="FC590" s="64"/>
      <c r="FD590" s="64"/>
      <c r="FE590" s="64"/>
      <c r="FF590" s="64"/>
      <c r="FG590" s="64"/>
      <c r="FH590" s="64"/>
      <c r="FI590" s="64"/>
    </row>
    <row r="591" spans="158:165" ht="15" customHeight="1" x14ac:dyDescent="0.15">
      <c r="FB591" s="63"/>
      <c r="FC591" s="64"/>
      <c r="FD591" s="64"/>
      <c r="FE591" s="64"/>
      <c r="FF591" s="64"/>
      <c r="FG591" s="64"/>
      <c r="FH591" s="64"/>
      <c r="FI591" s="64"/>
    </row>
    <row r="592" spans="158:165" ht="15" customHeight="1" x14ac:dyDescent="0.15">
      <c r="FB592" s="63"/>
      <c r="FC592" s="64"/>
      <c r="FD592" s="64"/>
      <c r="FE592" s="64"/>
      <c r="FF592" s="64"/>
      <c r="FG592" s="64"/>
      <c r="FH592" s="64"/>
      <c r="FI592" s="64"/>
    </row>
    <row r="593" spans="158:165" ht="15" customHeight="1" x14ac:dyDescent="0.15">
      <c r="FB593" s="63"/>
      <c r="FC593" s="64"/>
      <c r="FD593" s="64"/>
      <c r="FE593" s="64"/>
      <c r="FF593" s="64"/>
      <c r="FG593" s="64"/>
      <c r="FH593" s="64"/>
      <c r="FI593" s="64"/>
    </row>
    <row r="594" spans="158:165" ht="15" customHeight="1" x14ac:dyDescent="0.15">
      <c r="FB594" s="63"/>
      <c r="FC594" s="64"/>
      <c r="FD594" s="64"/>
      <c r="FE594" s="64"/>
      <c r="FF594" s="64"/>
      <c r="FG594" s="64"/>
      <c r="FH594" s="64"/>
      <c r="FI594" s="64"/>
    </row>
    <row r="595" spans="158:165" ht="15" customHeight="1" x14ac:dyDescent="0.15">
      <c r="FB595" s="63"/>
      <c r="FC595" s="64"/>
      <c r="FD595" s="64"/>
      <c r="FE595" s="64"/>
      <c r="FF595" s="64"/>
      <c r="FG595" s="64"/>
      <c r="FH595" s="64"/>
      <c r="FI595" s="64"/>
    </row>
    <row r="596" spans="158:165" ht="15" customHeight="1" x14ac:dyDescent="0.15">
      <c r="FB596" s="63"/>
      <c r="FC596" s="64"/>
      <c r="FD596" s="64"/>
      <c r="FE596" s="64"/>
      <c r="FF596" s="64"/>
      <c r="FG596" s="64"/>
      <c r="FH596" s="64"/>
      <c r="FI596" s="64"/>
    </row>
    <row r="597" spans="158:165" ht="15" customHeight="1" x14ac:dyDescent="0.15">
      <c r="FB597" s="63"/>
      <c r="FC597" s="64"/>
      <c r="FD597" s="64"/>
      <c r="FE597" s="64"/>
      <c r="FF597" s="64"/>
      <c r="FG597" s="64"/>
      <c r="FH597" s="64"/>
      <c r="FI597" s="64"/>
    </row>
    <row r="598" spans="158:165" ht="15" customHeight="1" x14ac:dyDescent="0.15">
      <c r="FB598" s="63"/>
      <c r="FC598" s="64"/>
      <c r="FD598" s="64"/>
      <c r="FE598" s="64"/>
      <c r="FF598" s="64"/>
      <c r="FG598" s="64"/>
      <c r="FH598" s="64"/>
      <c r="FI598" s="64"/>
    </row>
    <row r="599" spans="158:165" ht="15" customHeight="1" x14ac:dyDescent="0.15">
      <c r="FB599" s="63"/>
      <c r="FC599" s="64"/>
      <c r="FD599" s="64"/>
      <c r="FE599" s="64"/>
      <c r="FF599" s="64"/>
      <c r="FG599" s="64"/>
      <c r="FH599" s="64"/>
      <c r="FI599" s="64"/>
    </row>
    <row r="600" spans="158:165" ht="15" customHeight="1" x14ac:dyDescent="0.15">
      <c r="FB600" s="63"/>
      <c r="FC600" s="64"/>
      <c r="FD600" s="64"/>
      <c r="FE600" s="64"/>
      <c r="FF600" s="64"/>
      <c r="FG600" s="64"/>
      <c r="FH600" s="64"/>
      <c r="FI600" s="64"/>
    </row>
    <row r="601" spans="158:165" ht="15" customHeight="1" x14ac:dyDescent="0.15">
      <c r="FB601" s="63"/>
      <c r="FC601" s="64"/>
      <c r="FD601" s="64"/>
      <c r="FE601" s="64"/>
      <c r="FF601" s="64"/>
      <c r="FG601" s="64"/>
      <c r="FH601" s="64"/>
      <c r="FI601" s="64"/>
    </row>
    <row r="602" spans="158:165" ht="15" customHeight="1" x14ac:dyDescent="0.15">
      <c r="FB602" s="63"/>
      <c r="FC602" s="64"/>
      <c r="FD602" s="64"/>
      <c r="FE602" s="64"/>
      <c r="FF602" s="64"/>
      <c r="FG602" s="64"/>
      <c r="FH602" s="64"/>
      <c r="FI602" s="64"/>
    </row>
    <row r="603" spans="158:165" ht="15" customHeight="1" x14ac:dyDescent="0.15">
      <c r="FB603" s="63"/>
      <c r="FC603" s="64"/>
      <c r="FD603" s="64"/>
      <c r="FE603" s="64"/>
      <c r="FF603" s="64"/>
      <c r="FG603" s="64"/>
      <c r="FH603" s="64"/>
      <c r="FI603" s="64"/>
    </row>
    <row r="604" spans="158:165" ht="15" customHeight="1" x14ac:dyDescent="0.15">
      <c r="FB604" s="63"/>
      <c r="FC604" s="64"/>
      <c r="FD604" s="64"/>
      <c r="FE604" s="64"/>
      <c r="FF604" s="64"/>
      <c r="FG604" s="64"/>
      <c r="FH604" s="64"/>
      <c r="FI604" s="64"/>
    </row>
    <row r="605" spans="158:165" ht="15" customHeight="1" x14ac:dyDescent="0.15">
      <c r="FB605" s="63"/>
      <c r="FC605" s="64"/>
      <c r="FD605" s="64"/>
      <c r="FE605" s="64"/>
      <c r="FF605" s="64"/>
      <c r="FG605" s="64"/>
      <c r="FH605" s="64"/>
      <c r="FI605" s="64"/>
    </row>
    <row r="606" spans="158:165" ht="15" customHeight="1" x14ac:dyDescent="0.15">
      <c r="FB606" s="63"/>
      <c r="FC606" s="64"/>
      <c r="FD606" s="64"/>
      <c r="FE606" s="64"/>
      <c r="FF606" s="64"/>
      <c r="FG606" s="64"/>
      <c r="FH606" s="64"/>
      <c r="FI606" s="64"/>
    </row>
    <row r="607" spans="158:165" ht="15" customHeight="1" x14ac:dyDescent="0.15">
      <c r="FB607" s="63"/>
      <c r="FC607" s="64"/>
      <c r="FD607" s="64"/>
      <c r="FE607" s="64"/>
      <c r="FF607" s="64"/>
      <c r="FG607" s="64"/>
      <c r="FH607" s="64"/>
      <c r="FI607" s="64"/>
    </row>
    <row r="608" spans="158:165" ht="15" customHeight="1" x14ac:dyDescent="0.15">
      <c r="FB608" s="63"/>
      <c r="FC608" s="64"/>
      <c r="FD608" s="64"/>
      <c r="FE608" s="64"/>
      <c r="FF608" s="64"/>
      <c r="FG608" s="64"/>
      <c r="FH608" s="64"/>
      <c r="FI608" s="64"/>
    </row>
    <row r="609" spans="158:165" ht="15" customHeight="1" x14ac:dyDescent="0.15">
      <c r="FB609" s="63"/>
      <c r="FC609" s="64"/>
      <c r="FD609" s="64"/>
      <c r="FE609" s="64"/>
      <c r="FF609" s="64"/>
      <c r="FG609" s="64"/>
      <c r="FH609" s="64"/>
      <c r="FI609" s="64"/>
    </row>
    <row r="610" spans="158:165" ht="15" customHeight="1" x14ac:dyDescent="0.15">
      <c r="FB610" s="63"/>
      <c r="FC610" s="64"/>
      <c r="FD610" s="64"/>
      <c r="FE610" s="64"/>
      <c r="FF610" s="64"/>
      <c r="FG610" s="64"/>
      <c r="FH610" s="64"/>
      <c r="FI610" s="64"/>
    </row>
    <row r="611" spans="158:165" ht="15" customHeight="1" x14ac:dyDescent="0.15">
      <c r="FB611" s="63"/>
      <c r="FC611" s="64"/>
      <c r="FD611" s="64"/>
      <c r="FE611" s="64"/>
      <c r="FF611" s="64"/>
      <c r="FG611" s="64"/>
      <c r="FH611" s="64"/>
      <c r="FI611" s="64"/>
    </row>
    <row r="612" spans="158:165" ht="15" customHeight="1" x14ac:dyDescent="0.15">
      <c r="FB612" s="63"/>
      <c r="FC612" s="64"/>
      <c r="FD612" s="64"/>
      <c r="FE612" s="64"/>
      <c r="FF612" s="64"/>
      <c r="FG612" s="64"/>
      <c r="FH612" s="64"/>
      <c r="FI612" s="64"/>
    </row>
    <row r="613" spans="158:165" ht="15" customHeight="1" x14ac:dyDescent="0.15">
      <c r="FB613" s="63"/>
      <c r="FC613" s="64"/>
      <c r="FD613" s="64"/>
      <c r="FE613" s="64"/>
      <c r="FF613" s="64"/>
      <c r="FG613" s="64"/>
      <c r="FH613" s="64"/>
      <c r="FI613" s="64"/>
    </row>
    <row r="614" spans="158:165" ht="15" customHeight="1" x14ac:dyDescent="0.15">
      <c r="FB614" s="63"/>
      <c r="FC614" s="64"/>
      <c r="FD614" s="64"/>
      <c r="FE614" s="64"/>
      <c r="FF614" s="64"/>
      <c r="FG614" s="64"/>
      <c r="FH614" s="64"/>
      <c r="FI614" s="64"/>
    </row>
    <row r="615" spans="158:165" ht="15" customHeight="1" x14ac:dyDescent="0.15">
      <c r="FB615" s="63"/>
      <c r="FC615" s="64"/>
      <c r="FD615" s="64"/>
      <c r="FE615" s="64"/>
      <c r="FF615" s="64"/>
      <c r="FG615" s="64"/>
      <c r="FH615" s="64"/>
      <c r="FI615" s="64"/>
    </row>
    <row r="616" spans="158:165" ht="15" customHeight="1" x14ac:dyDescent="0.15">
      <c r="FB616" s="63"/>
      <c r="FC616" s="64"/>
      <c r="FD616" s="64"/>
      <c r="FE616" s="64"/>
      <c r="FF616" s="64"/>
      <c r="FG616" s="64"/>
      <c r="FH616" s="64"/>
      <c r="FI616" s="64"/>
    </row>
    <row r="617" spans="158:165" ht="15" customHeight="1" x14ac:dyDescent="0.15">
      <c r="FB617" s="63"/>
      <c r="FC617" s="64"/>
      <c r="FD617" s="64"/>
      <c r="FE617" s="64"/>
      <c r="FF617" s="64"/>
      <c r="FG617" s="64"/>
      <c r="FH617" s="64"/>
      <c r="FI617" s="64"/>
    </row>
    <row r="618" spans="158:165" ht="15" customHeight="1" x14ac:dyDescent="0.15">
      <c r="FB618" s="63"/>
      <c r="FC618" s="64"/>
      <c r="FD618" s="64"/>
      <c r="FE618" s="64"/>
      <c r="FF618" s="64"/>
      <c r="FG618" s="64"/>
      <c r="FH618" s="64"/>
      <c r="FI618" s="64"/>
    </row>
    <row r="619" spans="158:165" ht="15" customHeight="1" x14ac:dyDescent="0.15">
      <c r="FB619" s="63"/>
      <c r="FC619" s="64"/>
      <c r="FD619" s="64"/>
      <c r="FE619" s="64"/>
      <c r="FF619" s="64"/>
      <c r="FG619" s="64"/>
      <c r="FH619" s="64"/>
      <c r="FI619" s="64"/>
    </row>
    <row r="620" spans="158:165" ht="15" customHeight="1" x14ac:dyDescent="0.15">
      <c r="FB620" s="63"/>
      <c r="FC620" s="64"/>
      <c r="FD620" s="64"/>
      <c r="FE620" s="64"/>
      <c r="FF620" s="64"/>
      <c r="FG620" s="64"/>
      <c r="FH620" s="64"/>
      <c r="FI620" s="64"/>
    </row>
    <row r="621" spans="158:165" ht="15" customHeight="1" x14ac:dyDescent="0.15">
      <c r="FB621" s="63"/>
      <c r="FC621" s="64"/>
      <c r="FD621" s="64"/>
      <c r="FE621" s="64"/>
      <c r="FF621" s="64"/>
      <c r="FG621" s="64"/>
      <c r="FH621" s="64"/>
      <c r="FI621" s="64"/>
    </row>
    <row r="622" spans="158:165" ht="15" customHeight="1" x14ac:dyDescent="0.15">
      <c r="FB622" s="63"/>
      <c r="FC622" s="64"/>
      <c r="FD622" s="64"/>
      <c r="FE622" s="64"/>
      <c r="FF622" s="64"/>
      <c r="FG622" s="64"/>
      <c r="FH622" s="64"/>
      <c r="FI622" s="64"/>
    </row>
    <row r="623" spans="158:165" ht="15" customHeight="1" x14ac:dyDescent="0.15">
      <c r="FB623" s="63"/>
      <c r="FC623" s="64"/>
      <c r="FD623" s="64"/>
      <c r="FE623" s="64"/>
      <c r="FF623" s="64"/>
      <c r="FG623" s="64"/>
      <c r="FH623" s="64"/>
      <c r="FI623" s="64"/>
    </row>
    <row r="624" spans="158:165" ht="15" customHeight="1" x14ac:dyDescent="0.15">
      <c r="FB624" s="63"/>
      <c r="FC624" s="64"/>
      <c r="FD624" s="64"/>
      <c r="FE624" s="64"/>
      <c r="FF624" s="64"/>
      <c r="FG624" s="64"/>
      <c r="FH624" s="64"/>
      <c r="FI624" s="64"/>
    </row>
    <row r="625" spans="158:165" ht="15" customHeight="1" x14ac:dyDescent="0.15">
      <c r="FB625" s="63"/>
      <c r="FC625" s="64"/>
      <c r="FD625" s="64"/>
      <c r="FE625" s="64"/>
      <c r="FF625" s="64"/>
      <c r="FG625" s="64"/>
      <c r="FH625" s="64"/>
      <c r="FI625" s="64"/>
    </row>
    <row r="626" spans="158:165" ht="15" customHeight="1" x14ac:dyDescent="0.15">
      <c r="FB626" s="63"/>
      <c r="FC626" s="64"/>
      <c r="FD626" s="64"/>
      <c r="FE626" s="64"/>
      <c r="FF626" s="64"/>
      <c r="FG626" s="64"/>
      <c r="FH626" s="64"/>
      <c r="FI626" s="64"/>
    </row>
    <row r="627" spans="158:165" ht="15" customHeight="1" x14ac:dyDescent="0.15">
      <c r="FB627" s="63"/>
      <c r="FC627" s="64"/>
      <c r="FD627" s="64"/>
      <c r="FE627" s="64"/>
      <c r="FF627" s="64"/>
      <c r="FG627" s="64"/>
      <c r="FH627" s="64"/>
      <c r="FI627" s="64"/>
    </row>
    <row r="628" spans="158:165" ht="15" customHeight="1" x14ac:dyDescent="0.15">
      <c r="FB628" s="63"/>
      <c r="FC628" s="64"/>
      <c r="FD628" s="64"/>
      <c r="FE628" s="64"/>
      <c r="FF628" s="64"/>
      <c r="FG628" s="64"/>
      <c r="FH628" s="64"/>
      <c r="FI628" s="64"/>
    </row>
    <row r="629" spans="158:165" ht="15" customHeight="1" x14ac:dyDescent="0.15">
      <c r="FB629" s="63"/>
      <c r="FC629" s="64"/>
      <c r="FD629" s="64"/>
      <c r="FE629" s="64"/>
      <c r="FF629" s="64"/>
      <c r="FG629" s="64"/>
      <c r="FH629" s="64"/>
      <c r="FI629" s="64"/>
    </row>
    <row r="630" spans="158:165" ht="15" customHeight="1" x14ac:dyDescent="0.15">
      <c r="FB630" s="63"/>
      <c r="FC630" s="64"/>
      <c r="FD630" s="64"/>
      <c r="FE630" s="64"/>
      <c r="FF630" s="64"/>
      <c r="FG630" s="64"/>
      <c r="FH630" s="64"/>
      <c r="FI630" s="64"/>
    </row>
    <row r="631" spans="158:165" ht="15" customHeight="1" x14ac:dyDescent="0.15">
      <c r="FB631" s="63"/>
      <c r="FC631" s="64"/>
      <c r="FD631" s="64"/>
      <c r="FE631" s="64"/>
      <c r="FF631" s="64"/>
      <c r="FG631" s="64"/>
      <c r="FH631" s="64"/>
      <c r="FI631" s="64"/>
    </row>
    <row r="632" spans="158:165" ht="15" customHeight="1" x14ac:dyDescent="0.15">
      <c r="FB632" s="63"/>
      <c r="FC632" s="64"/>
      <c r="FD632" s="64"/>
      <c r="FE632" s="64"/>
      <c r="FF632" s="64"/>
      <c r="FG632" s="64"/>
      <c r="FH632" s="64"/>
      <c r="FI632" s="64"/>
    </row>
    <row r="633" spans="158:165" ht="15" customHeight="1" x14ac:dyDescent="0.15">
      <c r="FB633" s="63"/>
      <c r="FC633" s="64"/>
      <c r="FD633" s="64"/>
      <c r="FE633" s="64"/>
      <c r="FF633" s="64"/>
      <c r="FG633" s="64"/>
      <c r="FH633" s="64"/>
      <c r="FI633" s="64"/>
    </row>
    <row r="634" spans="158:165" ht="15" customHeight="1" x14ac:dyDescent="0.15">
      <c r="FB634" s="63"/>
      <c r="FC634" s="64"/>
      <c r="FD634" s="64"/>
      <c r="FE634" s="64"/>
      <c r="FF634" s="64"/>
      <c r="FG634" s="64"/>
      <c r="FH634" s="64"/>
      <c r="FI634" s="64"/>
    </row>
    <row r="635" spans="158:165" ht="15" customHeight="1" x14ac:dyDescent="0.15">
      <c r="FB635" s="63"/>
      <c r="FC635" s="64"/>
      <c r="FD635" s="64"/>
      <c r="FE635" s="64"/>
      <c r="FF635" s="64"/>
      <c r="FG635" s="64"/>
      <c r="FH635" s="64"/>
      <c r="FI635" s="64"/>
    </row>
    <row r="636" spans="158:165" ht="15" customHeight="1" x14ac:dyDescent="0.15">
      <c r="FB636" s="63"/>
      <c r="FC636" s="64"/>
      <c r="FD636" s="64"/>
      <c r="FE636" s="64"/>
      <c r="FF636" s="64"/>
      <c r="FG636" s="64"/>
      <c r="FH636" s="64"/>
      <c r="FI636" s="64"/>
    </row>
    <row r="637" spans="158:165" ht="15" customHeight="1" x14ac:dyDescent="0.15">
      <c r="FB637" s="63"/>
      <c r="FC637" s="64"/>
      <c r="FD637" s="64"/>
      <c r="FE637" s="64"/>
      <c r="FF637" s="64"/>
      <c r="FG637" s="64"/>
      <c r="FH637" s="64"/>
      <c r="FI637" s="64"/>
    </row>
    <row r="638" spans="158:165" ht="15" customHeight="1" x14ac:dyDescent="0.15">
      <c r="FB638" s="63"/>
      <c r="FC638" s="64"/>
      <c r="FD638" s="64"/>
      <c r="FE638" s="64"/>
      <c r="FF638" s="64"/>
      <c r="FG638" s="64"/>
      <c r="FH638" s="64"/>
      <c r="FI638" s="64"/>
    </row>
    <row r="639" spans="158:165" ht="15" customHeight="1" x14ac:dyDescent="0.15">
      <c r="FB639" s="63"/>
      <c r="FC639" s="64"/>
      <c r="FD639" s="64"/>
      <c r="FE639" s="64"/>
      <c r="FF639" s="64"/>
      <c r="FG639" s="64"/>
      <c r="FH639" s="64"/>
      <c r="FI639" s="64"/>
    </row>
    <row r="640" spans="158:165" ht="15" customHeight="1" x14ac:dyDescent="0.15">
      <c r="FB640" s="63"/>
      <c r="FC640" s="64"/>
      <c r="FD640" s="64"/>
      <c r="FE640" s="64"/>
      <c r="FF640" s="64"/>
      <c r="FG640" s="64"/>
      <c r="FH640" s="64"/>
      <c r="FI640" s="64"/>
    </row>
    <row r="641" spans="158:165" ht="15" customHeight="1" x14ac:dyDescent="0.15">
      <c r="FB641" s="63"/>
      <c r="FC641" s="64"/>
      <c r="FD641" s="64"/>
      <c r="FE641" s="64"/>
      <c r="FF641" s="64"/>
      <c r="FG641" s="64"/>
      <c r="FH641" s="64"/>
      <c r="FI641" s="64"/>
    </row>
    <row r="642" spans="158:165" ht="15" customHeight="1" x14ac:dyDescent="0.15">
      <c r="FB642" s="63"/>
      <c r="FC642" s="63"/>
      <c r="FD642" s="63"/>
      <c r="FE642" s="63"/>
      <c r="FF642" s="63"/>
      <c r="FG642" s="63"/>
      <c r="FH642" s="63"/>
      <c r="FI642" s="63"/>
    </row>
  </sheetData>
  <mergeCells count="229">
    <mergeCell ref="CI119:CL119"/>
    <mergeCell ref="CM119:DK119"/>
    <mergeCell ref="DM119:DN119"/>
    <mergeCell ref="DO119:DU119"/>
    <mergeCell ref="CI120:CL120"/>
    <mergeCell ref="CM120:DK120"/>
    <mergeCell ref="CI114:CJ114"/>
    <mergeCell ref="CK114:CQ114"/>
    <mergeCell ref="CW114:DD114"/>
    <mergeCell ref="DE114:DK114"/>
    <mergeCell ref="DR114:EC114"/>
    <mergeCell ref="CI115:CJ115"/>
    <mergeCell ref="CK115:CQ115"/>
    <mergeCell ref="CW115:DD115"/>
    <mergeCell ref="DE115:DK115"/>
    <mergeCell ref="DR115:EC115"/>
    <mergeCell ref="CI112:CJ112"/>
    <mergeCell ref="CK112:CQ112"/>
    <mergeCell ref="CW112:DD112"/>
    <mergeCell ref="DE112:DK112"/>
    <mergeCell ref="DR112:EC112"/>
    <mergeCell ref="CI113:CJ113"/>
    <mergeCell ref="CK113:CQ113"/>
    <mergeCell ref="CW113:DD113"/>
    <mergeCell ref="DE113:DK113"/>
    <mergeCell ref="DR113:EC113"/>
    <mergeCell ref="CI110:CJ110"/>
    <mergeCell ref="CK110:CQ110"/>
    <mergeCell ref="CV110:DD110"/>
    <mergeCell ref="DE110:DK110"/>
    <mergeCell ref="DR110:EC110"/>
    <mergeCell ref="CI111:CJ111"/>
    <mergeCell ref="CK111:CQ111"/>
    <mergeCell ref="CW111:DD111"/>
    <mergeCell ref="DE111:DK111"/>
    <mergeCell ref="DR111:EC111"/>
    <mergeCell ref="CI108:CJ108"/>
    <mergeCell ref="CK108:CQ108"/>
    <mergeCell ref="CW108:CY108"/>
    <mergeCell ref="DM108:DR108"/>
    <mergeCell ref="CI109:CJ109"/>
    <mergeCell ref="CK109:CQ109"/>
    <mergeCell ref="DM109:DR109"/>
    <mergeCell ref="CI106:CJ106"/>
    <mergeCell ref="CK106:CQ106"/>
    <mergeCell ref="CV106:CZ106"/>
    <mergeCell ref="DM106:DR106"/>
    <mergeCell ref="CI107:CJ107"/>
    <mergeCell ref="CK107:CQ107"/>
    <mergeCell ref="CW107:CY107"/>
    <mergeCell ref="DM107:DR107"/>
    <mergeCell ref="CI104:CJ104"/>
    <mergeCell ref="CK104:CQ104"/>
    <mergeCell ref="CW104:CX104"/>
    <mergeCell ref="DM104:DR104"/>
    <mergeCell ref="CI105:CJ105"/>
    <mergeCell ref="CK105:CQ105"/>
    <mergeCell ref="N60:Q60"/>
    <mergeCell ref="R60:AP60"/>
    <mergeCell ref="AR60:AS60"/>
    <mergeCell ref="CI103:CQ103"/>
    <mergeCell ref="CW103:CY103"/>
    <mergeCell ref="DM103:DR103"/>
    <mergeCell ref="N56:O56"/>
    <mergeCell ref="P56:V56"/>
    <mergeCell ref="AB56:AI56"/>
    <mergeCell ref="AJ56:AP56"/>
    <mergeCell ref="AW56:BH56"/>
    <mergeCell ref="AW57:BH57"/>
    <mergeCell ref="N54:O54"/>
    <mergeCell ref="P54:V54"/>
    <mergeCell ref="AB54:AI54"/>
    <mergeCell ref="AJ54:AP54"/>
    <mergeCell ref="AW54:BH54"/>
    <mergeCell ref="N55:O55"/>
    <mergeCell ref="P55:V55"/>
    <mergeCell ref="AB55:AI55"/>
    <mergeCell ref="AJ55:AP55"/>
    <mergeCell ref="AW55:BH55"/>
    <mergeCell ref="N52:O52"/>
    <mergeCell ref="P52:V52"/>
    <mergeCell ref="AB52:AI52"/>
    <mergeCell ref="AJ52:AP52"/>
    <mergeCell ref="AW52:BH52"/>
    <mergeCell ref="N53:O53"/>
    <mergeCell ref="P53:V53"/>
    <mergeCell ref="AB53:AI53"/>
    <mergeCell ref="AJ53:AP53"/>
    <mergeCell ref="AW53:BH53"/>
    <mergeCell ref="N50:O50"/>
    <mergeCell ref="P50:V50"/>
    <mergeCell ref="N51:O51"/>
    <mergeCell ref="P51:V51"/>
    <mergeCell ref="AA51:AI51"/>
    <mergeCell ref="AJ51:AP51"/>
    <mergeCell ref="N48:O48"/>
    <mergeCell ref="P48:V48"/>
    <mergeCell ref="AB48:AD48"/>
    <mergeCell ref="N49:O49"/>
    <mergeCell ref="P49:V49"/>
    <mergeCell ref="AB49:AD49"/>
    <mergeCell ref="N45:O45"/>
    <mergeCell ref="P45:V45"/>
    <mergeCell ref="AB45:AC45"/>
    <mergeCell ref="N46:O46"/>
    <mergeCell ref="P46:V46"/>
    <mergeCell ref="N47:O47"/>
    <mergeCell ref="P47:V47"/>
    <mergeCell ref="AA47:AE47"/>
    <mergeCell ref="B40:D40"/>
    <mergeCell ref="E40:AS40"/>
    <mergeCell ref="B41:AS41"/>
    <mergeCell ref="B42:AS42"/>
    <mergeCell ref="N44:V44"/>
    <mergeCell ref="AB44:AD44"/>
    <mergeCell ref="B38:G38"/>
    <mergeCell ref="H38:S38"/>
    <mergeCell ref="T38:Z38"/>
    <mergeCell ref="AA38:AL38"/>
    <mergeCell ref="AM38:AS38"/>
    <mergeCell ref="B39:G39"/>
    <mergeCell ref="H39:AL39"/>
    <mergeCell ref="AM39:AS39"/>
    <mergeCell ref="B37:S37"/>
    <mergeCell ref="T37:W37"/>
    <mergeCell ref="X37:Z37"/>
    <mergeCell ref="AA37:AE37"/>
    <mergeCell ref="AF37:AL37"/>
    <mergeCell ref="AM37:AS37"/>
    <mergeCell ref="B36:S36"/>
    <mergeCell ref="T36:W36"/>
    <mergeCell ref="X36:Z36"/>
    <mergeCell ref="AA36:AE36"/>
    <mergeCell ref="AF36:AL36"/>
    <mergeCell ref="AM36:AS36"/>
    <mergeCell ref="B35:S35"/>
    <mergeCell ref="T35:W35"/>
    <mergeCell ref="X35:Z35"/>
    <mergeCell ref="AA35:AE35"/>
    <mergeCell ref="AF35:AL35"/>
    <mergeCell ref="AM35:AS35"/>
    <mergeCell ref="B34:S34"/>
    <mergeCell ref="T34:W34"/>
    <mergeCell ref="X34:Z34"/>
    <mergeCell ref="AA34:AE34"/>
    <mergeCell ref="AF34:AL34"/>
    <mergeCell ref="AM34:AS34"/>
    <mergeCell ref="B33:S33"/>
    <mergeCell ref="T33:W33"/>
    <mergeCell ref="X33:Z33"/>
    <mergeCell ref="AA33:AE33"/>
    <mergeCell ref="AF33:AL33"/>
    <mergeCell ref="AM33:AS33"/>
    <mergeCell ref="B32:S32"/>
    <mergeCell ref="T32:W32"/>
    <mergeCell ref="X32:Z32"/>
    <mergeCell ref="AA32:AE32"/>
    <mergeCell ref="AF32:AL32"/>
    <mergeCell ref="AM32:AS32"/>
    <mergeCell ref="B31:S31"/>
    <mergeCell ref="T31:W31"/>
    <mergeCell ref="X31:Z31"/>
    <mergeCell ref="AA31:AE31"/>
    <mergeCell ref="AF31:AL31"/>
    <mergeCell ref="AM31:AS31"/>
    <mergeCell ref="B30:S30"/>
    <mergeCell ref="T30:W30"/>
    <mergeCell ref="X30:Z30"/>
    <mergeCell ref="AA30:AE30"/>
    <mergeCell ref="AF30:AL30"/>
    <mergeCell ref="AM30:AS30"/>
    <mergeCell ref="B29:S29"/>
    <mergeCell ref="T29:W29"/>
    <mergeCell ref="X29:Z29"/>
    <mergeCell ref="AA29:AE29"/>
    <mergeCell ref="AF29:AL29"/>
    <mergeCell ref="AM29:AS29"/>
    <mergeCell ref="B28:S28"/>
    <mergeCell ref="T28:W28"/>
    <mergeCell ref="X28:Z28"/>
    <mergeCell ref="AA28:AE28"/>
    <mergeCell ref="AF28:AL28"/>
    <mergeCell ref="AM28:AS28"/>
    <mergeCell ref="B27:S27"/>
    <mergeCell ref="T27:W27"/>
    <mergeCell ref="X27:Z27"/>
    <mergeCell ref="AA27:AE27"/>
    <mergeCell ref="AF27:AL27"/>
    <mergeCell ref="AM27:AS27"/>
    <mergeCell ref="AF24:AL25"/>
    <mergeCell ref="AM24:AS25"/>
    <mergeCell ref="B26:S26"/>
    <mergeCell ref="T26:W26"/>
    <mergeCell ref="X26:Z26"/>
    <mergeCell ref="AA26:AE26"/>
    <mergeCell ref="AF26:AL26"/>
    <mergeCell ref="AM26:AS26"/>
    <mergeCell ref="D20:I21"/>
    <mergeCell ref="J20:U21"/>
    <mergeCell ref="B22:U22"/>
    <mergeCell ref="B24:S25"/>
    <mergeCell ref="T24:Z25"/>
    <mergeCell ref="AA24:AE25"/>
    <mergeCell ref="J17:L17"/>
    <mergeCell ref="N17:O17"/>
    <mergeCell ref="Q17:R17"/>
    <mergeCell ref="AF17:AL17"/>
    <mergeCell ref="AB19:AF22"/>
    <mergeCell ref="AG19:AK22"/>
    <mergeCell ref="AL19:AP22"/>
    <mergeCell ref="H11:S11"/>
    <mergeCell ref="H13:T13"/>
    <mergeCell ref="AB13:AD13"/>
    <mergeCell ref="AE13:AT13"/>
    <mergeCell ref="AB15:AD15"/>
    <mergeCell ref="AE15:AT15"/>
    <mergeCell ref="D5:R5"/>
    <mergeCell ref="F6:Q6"/>
    <mergeCell ref="AI6:AK6"/>
    <mergeCell ref="AM6:AN6"/>
    <mergeCell ref="AP6:AQ6"/>
    <mergeCell ref="D7:S8"/>
    <mergeCell ref="T7:V8"/>
    <mergeCell ref="M2:O2"/>
    <mergeCell ref="P2:R2"/>
    <mergeCell ref="AA2:AJ3"/>
    <mergeCell ref="E3:H3"/>
    <mergeCell ref="AN3:AR3"/>
    <mergeCell ref="D4:U4"/>
  </mergeCells>
  <phoneticPr fontId="4"/>
  <dataValidations count="23">
    <dataValidation imeMode="hiragana" allowBlank="1" showInputMessage="1" showErrorMessage="1" prompt="取引方法を入力_x000a_例：従来通り" sqref="I15:T15" xr:uid="{0EA37B50-F913-4852-A5B4-F40A03E4F96B}"/>
    <dataValidation allowBlank="1" showInputMessage="1" showErrorMessage="1" promptTitle="明細書01の状態" prompt="明細書01が表示されているときは 0_x000a_明細書01が非表示のときは 1" sqref="CE107" xr:uid="{4238EF59-793D-4025-88EC-B399094DDF9B}"/>
    <dataValidation allowBlank="1" showInputMessage="1" showErrorMessage="1" promptTitle="シート数を入力" prompt="明細書が出ていない状態でシート枚数を表示" sqref="CE106" xr:uid="{B4489D2F-E90C-4A29-BF43-83C363BC5C8C}"/>
    <dataValidation type="list" allowBlank="1" showInputMessage="1" showErrorMessage="1" sqref="DM104:DR104" xr:uid="{3FA05D7B-B75F-46E2-9C8B-3AC9F726271D}">
      <formula1>$EM$102:$EM$103</formula1>
    </dataValidation>
    <dataValidation type="list" allowBlank="1" showInputMessage="1" showErrorMessage="1" sqref="T7:V8" xr:uid="{2407006F-94DA-4B1C-A186-2B5BC5CC9A36}">
      <formula1>$CE$109:$CE$111</formula1>
    </dataValidation>
    <dataValidation type="list" imeMode="hiragana" allowBlank="1" showInputMessage="1" showErrorMessage="1" prompt="ボタンを押し単位を入力" sqref="X26:Z37" xr:uid="{8987D9D5-EC85-4CA2-9A0E-E67BF512D48E}">
      <formula1>$CS$104:$CS$116</formula1>
    </dataValidation>
    <dataValidation type="list" allowBlank="1" showInputMessage="1" showErrorMessage="1" sqref="AA2:AJ3" xr:uid="{7CA01F87-1E42-46BF-9DC8-AFDEB621EBF6}">
      <formula1>$DD$104:$DD$108</formula1>
    </dataValidation>
    <dataValidation imeMode="hiragana" allowBlank="1" showInputMessage="1" showErrorMessage="1" prompt="備考があれば入力" sqref="AN34:AS37 AM26:AM37" xr:uid="{51855A4F-6647-4746-9E8B-8F33DBA27A21}"/>
    <dataValidation imeMode="off" allowBlank="1" showInputMessage="1" showErrorMessage="1" prompt="単価を入力" sqref="AA26:AE37" xr:uid="{1D9F82CF-47FB-45AE-8442-F6F3FB2E559C}"/>
    <dataValidation imeMode="off" allowBlank="1" showInputMessage="1" showErrorMessage="1" prompt="数量を入力" sqref="T26:W37" xr:uid="{42B04C5A-E7A1-4C25-8CC4-3A51CC579DD6}"/>
    <dataValidation imeMode="hiragana" allowBlank="1" showInputMessage="1" showErrorMessage="1" prompt="品名を入力" sqref="B26:S37" xr:uid="{755291F4-F157-436A-9107-D07FEB5EBE59}"/>
    <dataValidation imeMode="hiragana" allowBlank="1" showInputMessage="1" showErrorMessage="1" prompt="担当者を入力" sqref="AF17:AL17" xr:uid="{6F05F143-C823-422D-A8B5-50B94153F462}"/>
    <dataValidation imeMode="hiragana" allowBlank="1" showInputMessage="1" showErrorMessage="1" prompt="受渡場所を入力_x000a_例：貴社指定場所" sqref="H13:T13" xr:uid="{034EB2A8-A98D-4C9E-BD20-45ABA951BF83}"/>
    <dataValidation imeMode="off" allowBlank="1" showInputMessage="1" showErrorMessage="1" prompt="年を入力" sqref="J17:L17" xr:uid="{C89998C0-E9C6-486E-A486-E649C3E3BCF5}"/>
    <dataValidation imeMode="hiragana" allowBlank="1" showInputMessage="1" showErrorMessage="1" sqref="AB9:AS9 B41:AS42 E40:AS40" xr:uid="{85997197-FE9D-45B7-9CC2-D4138B0C3D34}"/>
    <dataValidation allowBlank="1" showInputMessage="1" showErrorMessage="1" prompt="見積書NOを入力" sqref="AN3:AR3" xr:uid="{614A1E5F-CCAB-4740-AED2-21EC85A236E1}"/>
    <dataValidation imeMode="hiragana" allowBlank="1" showInputMessage="1" showErrorMessage="1" prompt="お客様名を入力" sqref="D7:S8" xr:uid="{A7233354-0EC5-4309-BB9F-AA0ED9CCFB57}"/>
    <dataValidation imeMode="hiragana" allowBlank="1" showInputMessage="1" showErrorMessage="1" prompt="お客様の住所でビル名番地など入力" sqref="D5:R5" xr:uid="{A09C8BAB-2174-45A5-BFC9-65ACB47227B5}"/>
    <dataValidation imeMode="hiragana" allowBlank="1" showInputMessage="1" showErrorMessage="1" prompt="お客様の住所を入力" sqref="D4" xr:uid="{DE3AFE58-A304-4F39-94FB-4A74968E435F}"/>
    <dataValidation imeMode="off" allowBlank="1" showInputMessage="1" showErrorMessage="1" prompt="お客様の郵便番号を入力" sqref="E3:H3" xr:uid="{2B962B3F-83E6-46CD-8CAD-7126A245FBE1}"/>
    <dataValidation imeMode="off" allowBlank="1" showInputMessage="1" showErrorMessage="1" prompt="日を入力" sqref="AP6:AQ6 Q17:R17" xr:uid="{F6FBFBBC-EC4E-4204-9A38-C4D3EFEEB421}"/>
    <dataValidation imeMode="off" allowBlank="1" showInputMessage="1" showErrorMessage="1" prompt="月を入力" sqref="AM6:AN6 N17:O17" xr:uid="{043A4B53-7FBA-49DD-B785-98A970332775}"/>
    <dataValidation imeMode="off" allowBlank="1" showInputMessage="1" showErrorMessage="1" prompt="年を入力  西暦表示の場合、平成を消してください" sqref="AI6:AK6" xr:uid="{CF0E01DD-8611-4704-98B3-0EB8B20417FE}"/>
  </dataValidations>
  <pageMargins left="0.43307086614173229" right="0.47244094488188981" top="0.39370078740157483" bottom="0.47244094488188981" header="0.39370078740157483" footer="0.31496062992125984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表示1">
              <controlPr defaultSize="0" print="0" autoFill="0" autoPict="0" macro="[0]!ThisWorkbook.表示11">
                <anchor moveWithCells="1" sizeWithCells="1">
                  <from>
                    <xdr:col>22</xdr:col>
                    <xdr:colOff>133350</xdr:colOff>
                    <xdr:row>0</xdr:row>
                    <xdr:rowOff>76200</xdr:rowOff>
                  </from>
                  <to>
                    <xdr:col>27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5" name="表示2">
              <controlPr defaultSize="0" print="0" autoFill="0" autoPict="0" macro="[0]!ThisWorkbook.表示12">
                <anchor moveWithCells="1" sizeWithCells="1">
                  <from>
                    <xdr:col>27</xdr:col>
                    <xdr:colOff>114300</xdr:colOff>
                    <xdr:row>0</xdr:row>
                    <xdr:rowOff>76200</xdr:rowOff>
                  </from>
                  <to>
                    <xdr:col>31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5" r:id="rId6" name="呼出">
              <controlPr defaultSize="0" print="0" autoFill="0" autoPict="0" macro="[0]!ThisWorkbook.呼出">
                <anchor moveWithCells="1" sizeWithCells="1">
                  <from>
                    <xdr:col>1</xdr:col>
                    <xdr:colOff>57150</xdr:colOff>
                    <xdr:row>0</xdr:row>
                    <xdr:rowOff>390525</xdr:rowOff>
                  </from>
                  <to>
                    <xdr:col>4</xdr:col>
                    <xdr:colOff>200025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r:id="rId7" name="保存">
              <controlPr defaultSize="0" print="0" autoFill="0" autoPict="0" macro="[0]!ThisWorkbook.保存">
                <anchor moveWithCells="1" sizeWithCells="1">
                  <from>
                    <xdr:col>4</xdr:col>
                    <xdr:colOff>266700</xdr:colOff>
                    <xdr:row>0</xdr:row>
                    <xdr:rowOff>390525</xdr:rowOff>
                  </from>
                  <to>
                    <xdr:col>8</xdr:col>
                    <xdr:colOff>123825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7" r:id="rId8" name="終了">
              <controlPr defaultSize="0" print="0" autoFill="0" autoPict="0" macro="[0]!ThisWorkbook.終了">
                <anchor moveWithCells="1" sizeWithCells="1">
                  <from>
                    <xdr:col>41</xdr:col>
                    <xdr:colOff>19050</xdr:colOff>
                    <xdr:row>0</xdr:row>
                    <xdr:rowOff>390525</xdr:rowOff>
                  </from>
                  <to>
                    <xdr:col>44</xdr:col>
                    <xdr:colOff>142875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8" r:id="rId9" name="印刷">
              <controlPr defaultSize="0" print="0" autoFill="0" autoPict="0" macro="[0]!ThisWorkbook.印刷">
                <anchor moveWithCells="1" sizeWithCells="1">
                  <from>
                    <xdr:col>9</xdr:col>
                    <xdr:colOff>28575</xdr:colOff>
                    <xdr:row>0</xdr:row>
                    <xdr:rowOff>76200</xdr:rowOff>
                  </from>
                  <to>
                    <xdr:col>13</xdr:col>
                    <xdr:colOff>114300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9" r:id="rId10" name="入力">
              <controlPr defaultSize="0" print="0" autoFill="0" autoPict="0" macro="[0]!ThisWorkbook.入力">
                <anchor moveWithCells="1" sizeWithCells="1">
                  <from>
                    <xdr:col>1</xdr:col>
                    <xdr:colOff>57150</xdr:colOff>
                    <xdr:row>0</xdr:row>
                    <xdr:rowOff>76200</xdr:rowOff>
                  </from>
                  <to>
                    <xdr:col>4</xdr:col>
                    <xdr:colOff>200025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0" r:id="rId11" name="削除">
              <controlPr defaultSize="0" print="0" autoFill="0" autoPict="0" macro="[0]!ThisWorkbook.削除">
                <anchor moveWithCells="1" sizeWithCells="1">
                  <from>
                    <xdr:col>18</xdr:col>
                    <xdr:colOff>85725</xdr:colOff>
                    <xdr:row>0</xdr:row>
                    <xdr:rowOff>76200</xdr:rowOff>
                  </from>
                  <to>
                    <xdr:col>22</xdr:col>
                    <xdr:colOff>66675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1" r:id="rId12" name="合計無">
              <controlPr defaultSize="0" print="0" autoFill="0" autoPict="0" macro="[0]!ThisWorkbook.合計無">
                <anchor moveWithCells="1" sizeWithCells="1">
                  <from>
                    <xdr:col>31</xdr:col>
                    <xdr:colOff>152400</xdr:colOff>
                    <xdr:row>0</xdr:row>
                    <xdr:rowOff>76200</xdr:rowOff>
                  </from>
                  <to>
                    <xdr:col>35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2" r:id="rId13" name="ヘルプ">
              <controlPr defaultSize="0" print="0" autoFill="0" autoPict="0" macro="[0]!ThisWorkbook.ヘルプ">
                <anchor moveWithCells="1" sizeWithCells="1">
                  <from>
                    <xdr:col>41</xdr:col>
                    <xdr:colOff>19050</xdr:colOff>
                    <xdr:row>0</xdr:row>
                    <xdr:rowOff>76200</xdr:rowOff>
                  </from>
                  <to>
                    <xdr:col>44</xdr:col>
                    <xdr:colOff>142875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3" r:id="rId14" name="税無">
              <controlPr defaultSize="0" print="0" autoFill="0" autoPict="0" macro="[0]!ThisWorkbook.税無">
                <anchor moveWithCells="1" sizeWithCells="1">
                  <from>
                    <xdr:col>31</xdr:col>
                    <xdr:colOff>152400</xdr:colOff>
                    <xdr:row>0</xdr:row>
                    <xdr:rowOff>400050</xdr:rowOff>
                  </from>
                  <to>
                    <xdr:col>35</xdr:col>
                    <xdr:colOff>47625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4" r:id="rId15" name="画像">
              <controlPr defaultSize="0" print="0" autoFill="0" autoPict="0" macro="[0]!ThisWorkbook.画像">
                <anchor moveWithCells="1" sizeWithCells="1">
                  <from>
                    <xdr:col>9</xdr:col>
                    <xdr:colOff>28575</xdr:colOff>
                    <xdr:row>0</xdr:row>
                    <xdr:rowOff>390525</xdr:rowOff>
                  </from>
                  <to>
                    <xdr:col>13</xdr:col>
                    <xdr:colOff>114300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5" r:id="rId16" name="画像PW">
              <controlPr defaultSize="0" print="0" autoFill="0" autoPict="0" macro="[0]!ThisWorkbook.画像PW">
                <anchor moveWithCells="1" sizeWithCells="1">
                  <from>
                    <xdr:col>14</xdr:col>
                    <xdr:colOff>28575</xdr:colOff>
                    <xdr:row>0</xdr:row>
                    <xdr:rowOff>390525</xdr:rowOff>
                  </from>
                  <to>
                    <xdr:col>18</xdr:col>
                    <xdr:colOff>9525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6" r:id="rId17" name="明細入力">
              <controlPr defaultSize="0" print="0" autoFill="0" autoPict="0" macro="[0]!ThisWorkbook.明細入力">
                <anchor moveWithCells="1" sizeWithCells="1">
                  <from>
                    <xdr:col>4</xdr:col>
                    <xdr:colOff>266700</xdr:colOff>
                    <xdr:row>0</xdr:row>
                    <xdr:rowOff>76200</xdr:rowOff>
                  </from>
                  <to>
                    <xdr:col>8</xdr:col>
                    <xdr:colOff>123825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7" r:id="rId18" name="明細書">
              <controlPr defaultSize="0" print="0" autoFill="0" autoPict="0" macro="[0]!ThisWorkbook.明細追加">
                <anchor moveWithCells="1" sizeWithCells="1">
                  <from>
                    <xdr:col>22</xdr:col>
                    <xdr:colOff>133350</xdr:colOff>
                    <xdr:row>0</xdr:row>
                    <xdr:rowOff>390525</xdr:rowOff>
                  </from>
                  <to>
                    <xdr:col>27</xdr:col>
                    <xdr:colOff>47625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8" r:id="rId19" name="客呼">
              <controlPr defaultSize="0" print="0" autoFill="0" autoPict="0" macro="[0]!ThisWorkbook.得意先呼出">
                <anchor moveWithCells="1" sizeWithCells="1">
                  <from>
                    <xdr:col>0</xdr:col>
                    <xdr:colOff>66675</xdr:colOff>
                    <xdr:row>5</xdr:row>
                    <xdr:rowOff>180975</xdr:rowOff>
                  </from>
                  <to>
                    <xdr:col>0</xdr:col>
                    <xdr:colOff>476250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9" r:id="rId20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76200</xdr:rowOff>
                  </from>
                  <to>
                    <xdr:col>0</xdr:col>
                    <xdr:colOff>476250</xdr:colOff>
                    <xdr:row>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0" r:id="rId21" name="担当呼出">
              <controlPr defaultSize="0" print="0" autoFill="0" autoPict="0" macro="[0]!ThisWorkbook.担当者呼出">
                <anchor moveWithCells="1" sizeWithCells="1">
                  <from>
                    <xdr:col>0</xdr:col>
                    <xdr:colOff>66675</xdr:colOff>
                    <xdr:row>7</xdr:row>
                    <xdr:rowOff>95250</xdr:rowOff>
                  </from>
                  <to>
                    <xdr:col>0</xdr:col>
                    <xdr:colOff>476250</xdr:colOff>
                    <xdr:row>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1" r:id="rId22" name="品名呼出0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25</xdr:row>
                    <xdr:rowOff>95250</xdr:rowOff>
                  </from>
                  <to>
                    <xdr:col>0</xdr:col>
                    <xdr:colOff>476250</xdr:colOff>
                    <xdr:row>25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2" r:id="rId23" name="品名呼出0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26</xdr:row>
                    <xdr:rowOff>85725</xdr:rowOff>
                  </from>
                  <to>
                    <xdr:col>0</xdr:col>
                    <xdr:colOff>476250</xdr:colOff>
                    <xdr:row>26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3" r:id="rId24" name="品名呼出03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27</xdr:row>
                    <xdr:rowOff>95250</xdr:rowOff>
                  </from>
                  <to>
                    <xdr:col>0</xdr:col>
                    <xdr:colOff>476250</xdr:colOff>
                    <xdr:row>27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4" r:id="rId25" name="品名呼出04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5" r:id="rId26" name="品名呼出05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29</xdr:row>
                    <xdr:rowOff>95250</xdr:rowOff>
                  </from>
                  <to>
                    <xdr:col>0</xdr:col>
                    <xdr:colOff>476250</xdr:colOff>
                    <xdr:row>29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6" r:id="rId27" name="品名呼出06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30</xdr:row>
                    <xdr:rowOff>95250</xdr:rowOff>
                  </from>
                  <to>
                    <xdr:col>0</xdr:col>
                    <xdr:colOff>476250</xdr:colOff>
                    <xdr:row>30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7" r:id="rId28" name="品名呼出07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31</xdr:row>
                    <xdr:rowOff>95250</xdr:rowOff>
                  </from>
                  <to>
                    <xdr:col>0</xdr:col>
                    <xdr:colOff>476250</xdr:colOff>
                    <xdr:row>31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8" r:id="rId29" name="品名呼出08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32</xdr:row>
                    <xdr:rowOff>95250</xdr:rowOff>
                  </from>
                  <to>
                    <xdr:col>0</xdr:col>
                    <xdr:colOff>476250</xdr:colOff>
                    <xdr:row>32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9" r:id="rId30" name="品名呼出09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33</xdr:row>
                    <xdr:rowOff>95250</xdr:rowOff>
                  </from>
                  <to>
                    <xdr:col>0</xdr:col>
                    <xdr:colOff>476250</xdr:colOff>
                    <xdr:row>33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0" r:id="rId31" name="品名呼出10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34</xdr:row>
                    <xdr:rowOff>95250</xdr:rowOff>
                  </from>
                  <to>
                    <xdr:col>0</xdr:col>
                    <xdr:colOff>476250</xdr:colOff>
                    <xdr:row>34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1" r:id="rId32" name="品名呼出1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35</xdr:row>
                    <xdr:rowOff>95250</xdr:rowOff>
                  </from>
                  <to>
                    <xdr:col>0</xdr:col>
                    <xdr:colOff>476250</xdr:colOff>
                    <xdr:row>35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2" r:id="rId33" name="品名呼出1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36</xdr:row>
                    <xdr:rowOff>95250</xdr:rowOff>
                  </from>
                  <to>
                    <xdr:col>0</xdr:col>
                    <xdr:colOff>476250</xdr:colOff>
                    <xdr:row>36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3" r:id="rId34" name="更新">
              <controlPr defaultSize="0" print="0" autoFill="0" autoPict="0" macro="[0]!ThisWorkbook.更新">
                <anchor moveWithCells="1" sizeWithCells="1">
                  <from>
                    <xdr:col>0</xdr:col>
                    <xdr:colOff>66675</xdr:colOff>
                    <xdr:row>2</xdr:row>
                    <xdr:rowOff>161925</xdr:rowOff>
                  </from>
                  <to>
                    <xdr:col>0</xdr:col>
                    <xdr:colOff>476250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4" r:id="rId35" name="プレビュー">
              <controlPr defaultSize="0" print="0" autoFill="0" autoPict="0" macro="[0]!ThisWorkbook.プレビュー">
                <anchor moveWithCells="1" sizeWithCells="1">
                  <from>
                    <xdr:col>14</xdr:col>
                    <xdr:colOff>28575</xdr:colOff>
                    <xdr:row>0</xdr:row>
                    <xdr:rowOff>76200</xdr:rowOff>
                  </from>
                  <to>
                    <xdr:col>18</xdr:col>
                    <xdr:colOff>9525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5" r:id="rId36" name="環境設定">
              <controlPr defaultSize="0" print="0" autoFill="0" autoPict="0" macro="[0]!ThisWorkbook.設定">
                <anchor moveWithCells="1" sizeWithCells="1">
                  <from>
                    <xdr:col>27</xdr:col>
                    <xdr:colOff>114300</xdr:colOff>
                    <xdr:row>0</xdr:row>
                    <xdr:rowOff>400050</xdr:rowOff>
                  </from>
                  <to>
                    <xdr:col>31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6" r:id="rId37" name="詳細無">
              <controlPr defaultSize="0" print="0" autoFill="0" autoPict="0" macro="[0]!ThisWorkbook.戻る">
                <anchor moveWithCells="1" sizeWithCells="1">
                  <from>
                    <xdr:col>78</xdr:col>
                    <xdr:colOff>76200</xdr:colOff>
                    <xdr:row>98</xdr:row>
                    <xdr:rowOff>66675</xdr:rowOff>
                  </from>
                  <to>
                    <xdr:col>82</xdr:col>
                    <xdr:colOff>57150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7" r:id="rId38" name="電卓">
              <controlPr defaultSize="0" print="0" autoFill="0" autoPict="0" macro="[0]!calc">
                <anchor moveWithCells="1" sizeWithCells="1">
                  <from>
                    <xdr:col>18</xdr:col>
                    <xdr:colOff>85725</xdr:colOff>
                    <xdr:row>0</xdr:row>
                    <xdr:rowOff>390525</xdr:rowOff>
                  </from>
                  <to>
                    <xdr:col>22</xdr:col>
                    <xdr:colOff>66675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8" r:id="rId39" name="データ更新">
              <controlPr defaultSize="0" print="0" autoFill="0" autoPict="0" macro="[0]!ThisWorkbook.getdata">
                <anchor moveWithCells="1" sizeWithCells="1">
                  <from>
                    <xdr:col>151</xdr:col>
                    <xdr:colOff>123825</xdr:colOff>
                    <xdr:row>400</xdr:row>
                    <xdr:rowOff>104775</xdr:rowOff>
                  </from>
                  <to>
                    <xdr:col>156</xdr:col>
                    <xdr:colOff>38100</xdr:colOff>
                    <xdr:row>401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9" r:id="rId40" name="並替">
              <controlPr defaultSize="0" print="0" autoFill="0" autoPict="0" macro="[0]!ThisWorkbook.並替">
                <anchor moveWithCells="1" sizeWithCells="1">
                  <from>
                    <xdr:col>36</xdr:col>
                    <xdr:colOff>19050</xdr:colOff>
                    <xdr:row>0</xdr:row>
                    <xdr:rowOff>76200</xdr:rowOff>
                  </from>
                  <to>
                    <xdr:col>40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0" r:id="rId41" name="戻る2">
              <controlPr defaultSize="0" print="0" autoFill="0" autoPict="0" macro="[0]!ThisWorkbook.戻る">
                <anchor moveWithCells="1" sizeWithCells="1">
                  <from>
                    <xdr:col>151</xdr:col>
                    <xdr:colOff>123825</xdr:colOff>
                    <xdr:row>403</xdr:row>
                    <xdr:rowOff>104775</xdr:rowOff>
                  </from>
                  <to>
                    <xdr:col>156</xdr:col>
                    <xdr:colOff>38100</xdr:colOff>
                    <xdr:row>404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1" r:id="rId42" name="環境設定2">
              <controlPr defaultSize="0" print="0" autoFill="0" autoPict="0" macro="[0]!ThisWorkbook.設定">
                <anchor moveWithCells="1" sizeWithCells="1">
                  <from>
                    <xdr:col>151</xdr:col>
                    <xdr:colOff>123825</xdr:colOff>
                    <xdr:row>402</xdr:row>
                    <xdr:rowOff>19050</xdr:rowOff>
                  </from>
                  <to>
                    <xdr:col>156</xdr:col>
                    <xdr:colOff>38100</xdr:colOff>
                    <xdr:row>403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2" r:id="rId43" name="再選択">
              <controlPr defaultSize="0" print="0" autoFill="0" autoPict="0" macro="[0]!ThisWorkbook.並替2">
                <anchor moveWithCells="1" sizeWithCells="1">
                  <from>
                    <xdr:col>151</xdr:col>
                    <xdr:colOff>123825</xdr:colOff>
                    <xdr:row>399</xdr:row>
                    <xdr:rowOff>0</xdr:rowOff>
                  </from>
                  <to>
                    <xdr:col>156</xdr:col>
                    <xdr:colOff>38100</xdr:colOff>
                    <xdr:row>400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3" r:id="rId44" name="ﾃﾞｰﾀ処理">
              <controlPr defaultSize="0" print="0" autoFill="0" autoPict="0" macro="[0]!ThisWorkbook.データ処理">
                <anchor moveWithCells="1" sizeWithCells="1">
                  <from>
                    <xdr:col>36</xdr:col>
                    <xdr:colOff>19050</xdr:colOff>
                    <xdr:row>0</xdr:row>
                    <xdr:rowOff>400050</xdr:rowOff>
                  </from>
                  <to>
                    <xdr:col>40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4" r:id="rId45" name="詳細無">
              <controlPr defaultSize="0" print="0" autoFill="0" autoPict="0" macro="[0]!ThisWorkbook.自社">
                <anchor moveWithCells="1" sizeWithCells="1">
                  <from>
                    <xdr:col>82</xdr:col>
                    <xdr:colOff>142875</xdr:colOff>
                    <xdr:row>98</xdr:row>
                    <xdr:rowOff>66675</xdr:rowOff>
                  </from>
                  <to>
                    <xdr:col>88</xdr:col>
                    <xdr:colOff>133350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5" r:id="rId46" name="参照1">
              <controlPr defaultSize="0" print="0" autoFill="0" autoPict="0" macro="[0]!ThisWorkbook.参照1">
                <anchor moveWithCells="1" sizeWithCells="1">
                  <from>
                    <xdr:col>115</xdr:col>
                    <xdr:colOff>57150</xdr:colOff>
                    <xdr:row>118</xdr:row>
                    <xdr:rowOff>9525</xdr:rowOff>
                  </from>
                  <to>
                    <xdr:col>115</xdr:col>
                    <xdr:colOff>447675</xdr:colOff>
                    <xdr:row>118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6" r:id="rId47" name="参照2">
              <controlPr defaultSize="0" print="0" autoFill="0" autoPict="0" macro="[0]!ThisWorkbook.参照2">
                <anchor moveWithCells="1" sizeWithCells="1">
                  <from>
                    <xdr:col>115</xdr:col>
                    <xdr:colOff>57150</xdr:colOff>
                    <xdr:row>119</xdr:row>
                    <xdr:rowOff>19050</xdr:rowOff>
                  </from>
                  <to>
                    <xdr:col>115</xdr:col>
                    <xdr:colOff>447675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7" r:id="rId48" name="入力">
              <controlPr defaultSize="0" print="0" autoFill="0" autoPict="0" macro="[0]!ライセンスキー入力">
                <anchor moveWithCells="1" sizeWithCells="1">
                  <from>
                    <xdr:col>89</xdr:col>
                    <xdr:colOff>57150</xdr:colOff>
                    <xdr:row>98</xdr:row>
                    <xdr:rowOff>57150</xdr:rowOff>
                  </from>
                  <to>
                    <xdr:col>91</xdr:col>
                    <xdr:colOff>142875</xdr:colOff>
                    <xdr:row>99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8" r:id="rId49" name="入力">
              <controlPr defaultSize="0" print="0" autoFill="0" autoPict="0" macro="[0]!Sheet1.macdadress">
                <anchor moveWithCells="1" sizeWithCells="1">
                  <from>
                    <xdr:col>92</xdr:col>
                    <xdr:colOff>66675</xdr:colOff>
                    <xdr:row>98</xdr:row>
                    <xdr:rowOff>57150</xdr:rowOff>
                  </from>
                  <to>
                    <xdr:col>97</xdr:col>
                    <xdr:colOff>85725</xdr:colOff>
                    <xdr:row>99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FI642"/>
  <sheetViews>
    <sheetView showGridLines="0" showRowColHeaders="0" workbookViewId="0">
      <selection activeCell="B2" sqref="B2:V8"/>
    </sheetView>
  </sheetViews>
  <sheetFormatPr defaultColWidth="2.125" defaultRowHeight="15" customHeight="1" x14ac:dyDescent="0.15"/>
  <cols>
    <col min="1" max="1" width="7.25" style="25" customWidth="1"/>
    <col min="2" max="4" width="2.125" customWidth="1"/>
    <col min="5" max="5" width="3.75" customWidth="1"/>
    <col min="6" max="9" width="2.125" customWidth="1"/>
    <col min="10" max="10" width="2.375" customWidth="1"/>
    <col min="11" max="11" width="0.5" customWidth="1"/>
    <col min="12" max="25" width="2.125" customWidth="1"/>
    <col min="26" max="26" width="0.875" customWidth="1"/>
    <col min="27" max="27" width="2.125" customWidth="1"/>
    <col min="28" max="28" width="1.875" customWidth="1"/>
    <col min="29" max="30" width="2.125" customWidth="1"/>
    <col min="31" max="31" width="2.625" customWidth="1"/>
    <col min="32" max="33" width="2.125" customWidth="1"/>
    <col min="34" max="34" width="1.875" customWidth="1"/>
    <col min="35" max="35" width="3.5" customWidth="1"/>
    <col min="36" max="36" width="1.375" customWidth="1"/>
    <col min="37" max="37" width="1.625" customWidth="1"/>
    <col min="38" max="38" width="2.5" customWidth="1"/>
    <col min="39" max="39" width="2.25" customWidth="1"/>
    <col min="40" max="40" width="1.125" customWidth="1"/>
    <col min="41" max="41" width="2.125" customWidth="1"/>
    <col min="42" max="42" width="2.375" customWidth="1"/>
    <col min="43" max="45" width="2.125" customWidth="1"/>
    <col min="46" max="46" width="0.875" customWidth="1"/>
    <col min="47" max="82" width="2.125" customWidth="1"/>
    <col min="83" max="83" width="5.125" customWidth="1"/>
    <col min="84" max="103" width="2.125" customWidth="1"/>
    <col min="104" max="104" width="2.75" customWidth="1"/>
    <col min="105" max="115" width="2.125" customWidth="1"/>
    <col min="116" max="116" width="7.375" customWidth="1"/>
    <col min="117" max="121" width="2.125" customWidth="1"/>
    <col min="122" max="122" width="10.75" customWidth="1"/>
    <col min="123" max="157" width="2.125" customWidth="1"/>
    <col min="158" max="158" width="5.25" bestFit="1" customWidth="1"/>
    <col min="159" max="159" width="7.875" bestFit="1" customWidth="1"/>
    <col min="160" max="160" width="31.5" bestFit="1" customWidth="1"/>
    <col min="161" max="162" width="6" bestFit="1" customWidth="1"/>
    <col min="163" max="163" width="8.75" customWidth="1"/>
    <col min="164" max="164" width="9.75" customWidth="1"/>
    <col min="165" max="165" width="8.75" customWidth="1"/>
  </cols>
  <sheetData>
    <row r="1" spans="1:78" ht="57.75" customHeight="1" x14ac:dyDescent="0.15">
      <c r="A1" s="65"/>
      <c r="B1" s="1"/>
      <c r="C1" s="1"/>
      <c r="D1" s="1"/>
      <c r="E1" s="1"/>
      <c r="F1" s="1"/>
      <c r="G1" s="66"/>
      <c r="H1" s="1"/>
      <c r="I1" s="66"/>
      <c r="J1" s="6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66"/>
      <c r="W1" s="6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5" customHeight="1" x14ac:dyDescent="0.15">
      <c r="A2" s="26"/>
      <c r="E2" s="3"/>
      <c r="F2" s="3"/>
      <c r="G2" s="67"/>
      <c r="H2" s="3"/>
      <c r="I2" s="68"/>
      <c r="J2" s="68"/>
      <c r="L2" s="60"/>
      <c r="M2" s="93" t="s">
        <v>78</v>
      </c>
      <c r="N2" s="93"/>
      <c r="O2" s="93"/>
      <c r="P2" s="93"/>
      <c r="Q2" s="93"/>
      <c r="R2" s="93"/>
      <c r="W2" s="4"/>
      <c r="X2" s="4"/>
      <c r="Y2" s="4"/>
      <c r="Z2" s="4"/>
      <c r="AA2" s="94" t="s">
        <v>47</v>
      </c>
      <c r="AB2" s="94"/>
      <c r="AC2" s="94"/>
      <c r="AD2" s="94"/>
      <c r="AE2" s="94"/>
      <c r="AF2" s="94"/>
      <c r="AG2" s="94"/>
      <c r="AH2" s="94"/>
      <c r="AI2" s="94"/>
      <c r="AJ2" s="94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26"/>
      <c r="E3" s="88" t="s">
        <v>130</v>
      </c>
      <c r="F3" s="88"/>
      <c r="G3" s="88"/>
      <c r="H3" s="88"/>
      <c r="I3" s="68"/>
      <c r="J3" s="68"/>
      <c r="N3" s="59"/>
      <c r="O3" s="59"/>
      <c r="P3" s="59"/>
      <c r="Q3" s="59"/>
      <c r="R3" s="59"/>
      <c r="W3" s="4"/>
      <c r="X3" s="4"/>
      <c r="Y3" s="4"/>
      <c r="Z3" s="4"/>
      <c r="AA3" s="94"/>
      <c r="AB3" s="94"/>
      <c r="AC3" s="94"/>
      <c r="AD3" s="94"/>
      <c r="AE3" s="94"/>
      <c r="AF3" s="94"/>
      <c r="AG3" s="94"/>
      <c r="AH3" s="94"/>
      <c r="AI3" s="94"/>
      <c r="AJ3" s="94"/>
      <c r="AL3" s="5" t="s">
        <v>0</v>
      </c>
      <c r="AM3" s="5"/>
      <c r="AN3" s="95" t="s">
        <v>111</v>
      </c>
      <c r="AO3" s="95"/>
      <c r="AP3" s="95"/>
      <c r="AQ3" s="95"/>
      <c r="AR3" s="95"/>
      <c r="AS3" s="6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5" customHeight="1" x14ac:dyDescent="0.15">
      <c r="A4" s="26"/>
      <c r="D4" s="85" t="s">
        <v>131</v>
      </c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26"/>
      <c r="D5" s="85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G5" s="9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26"/>
      <c r="D6" s="7"/>
      <c r="E6" s="7"/>
      <c r="F6" s="87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7"/>
      <c r="T6" s="76"/>
      <c r="U6" s="76"/>
      <c r="V6" s="8"/>
      <c r="W6" s="8"/>
      <c r="X6" s="8"/>
      <c r="Y6" s="8"/>
      <c r="Z6" s="8"/>
      <c r="AA6" s="8"/>
      <c r="AB6" s="8"/>
      <c r="AC6" s="8"/>
      <c r="AG6" s="12" t="s">
        <v>101</v>
      </c>
      <c r="AH6" s="12"/>
      <c r="AI6" s="89">
        <v>7</v>
      </c>
      <c r="AJ6" s="89"/>
      <c r="AK6" s="89"/>
      <c r="AL6" s="9" t="s">
        <v>1</v>
      </c>
      <c r="AM6" s="89">
        <v>4</v>
      </c>
      <c r="AN6" s="89"/>
      <c r="AO6" s="9" t="s">
        <v>2</v>
      </c>
      <c r="AP6" s="89">
        <v>3</v>
      </c>
      <c r="AQ6" s="89"/>
      <c r="AR6" s="31" t="s">
        <v>94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15" customHeight="1" x14ac:dyDescent="0.15">
      <c r="A7" s="26"/>
      <c r="D7" s="90" t="s">
        <v>129</v>
      </c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2" t="s">
        <v>55</v>
      </c>
      <c r="U7" s="92"/>
      <c r="V7" s="92"/>
      <c r="W7" s="8"/>
      <c r="X7" s="8"/>
      <c r="Y7" s="8"/>
      <c r="Z7" s="8"/>
      <c r="AA7" s="8"/>
      <c r="AB7" s="8"/>
      <c r="AC7" s="8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15" customHeight="1" x14ac:dyDescent="0.15">
      <c r="A8" s="26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2"/>
      <c r="U8" s="92"/>
      <c r="V8" s="92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15" customHeight="1" x14ac:dyDescent="0.15">
      <c r="A9" s="2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/>
      <c r="V9" s="11"/>
      <c r="W9" s="11"/>
      <c r="X9" s="11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1.5" customHeight="1" x14ac:dyDescent="0.15">
      <c r="A10" s="26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/>
      <c r="V10" s="11"/>
      <c r="W10" s="11"/>
      <c r="X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15" customHeight="1" x14ac:dyDescent="0.15">
      <c r="A11" s="26"/>
      <c r="D11" s="73" t="s">
        <v>4</v>
      </c>
      <c r="E11" s="74"/>
      <c r="F11" s="74"/>
      <c r="G11" s="74"/>
      <c r="H11" s="106" t="s">
        <v>112</v>
      </c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73"/>
      <c r="U11" s="74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.75" customHeight="1" x14ac:dyDescent="0.15">
      <c r="A12" s="26"/>
      <c r="D12" s="32"/>
      <c r="E12" s="30"/>
      <c r="F12" s="30"/>
      <c r="G12" s="30"/>
      <c r="H12" s="32"/>
      <c r="I12" s="30"/>
      <c r="J12" s="33"/>
      <c r="K12" s="33"/>
      <c r="L12" s="33"/>
      <c r="M12" s="32"/>
      <c r="N12" s="33"/>
      <c r="O12" s="33"/>
      <c r="P12" s="32"/>
      <c r="Q12" s="33"/>
      <c r="R12" s="33"/>
      <c r="S12" s="34"/>
      <c r="T12" s="34"/>
      <c r="U12" s="30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15" customHeight="1" x14ac:dyDescent="0.15">
      <c r="A13" s="26"/>
      <c r="D13" s="73" t="s">
        <v>5</v>
      </c>
      <c r="E13" s="74"/>
      <c r="F13" s="74"/>
      <c r="G13" s="74"/>
      <c r="H13" s="96" t="s">
        <v>113</v>
      </c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74"/>
      <c r="Z13" s="78"/>
      <c r="AA13" s="78"/>
      <c r="AB13" s="108" t="s">
        <v>57</v>
      </c>
      <c r="AC13" s="108"/>
      <c r="AD13" s="108"/>
      <c r="AE13" s="109" t="s">
        <v>81</v>
      </c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  <c r="AS13" s="109"/>
      <c r="AT13" s="109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.75" customHeight="1" x14ac:dyDescent="0.15">
      <c r="A14" s="26"/>
      <c r="D14" s="32"/>
      <c r="E14" s="30"/>
      <c r="F14" s="30"/>
      <c r="G14" s="30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0"/>
      <c r="Z14" s="78"/>
      <c r="AA14" s="78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78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15" customHeight="1" x14ac:dyDescent="0.15">
      <c r="A15" s="26"/>
      <c r="D15" s="73" t="s">
        <v>6</v>
      </c>
      <c r="E15" s="74"/>
      <c r="F15" s="74"/>
      <c r="G15" s="74"/>
      <c r="I15" s="81" t="s">
        <v>114</v>
      </c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7"/>
      <c r="Z15" s="78"/>
      <c r="AA15" s="78"/>
      <c r="AB15" s="110" t="s">
        <v>58</v>
      </c>
      <c r="AC15" s="110"/>
      <c r="AD15" s="110"/>
      <c r="AE15" s="109" t="s">
        <v>82</v>
      </c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  <c r="AS15" s="109"/>
      <c r="AT15" s="109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.75" customHeight="1" x14ac:dyDescent="0.15">
      <c r="A16" s="26"/>
      <c r="D16" s="32"/>
      <c r="E16" s="30"/>
      <c r="F16" s="30"/>
      <c r="G16" s="30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0"/>
      <c r="Z16" s="78"/>
      <c r="AA16" s="78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78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15" customHeight="1" x14ac:dyDescent="0.15">
      <c r="A17" s="26"/>
      <c r="B17" s="30"/>
      <c r="D17" s="79"/>
      <c r="E17" s="5" t="s">
        <v>92</v>
      </c>
      <c r="F17" s="5"/>
      <c r="G17" s="5" t="s">
        <v>100</v>
      </c>
      <c r="H17" s="5"/>
      <c r="I17" s="5"/>
      <c r="J17" s="95" t="s">
        <v>96</v>
      </c>
      <c r="K17" s="95"/>
      <c r="L17" s="95"/>
      <c r="M17" s="5"/>
      <c r="N17" s="95" t="s">
        <v>95</v>
      </c>
      <c r="O17" s="95"/>
      <c r="P17" s="5"/>
      <c r="Q17" s="95"/>
      <c r="R17" s="95"/>
      <c r="S17" s="5"/>
      <c r="T17" s="5"/>
      <c r="U17" s="5"/>
      <c r="W17" s="78"/>
      <c r="X17" s="30"/>
      <c r="AB17" s="79" t="s">
        <v>7</v>
      </c>
      <c r="AC17" s="79"/>
      <c r="AD17" s="79"/>
      <c r="AE17" s="79"/>
      <c r="AF17" s="96" t="s">
        <v>97</v>
      </c>
      <c r="AG17" s="96"/>
      <c r="AH17" s="96"/>
      <c r="AI17" s="96"/>
      <c r="AJ17" s="96"/>
      <c r="AK17" s="96"/>
      <c r="AL17" s="96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7.5" customHeight="1" x14ac:dyDescent="0.15">
      <c r="A18" s="26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15" customHeight="1" x14ac:dyDescent="0.25">
      <c r="A19" s="26"/>
      <c r="B19" s="78"/>
      <c r="C19" s="78"/>
      <c r="D19" s="78"/>
      <c r="E19" s="78"/>
      <c r="F19" s="78"/>
      <c r="G19" s="78"/>
      <c r="H19" s="78"/>
      <c r="I19" s="78"/>
      <c r="J19" s="84">
        <f>H39</f>
        <v>5830000</v>
      </c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78"/>
      <c r="W19" s="78"/>
      <c r="AB19" s="97"/>
      <c r="AC19" s="98"/>
      <c r="AD19" s="98"/>
      <c r="AE19" s="98"/>
      <c r="AF19" s="99"/>
      <c r="AG19" s="97"/>
      <c r="AH19" s="98"/>
      <c r="AI19" s="98"/>
      <c r="AJ19" s="98"/>
      <c r="AK19" s="99"/>
      <c r="AL19" s="97"/>
      <c r="AM19" s="98"/>
      <c r="AN19" s="98"/>
      <c r="AO19" s="98"/>
      <c r="AP19" s="99"/>
      <c r="AQ19" s="13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11.25" customHeight="1" x14ac:dyDescent="0.15">
      <c r="A20" s="26"/>
      <c r="B20" s="78"/>
      <c r="C20" s="78"/>
      <c r="D20" s="130" t="s">
        <v>98</v>
      </c>
      <c r="E20" s="130"/>
      <c r="F20" s="130"/>
      <c r="G20" s="130"/>
      <c r="H20" s="130"/>
      <c r="I20" s="130"/>
      <c r="J20" s="132">
        <f>H39</f>
        <v>5830000</v>
      </c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78"/>
      <c r="W20" s="78"/>
      <c r="AB20" s="100"/>
      <c r="AC20" s="101"/>
      <c r="AD20" s="101"/>
      <c r="AE20" s="101"/>
      <c r="AF20" s="102"/>
      <c r="AG20" s="100"/>
      <c r="AH20" s="101"/>
      <c r="AI20" s="101"/>
      <c r="AJ20" s="101"/>
      <c r="AK20" s="102"/>
      <c r="AL20" s="100"/>
      <c r="AM20" s="101"/>
      <c r="AN20" s="101"/>
      <c r="AO20" s="101"/>
      <c r="AP20" s="102"/>
      <c r="AQ20" s="13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9.6" customHeight="1" thickBot="1" x14ac:dyDescent="0.2">
      <c r="A21" s="26"/>
      <c r="B21" s="78"/>
      <c r="C21" s="78"/>
      <c r="D21" s="131"/>
      <c r="E21" s="131"/>
      <c r="F21" s="131"/>
      <c r="G21" s="131"/>
      <c r="H21" s="131"/>
      <c r="I21" s="131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78"/>
      <c r="W21" s="78"/>
      <c r="AB21" s="100"/>
      <c r="AC21" s="101"/>
      <c r="AD21" s="101"/>
      <c r="AE21" s="101"/>
      <c r="AF21" s="102"/>
      <c r="AG21" s="100"/>
      <c r="AH21" s="101"/>
      <c r="AI21" s="101"/>
      <c r="AJ21" s="101"/>
      <c r="AK21" s="102"/>
      <c r="AL21" s="100"/>
      <c r="AM21" s="101"/>
      <c r="AN21" s="101"/>
      <c r="AO21" s="101"/>
      <c r="AP21" s="102"/>
      <c r="AQ21" s="13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21" customHeight="1" x14ac:dyDescent="0.15">
      <c r="A22" s="26"/>
      <c r="B22" s="134" t="s">
        <v>105</v>
      </c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78"/>
      <c r="AB22" s="103"/>
      <c r="AC22" s="104"/>
      <c r="AD22" s="104"/>
      <c r="AE22" s="104"/>
      <c r="AF22" s="105"/>
      <c r="AG22" s="103"/>
      <c r="AH22" s="104"/>
      <c r="AI22" s="104"/>
      <c r="AJ22" s="104"/>
      <c r="AK22" s="105"/>
      <c r="AL22" s="103"/>
      <c r="AM22" s="104"/>
      <c r="AN22" s="104"/>
      <c r="AO22" s="104"/>
      <c r="AP22" s="105"/>
      <c r="AQ22" s="13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7.5" customHeight="1" thickBot="1" x14ac:dyDescent="0.2">
      <c r="A23" s="26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15" customHeight="1" x14ac:dyDescent="0.15">
      <c r="A24" s="26"/>
      <c r="B24" s="135" t="s">
        <v>9</v>
      </c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7"/>
      <c r="T24" s="111" t="s">
        <v>10</v>
      </c>
      <c r="U24" s="112"/>
      <c r="V24" s="112"/>
      <c r="W24" s="112"/>
      <c r="X24" s="112"/>
      <c r="Y24" s="112"/>
      <c r="Z24" s="113"/>
      <c r="AA24" s="111" t="s">
        <v>99</v>
      </c>
      <c r="AB24" s="112"/>
      <c r="AC24" s="112"/>
      <c r="AD24" s="112"/>
      <c r="AE24" s="112"/>
      <c r="AF24" s="111" t="s">
        <v>12</v>
      </c>
      <c r="AG24" s="112"/>
      <c r="AH24" s="112"/>
      <c r="AI24" s="112"/>
      <c r="AJ24" s="112"/>
      <c r="AK24" s="112"/>
      <c r="AL24" s="113"/>
      <c r="AM24" s="111" t="s">
        <v>13</v>
      </c>
      <c r="AN24" s="112"/>
      <c r="AO24" s="112"/>
      <c r="AP24" s="112"/>
      <c r="AQ24" s="112"/>
      <c r="AR24" s="112"/>
      <c r="AS24" s="117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15" customHeight="1" x14ac:dyDescent="0.15">
      <c r="A25" s="26"/>
      <c r="B25" s="138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40"/>
      <c r="T25" s="114"/>
      <c r="U25" s="115"/>
      <c r="V25" s="115"/>
      <c r="W25" s="115"/>
      <c r="X25" s="115"/>
      <c r="Y25" s="115"/>
      <c r="Z25" s="116"/>
      <c r="AA25" s="114"/>
      <c r="AB25" s="115"/>
      <c r="AC25" s="115"/>
      <c r="AD25" s="115"/>
      <c r="AE25" s="115"/>
      <c r="AF25" s="114"/>
      <c r="AG25" s="115"/>
      <c r="AH25" s="115"/>
      <c r="AI25" s="115"/>
      <c r="AJ25" s="115"/>
      <c r="AK25" s="115"/>
      <c r="AL25" s="116"/>
      <c r="AM25" s="114"/>
      <c r="AN25" s="115"/>
      <c r="AO25" s="115"/>
      <c r="AP25" s="115"/>
      <c r="AQ25" s="115"/>
      <c r="AR25" s="115"/>
      <c r="AS25" s="118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26"/>
      <c r="B26" s="119" t="s">
        <v>115</v>
      </c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1"/>
      <c r="T26" s="122"/>
      <c r="U26" s="123"/>
      <c r="V26" s="123"/>
      <c r="W26" s="123"/>
      <c r="X26" s="124"/>
      <c r="Y26" s="124"/>
      <c r="Z26" s="125"/>
      <c r="AA26" s="122"/>
      <c r="AB26" s="123"/>
      <c r="AC26" s="123"/>
      <c r="AD26" s="123"/>
      <c r="AE26" s="126"/>
      <c r="AF26" s="122">
        <f t="shared" ref="AF26:AF37" si="0">IF(T26="",1*AA26,T26*AA26)</f>
        <v>0</v>
      </c>
      <c r="AG26" s="123"/>
      <c r="AH26" s="123"/>
      <c r="AI26" s="123"/>
      <c r="AJ26" s="123"/>
      <c r="AK26" s="123"/>
      <c r="AL26" s="126"/>
      <c r="AM26" s="127"/>
      <c r="AN26" s="128"/>
      <c r="AO26" s="128"/>
      <c r="AP26" s="128"/>
      <c r="AQ26" s="128"/>
      <c r="AR26" s="128"/>
      <c r="AS26" s="129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26"/>
      <c r="B27" s="119" t="s">
        <v>132</v>
      </c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1"/>
      <c r="T27" s="122"/>
      <c r="U27" s="123"/>
      <c r="V27" s="123"/>
      <c r="W27" s="123"/>
      <c r="X27" s="124" t="s">
        <v>22</v>
      </c>
      <c r="Y27" s="124"/>
      <c r="Z27" s="125"/>
      <c r="AA27" s="122">
        <v>1400000</v>
      </c>
      <c r="AB27" s="123"/>
      <c r="AC27" s="123"/>
      <c r="AD27" s="123"/>
      <c r="AE27" s="126"/>
      <c r="AF27" s="122">
        <f t="shared" ref="AF27" si="1">IF(T27="",1*AA27,T27*AA27)</f>
        <v>1400000</v>
      </c>
      <c r="AG27" s="123"/>
      <c r="AH27" s="123"/>
      <c r="AI27" s="123"/>
      <c r="AJ27" s="123"/>
      <c r="AK27" s="123"/>
      <c r="AL27" s="126"/>
      <c r="AM27" s="127" t="s">
        <v>108</v>
      </c>
      <c r="AN27" s="128"/>
      <c r="AO27" s="128"/>
      <c r="AP27" s="128"/>
      <c r="AQ27" s="128"/>
      <c r="AR27" s="128"/>
      <c r="AS27" s="129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26"/>
      <c r="B28" s="119" t="s">
        <v>116</v>
      </c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1"/>
      <c r="T28" s="122"/>
      <c r="U28" s="123"/>
      <c r="V28" s="123"/>
      <c r="W28" s="123"/>
      <c r="X28" s="124"/>
      <c r="Y28" s="124"/>
      <c r="Z28" s="125"/>
      <c r="AA28" s="122"/>
      <c r="AB28" s="123"/>
      <c r="AC28" s="123"/>
      <c r="AD28" s="123"/>
      <c r="AE28" s="126"/>
      <c r="AF28" s="122">
        <f>IF(T28="",1*AA28,T28*AA28)</f>
        <v>0</v>
      </c>
      <c r="AG28" s="123"/>
      <c r="AH28" s="123"/>
      <c r="AI28" s="123"/>
      <c r="AJ28" s="123"/>
      <c r="AK28" s="123"/>
      <c r="AL28" s="126"/>
      <c r="AM28" s="127"/>
      <c r="AN28" s="128"/>
      <c r="AO28" s="128"/>
      <c r="AP28" s="128"/>
      <c r="AQ28" s="128"/>
      <c r="AR28" s="128"/>
      <c r="AS28" s="129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26"/>
      <c r="B29" s="119" t="s">
        <v>132</v>
      </c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1"/>
      <c r="T29" s="122"/>
      <c r="U29" s="123"/>
      <c r="V29" s="123"/>
      <c r="W29" s="123"/>
      <c r="X29" s="124" t="s">
        <v>22</v>
      </c>
      <c r="Y29" s="124"/>
      <c r="Z29" s="125"/>
      <c r="AA29" s="122">
        <v>1350000</v>
      </c>
      <c r="AB29" s="123"/>
      <c r="AC29" s="123"/>
      <c r="AD29" s="123"/>
      <c r="AE29" s="126"/>
      <c r="AF29" s="122">
        <f t="shared" ref="AF29" si="2">IF(T29="",1*AA29,T29*AA29)</f>
        <v>1350000</v>
      </c>
      <c r="AG29" s="123"/>
      <c r="AH29" s="123"/>
      <c r="AI29" s="123"/>
      <c r="AJ29" s="123"/>
      <c r="AK29" s="123"/>
      <c r="AL29" s="126"/>
      <c r="AM29" s="127" t="s">
        <v>108</v>
      </c>
      <c r="AN29" s="128"/>
      <c r="AO29" s="128"/>
      <c r="AP29" s="128"/>
      <c r="AQ29" s="128"/>
      <c r="AR29" s="128"/>
      <c r="AS29" s="129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x14ac:dyDescent="0.15">
      <c r="A30" s="26"/>
      <c r="B30" s="119" t="s">
        <v>117</v>
      </c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1"/>
      <c r="T30" s="122"/>
      <c r="U30" s="123"/>
      <c r="V30" s="123"/>
      <c r="W30" s="123"/>
      <c r="X30" s="124"/>
      <c r="Y30" s="124"/>
      <c r="Z30" s="125"/>
      <c r="AA30" s="122"/>
      <c r="AB30" s="123"/>
      <c r="AC30" s="123"/>
      <c r="AD30" s="123"/>
      <c r="AE30" s="126"/>
      <c r="AF30" s="122">
        <f t="shared" ref="AF30" si="3">IF(T30="",1*AA30,T30*AA30)</f>
        <v>0</v>
      </c>
      <c r="AG30" s="123"/>
      <c r="AH30" s="123"/>
      <c r="AI30" s="123"/>
      <c r="AJ30" s="123"/>
      <c r="AK30" s="123"/>
      <c r="AL30" s="126"/>
      <c r="AM30" s="127"/>
      <c r="AN30" s="128"/>
      <c r="AO30" s="128"/>
      <c r="AP30" s="128"/>
      <c r="AQ30" s="128"/>
      <c r="AR30" s="128"/>
      <c r="AS30" s="129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32.1" customHeight="1" x14ac:dyDescent="0.15">
      <c r="A31" s="26"/>
      <c r="B31" s="119" t="s">
        <v>132</v>
      </c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1"/>
      <c r="T31" s="122"/>
      <c r="U31" s="123"/>
      <c r="V31" s="123"/>
      <c r="W31" s="123"/>
      <c r="X31" s="124" t="s">
        <v>22</v>
      </c>
      <c r="Y31" s="124"/>
      <c r="Z31" s="125"/>
      <c r="AA31" s="122">
        <v>1300000</v>
      </c>
      <c r="AB31" s="123"/>
      <c r="AC31" s="123"/>
      <c r="AD31" s="123"/>
      <c r="AE31" s="126"/>
      <c r="AF31" s="122">
        <f t="shared" ref="AF31:AF32" si="4">IF(T31="",1*AA31,T31*AA31)</f>
        <v>1300000</v>
      </c>
      <c r="AG31" s="123"/>
      <c r="AH31" s="123"/>
      <c r="AI31" s="123"/>
      <c r="AJ31" s="123"/>
      <c r="AK31" s="123"/>
      <c r="AL31" s="126"/>
      <c r="AM31" s="127" t="s">
        <v>108</v>
      </c>
      <c r="AN31" s="128"/>
      <c r="AO31" s="128"/>
      <c r="AP31" s="128"/>
      <c r="AQ31" s="128"/>
      <c r="AR31" s="128"/>
      <c r="AS31" s="129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32.1" customHeight="1" x14ac:dyDescent="0.15">
      <c r="A32" s="26"/>
      <c r="B32" s="119" t="s">
        <v>118</v>
      </c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1"/>
      <c r="T32" s="122"/>
      <c r="U32" s="123"/>
      <c r="V32" s="123"/>
      <c r="W32" s="123"/>
      <c r="X32" s="124"/>
      <c r="Y32" s="124"/>
      <c r="Z32" s="125"/>
      <c r="AA32" s="122"/>
      <c r="AB32" s="123"/>
      <c r="AC32" s="123"/>
      <c r="AD32" s="123"/>
      <c r="AE32" s="126"/>
      <c r="AF32" s="122">
        <f t="shared" si="4"/>
        <v>0</v>
      </c>
      <c r="AG32" s="123"/>
      <c r="AH32" s="123"/>
      <c r="AI32" s="123"/>
      <c r="AJ32" s="123"/>
      <c r="AK32" s="123"/>
      <c r="AL32" s="126"/>
      <c r="AM32" s="141"/>
      <c r="AN32" s="142"/>
      <c r="AO32" s="142"/>
      <c r="AP32" s="142"/>
      <c r="AQ32" s="142"/>
      <c r="AR32" s="142"/>
      <c r="AS32" s="143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32.1" customHeight="1" x14ac:dyDescent="0.15">
      <c r="A33" s="26"/>
      <c r="B33" s="119" t="s">
        <v>132</v>
      </c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1"/>
      <c r="T33" s="122"/>
      <c r="U33" s="123"/>
      <c r="V33" s="123"/>
      <c r="W33" s="123"/>
      <c r="X33" s="124" t="s">
        <v>22</v>
      </c>
      <c r="Y33" s="124"/>
      <c r="Z33" s="125"/>
      <c r="AA33" s="122">
        <v>1250000</v>
      </c>
      <c r="AB33" s="123"/>
      <c r="AC33" s="123"/>
      <c r="AD33" s="123"/>
      <c r="AE33" s="126"/>
      <c r="AF33" s="122">
        <f>IF(T33="",1*AA33,T33*AA33)</f>
        <v>1250000</v>
      </c>
      <c r="AG33" s="123"/>
      <c r="AH33" s="123"/>
      <c r="AI33" s="123"/>
      <c r="AJ33" s="123"/>
      <c r="AK33" s="123"/>
      <c r="AL33" s="126"/>
      <c r="AM33" s="127" t="s">
        <v>108</v>
      </c>
      <c r="AN33" s="128"/>
      <c r="AO33" s="128"/>
      <c r="AP33" s="128"/>
      <c r="AQ33" s="128"/>
      <c r="AR33" s="128"/>
      <c r="AS33" s="129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32.1" customHeight="1" x14ac:dyDescent="0.15">
      <c r="A34" s="26"/>
      <c r="B34" s="119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1"/>
      <c r="T34" s="122"/>
      <c r="U34" s="123"/>
      <c r="V34" s="123"/>
      <c r="W34" s="123"/>
      <c r="X34" s="124"/>
      <c r="Y34" s="124"/>
      <c r="Z34" s="125"/>
      <c r="AA34" s="122"/>
      <c r="AB34" s="123"/>
      <c r="AC34" s="123"/>
      <c r="AD34" s="123"/>
      <c r="AE34" s="126"/>
      <c r="AF34" s="122">
        <f>IF(T34="",1*AA34,T34*AA34)</f>
        <v>0</v>
      </c>
      <c r="AG34" s="123"/>
      <c r="AH34" s="123"/>
      <c r="AI34" s="123"/>
      <c r="AJ34" s="123"/>
      <c r="AK34" s="123"/>
      <c r="AL34" s="126"/>
      <c r="AM34" s="141"/>
      <c r="AN34" s="142"/>
      <c r="AO34" s="142"/>
      <c r="AP34" s="142"/>
      <c r="AQ34" s="142"/>
      <c r="AR34" s="142"/>
      <c r="AS34" s="143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32.1" customHeight="1" x14ac:dyDescent="0.15">
      <c r="A35" s="26"/>
      <c r="B35" s="119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1"/>
      <c r="T35" s="122"/>
      <c r="U35" s="123"/>
      <c r="V35" s="123"/>
      <c r="W35" s="123"/>
      <c r="X35" s="124"/>
      <c r="Y35" s="124"/>
      <c r="Z35" s="125"/>
      <c r="AA35" s="122"/>
      <c r="AB35" s="123"/>
      <c r="AC35" s="123"/>
      <c r="AD35" s="123"/>
      <c r="AE35" s="126"/>
      <c r="AF35" s="122">
        <f>IF(T35="",1*AA35,T35*AA35)</f>
        <v>0</v>
      </c>
      <c r="AG35" s="123"/>
      <c r="AH35" s="123"/>
      <c r="AI35" s="123"/>
      <c r="AJ35" s="123"/>
      <c r="AK35" s="123"/>
      <c r="AL35" s="126"/>
      <c r="AM35" s="141"/>
      <c r="AN35" s="142"/>
      <c r="AO35" s="142"/>
      <c r="AP35" s="142"/>
      <c r="AQ35" s="142"/>
      <c r="AR35" s="142"/>
      <c r="AS35" s="143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32.1" customHeight="1" x14ac:dyDescent="0.15">
      <c r="A36" s="26"/>
      <c r="B36" s="119" t="s">
        <v>109</v>
      </c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1"/>
      <c r="T36" s="122">
        <v>1</v>
      </c>
      <c r="U36" s="123"/>
      <c r="V36" s="123"/>
      <c r="W36" s="123"/>
      <c r="X36" s="124" t="s">
        <v>22</v>
      </c>
      <c r="Y36" s="124"/>
      <c r="Z36" s="125"/>
      <c r="AA36" s="122"/>
      <c r="AB36" s="123"/>
      <c r="AC36" s="123"/>
      <c r="AD36" s="123"/>
      <c r="AE36" s="126"/>
      <c r="AF36" s="122">
        <f t="shared" si="0"/>
        <v>0</v>
      </c>
      <c r="AG36" s="123"/>
      <c r="AH36" s="123"/>
      <c r="AI36" s="123"/>
      <c r="AJ36" s="123"/>
      <c r="AK36" s="123"/>
      <c r="AL36" s="126"/>
      <c r="AM36" s="141"/>
      <c r="AN36" s="142"/>
      <c r="AO36" s="142"/>
      <c r="AP36" s="142"/>
      <c r="AQ36" s="142"/>
      <c r="AR36" s="142"/>
      <c r="AS36" s="143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32.1" customHeight="1" x14ac:dyDescent="0.15">
      <c r="A37" s="26"/>
      <c r="B37" s="119" t="s">
        <v>110</v>
      </c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1"/>
      <c r="T37" s="122">
        <v>1</v>
      </c>
      <c r="U37" s="123"/>
      <c r="V37" s="123"/>
      <c r="W37" s="123"/>
      <c r="X37" s="124" t="s">
        <v>22</v>
      </c>
      <c r="Y37" s="124"/>
      <c r="Z37" s="125"/>
      <c r="AA37" s="122"/>
      <c r="AB37" s="123"/>
      <c r="AC37" s="123"/>
      <c r="AD37" s="123"/>
      <c r="AE37" s="126"/>
      <c r="AF37" s="122">
        <f t="shared" si="0"/>
        <v>0</v>
      </c>
      <c r="AG37" s="123"/>
      <c r="AH37" s="123"/>
      <c r="AI37" s="123"/>
      <c r="AJ37" s="123"/>
      <c r="AK37" s="123"/>
      <c r="AL37" s="126"/>
      <c r="AM37" s="141"/>
      <c r="AN37" s="142"/>
      <c r="AO37" s="142"/>
      <c r="AP37" s="142"/>
      <c r="AQ37" s="142"/>
      <c r="AR37" s="142"/>
      <c r="AS37" s="143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32.1" customHeight="1" x14ac:dyDescent="0.15">
      <c r="A38" s="26"/>
      <c r="B38" s="144" t="s">
        <v>102</v>
      </c>
      <c r="C38" s="145"/>
      <c r="D38" s="145"/>
      <c r="E38" s="145"/>
      <c r="F38" s="145"/>
      <c r="G38" s="146"/>
      <c r="H38" s="147">
        <f>AA38*0.1</f>
        <v>530000</v>
      </c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9"/>
      <c r="T38" s="150" t="s">
        <v>15</v>
      </c>
      <c r="U38" s="145"/>
      <c r="V38" s="145"/>
      <c r="W38" s="145"/>
      <c r="X38" s="145"/>
      <c r="Y38" s="145"/>
      <c r="Z38" s="146"/>
      <c r="AA38" s="151">
        <f>SUM(AF26:AL37)</f>
        <v>5300000</v>
      </c>
      <c r="AB38" s="152"/>
      <c r="AC38" s="152"/>
      <c r="AD38" s="152"/>
      <c r="AE38" s="152"/>
      <c r="AF38" s="152"/>
      <c r="AG38" s="152"/>
      <c r="AH38" s="152"/>
      <c r="AI38" s="152"/>
      <c r="AJ38" s="152"/>
      <c r="AK38" s="152"/>
      <c r="AL38" s="153"/>
      <c r="AM38" s="154"/>
      <c r="AN38" s="155"/>
      <c r="AO38" s="155"/>
      <c r="AP38" s="155"/>
      <c r="AQ38" s="155"/>
      <c r="AR38" s="155"/>
      <c r="AS38" s="156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32.1" customHeight="1" thickBot="1" x14ac:dyDescent="0.2">
      <c r="A39" s="26"/>
      <c r="B39" s="157" t="s">
        <v>8</v>
      </c>
      <c r="C39" s="158"/>
      <c r="D39" s="158"/>
      <c r="E39" s="158"/>
      <c r="F39" s="158"/>
      <c r="G39" s="159"/>
      <c r="H39" s="160">
        <f>CK115+H38</f>
        <v>5830000</v>
      </c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1"/>
      <c r="AK39" s="161"/>
      <c r="AL39" s="162"/>
      <c r="AM39" s="163"/>
      <c r="AN39" s="164"/>
      <c r="AO39" s="164"/>
      <c r="AP39" s="164"/>
      <c r="AQ39" s="164"/>
      <c r="AR39" s="164"/>
      <c r="AS39" s="165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5" customHeight="1" x14ac:dyDescent="0.15">
      <c r="A40" s="26"/>
      <c r="B40" s="170" t="s">
        <v>16</v>
      </c>
      <c r="C40" s="171"/>
      <c r="D40" s="171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172"/>
      <c r="AA40" s="172"/>
      <c r="AB40" s="172"/>
      <c r="AC40" s="172"/>
      <c r="AD40" s="172"/>
      <c r="AE40" s="172"/>
      <c r="AF40" s="172"/>
      <c r="AG40" s="172"/>
      <c r="AH40" s="172"/>
      <c r="AI40" s="172"/>
      <c r="AJ40" s="172"/>
      <c r="AK40" s="172"/>
      <c r="AL40" s="172"/>
      <c r="AM40" s="172"/>
      <c r="AN40" s="172"/>
      <c r="AO40" s="172"/>
      <c r="AP40" s="172"/>
      <c r="AQ40" s="172"/>
      <c r="AR40" s="172"/>
      <c r="AS40" s="173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7.100000000000001" customHeight="1" x14ac:dyDescent="0.15">
      <c r="A41" s="26"/>
      <c r="B41" s="174" t="s">
        <v>128</v>
      </c>
      <c r="C41" s="175"/>
      <c r="D41" s="175"/>
      <c r="E41" s="175"/>
      <c r="F41" s="175"/>
      <c r="G41" s="175"/>
      <c r="H41" s="175"/>
      <c r="I41" s="175"/>
      <c r="J41" s="175"/>
      <c r="K41" s="175"/>
      <c r="L41" s="175"/>
      <c r="M41" s="175"/>
      <c r="N41" s="175"/>
      <c r="O41" s="175"/>
      <c r="P41" s="175"/>
      <c r="Q41" s="175"/>
      <c r="R41" s="175"/>
      <c r="S41" s="175"/>
      <c r="T41" s="175"/>
      <c r="U41" s="175"/>
      <c r="V41" s="175"/>
      <c r="W41" s="175"/>
      <c r="X41" s="175"/>
      <c r="Y41" s="175"/>
      <c r="Z41" s="175"/>
      <c r="AA41" s="175"/>
      <c r="AB41" s="175"/>
      <c r="AC41" s="175"/>
      <c r="AD41" s="175"/>
      <c r="AE41" s="175"/>
      <c r="AF41" s="175"/>
      <c r="AG41" s="175"/>
      <c r="AH41" s="175"/>
      <c r="AI41" s="175"/>
      <c r="AJ41" s="175"/>
      <c r="AK41" s="175"/>
      <c r="AL41" s="175"/>
      <c r="AM41" s="175"/>
      <c r="AN41" s="175"/>
      <c r="AO41" s="175"/>
      <c r="AP41" s="175"/>
      <c r="AQ41" s="175"/>
      <c r="AR41" s="175"/>
      <c r="AS41" s="176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7.100000000000001" customHeight="1" thickBot="1" x14ac:dyDescent="0.2">
      <c r="A42" s="26"/>
      <c r="B42" s="177" t="s">
        <v>107</v>
      </c>
      <c r="C42" s="178"/>
      <c r="D42" s="178"/>
      <c r="E42" s="178"/>
      <c r="F42" s="178"/>
      <c r="G42" s="178"/>
      <c r="H42" s="178"/>
      <c r="I42" s="178"/>
      <c r="J42" s="178"/>
      <c r="K42" s="178"/>
      <c r="L42" s="178"/>
      <c r="M42" s="178"/>
      <c r="N42" s="178"/>
      <c r="O42" s="178"/>
      <c r="P42" s="178"/>
      <c r="Q42" s="178"/>
      <c r="R42" s="178"/>
      <c r="S42" s="178"/>
      <c r="T42" s="178"/>
      <c r="U42" s="178"/>
      <c r="V42" s="178"/>
      <c r="W42" s="178"/>
      <c r="X42" s="178"/>
      <c r="Y42" s="178"/>
      <c r="Z42" s="178"/>
      <c r="AA42" s="178"/>
      <c r="AB42" s="178"/>
      <c r="AC42" s="178"/>
      <c r="AD42" s="178"/>
      <c r="AE42" s="178"/>
      <c r="AF42" s="178"/>
      <c r="AG42" s="178"/>
      <c r="AH42" s="178"/>
      <c r="AI42" s="178"/>
      <c r="AJ42" s="178"/>
      <c r="AK42" s="178"/>
      <c r="AL42" s="178"/>
      <c r="AM42" s="178"/>
      <c r="AN42" s="178"/>
      <c r="AO42" s="178"/>
      <c r="AP42" s="178"/>
      <c r="AQ42" s="178"/>
      <c r="AR42" s="178"/>
      <c r="AS42" s="179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7.100000000000001" customHeight="1" thickTop="1" x14ac:dyDescent="0.15">
      <c r="A43" s="26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69.75" customHeight="1" x14ac:dyDescent="0.15">
      <c r="A44" s="26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80"/>
      <c r="O44" s="180"/>
      <c r="P44" s="180"/>
      <c r="Q44" s="180"/>
      <c r="R44" s="180"/>
      <c r="S44" s="180"/>
      <c r="T44" s="180"/>
      <c r="U44" s="180"/>
      <c r="V44" s="180"/>
      <c r="W44" s="1"/>
      <c r="X44" s="51"/>
      <c r="Y44" s="16"/>
      <c r="Z44" s="15"/>
      <c r="AA44" s="15"/>
      <c r="AB44" s="169"/>
      <c r="AC44" s="169"/>
      <c r="AD44" s="169"/>
      <c r="AE44" s="15"/>
      <c r="AF44" s="16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5" customHeight="1" x14ac:dyDescent="0.15">
      <c r="A45" s="26"/>
      <c r="B45" s="1"/>
      <c r="C45" s="1"/>
      <c r="D45" s="1"/>
      <c r="E45" s="1"/>
      <c r="F45" s="1"/>
      <c r="G45" s="1"/>
      <c r="H45" s="1"/>
      <c r="I45" s="1"/>
      <c r="J45" s="52"/>
      <c r="K45" s="1"/>
      <c r="L45" s="1"/>
      <c r="M45" s="1"/>
      <c r="N45" s="166"/>
      <c r="O45" s="166"/>
      <c r="P45" s="167"/>
      <c r="Q45" s="167"/>
      <c r="R45" s="167"/>
      <c r="S45" s="167"/>
      <c r="T45" s="167"/>
      <c r="U45" s="167"/>
      <c r="V45" s="167"/>
      <c r="W45" s="1"/>
      <c r="X45" s="53"/>
      <c r="Y45" s="54"/>
      <c r="Z45" s="15"/>
      <c r="AA45" s="15"/>
      <c r="AB45" s="168"/>
      <c r="AC45" s="168"/>
      <c r="AD45" s="5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5" customHeight="1" x14ac:dyDescent="0.15">
      <c r="A46" s="26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66"/>
      <c r="O46" s="166"/>
      <c r="P46" s="167"/>
      <c r="Q46" s="167"/>
      <c r="R46" s="167"/>
      <c r="S46" s="167"/>
      <c r="T46" s="167"/>
      <c r="U46" s="167"/>
      <c r="V46" s="167"/>
      <c r="W46" s="1"/>
      <c r="X46" s="53"/>
      <c r="Y46" s="54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5" customHeight="1" x14ac:dyDescent="0.15">
      <c r="A47" s="26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66"/>
      <c r="O47" s="166"/>
      <c r="P47" s="167"/>
      <c r="Q47" s="167"/>
      <c r="R47" s="167"/>
      <c r="S47" s="167"/>
      <c r="T47" s="167"/>
      <c r="U47" s="167"/>
      <c r="V47" s="167"/>
      <c r="W47" s="1"/>
      <c r="X47" s="53"/>
      <c r="Y47" s="54"/>
      <c r="Z47" s="15"/>
      <c r="AA47" s="169"/>
      <c r="AB47" s="169"/>
      <c r="AC47" s="169"/>
      <c r="AD47" s="169"/>
      <c r="AE47" s="169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5" customHeight="1" x14ac:dyDescent="0.15">
      <c r="A48" s="26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66"/>
      <c r="O48" s="166"/>
      <c r="P48" s="167"/>
      <c r="Q48" s="167"/>
      <c r="R48" s="167"/>
      <c r="S48" s="167"/>
      <c r="T48" s="167"/>
      <c r="U48" s="167"/>
      <c r="V48" s="167"/>
      <c r="W48" s="1"/>
      <c r="X48" s="53"/>
      <c r="Y48" s="54"/>
      <c r="Z48" s="15"/>
      <c r="AA48" s="56"/>
      <c r="AB48" s="168"/>
      <c r="AC48" s="168"/>
      <c r="AD48" s="168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5" customHeight="1" x14ac:dyDescent="0.15">
      <c r="A49" s="26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66"/>
      <c r="O49" s="166"/>
      <c r="P49" s="167"/>
      <c r="Q49" s="167"/>
      <c r="R49" s="167"/>
      <c r="S49" s="167"/>
      <c r="T49" s="167"/>
      <c r="U49" s="167"/>
      <c r="V49" s="167"/>
      <c r="W49" s="1"/>
      <c r="X49" s="53"/>
      <c r="Y49" s="54"/>
      <c r="Z49" s="15"/>
      <c r="AA49" s="56"/>
      <c r="AB49" s="168"/>
      <c r="AC49" s="168"/>
      <c r="AD49" s="168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5" customHeight="1" x14ac:dyDescent="0.15">
      <c r="A50" s="26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66"/>
      <c r="O50" s="166"/>
      <c r="P50" s="167"/>
      <c r="Q50" s="167"/>
      <c r="R50" s="167"/>
      <c r="S50" s="167"/>
      <c r="T50" s="167"/>
      <c r="U50" s="167"/>
      <c r="V50" s="167"/>
      <c r="W50" s="1"/>
      <c r="X50" s="53"/>
      <c r="Y50" s="53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ht="15" customHeight="1" x14ac:dyDescent="0.15">
      <c r="A51" s="26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66"/>
      <c r="O51" s="166"/>
      <c r="P51" s="167"/>
      <c r="Q51" s="167"/>
      <c r="R51" s="167"/>
      <c r="S51" s="167"/>
      <c r="T51" s="167"/>
      <c r="U51" s="167"/>
      <c r="V51" s="167"/>
      <c r="W51" s="1"/>
      <c r="X51" s="53"/>
      <c r="Y51" s="53"/>
      <c r="Z51" s="15"/>
      <c r="AA51" s="181"/>
      <c r="AB51" s="181"/>
      <c r="AC51" s="181"/>
      <c r="AD51" s="181"/>
      <c r="AE51" s="181"/>
      <c r="AF51" s="181"/>
      <c r="AG51" s="181"/>
      <c r="AH51" s="181"/>
      <c r="AI51" s="181"/>
      <c r="AJ51" s="169"/>
      <c r="AK51" s="169"/>
      <c r="AL51" s="169"/>
      <c r="AM51" s="169"/>
      <c r="AN51" s="169"/>
      <c r="AO51" s="169"/>
      <c r="AP51" s="169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ht="15" customHeight="1" x14ac:dyDescent="0.15">
      <c r="A52" s="26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66"/>
      <c r="O52" s="166"/>
      <c r="P52" s="167"/>
      <c r="Q52" s="167"/>
      <c r="R52" s="167"/>
      <c r="S52" s="167"/>
      <c r="T52" s="167"/>
      <c r="U52" s="167"/>
      <c r="V52" s="167"/>
      <c r="W52" s="1"/>
      <c r="X52" s="53"/>
      <c r="Y52" s="54"/>
      <c r="Z52" s="15"/>
      <c r="AA52" s="56"/>
      <c r="AB52" s="182"/>
      <c r="AC52" s="182"/>
      <c r="AD52" s="182"/>
      <c r="AE52" s="182"/>
      <c r="AF52" s="182"/>
      <c r="AG52" s="182"/>
      <c r="AH52" s="182"/>
      <c r="AI52" s="182"/>
      <c r="AJ52" s="182"/>
      <c r="AK52" s="182"/>
      <c r="AL52" s="182"/>
      <c r="AM52" s="182"/>
      <c r="AN52" s="182"/>
      <c r="AO52" s="182"/>
      <c r="AP52" s="182"/>
      <c r="AQ52" s="1"/>
      <c r="AR52" s="1"/>
      <c r="AS52" s="1"/>
      <c r="AT52" s="1"/>
      <c r="AU52" s="1"/>
      <c r="AV52" s="1"/>
      <c r="AW52" s="183"/>
      <c r="AX52" s="183"/>
      <c r="AY52" s="183"/>
      <c r="AZ52" s="183"/>
      <c r="BA52" s="183"/>
      <c r="BB52" s="183"/>
      <c r="BC52" s="183"/>
      <c r="BD52" s="183"/>
      <c r="BE52" s="183"/>
      <c r="BF52" s="183"/>
      <c r="BG52" s="183"/>
      <c r="BH52" s="183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ht="15" customHeight="1" x14ac:dyDescent="0.15">
      <c r="A53" s="26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66"/>
      <c r="O53" s="166"/>
      <c r="P53" s="167"/>
      <c r="Q53" s="167"/>
      <c r="R53" s="167"/>
      <c r="S53" s="167"/>
      <c r="T53" s="167"/>
      <c r="U53" s="167"/>
      <c r="V53" s="167"/>
      <c r="W53" s="1"/>
      <c r="X53" s="53"/>
      <c r="Y53" s="54"/>
      <c r="Z53" s="15"/>
      <c r="AA53" s="56"/>
      <c r="AB53" s="182"/>
      <c r="AC53" s="182"/>
      <c r="AD53" s="182"/>
      <c r="AE53" s="182"/>
      <c r="AF53" s="182"/>
      <c r="AG53" s="182"/>
      <c r="AH53" s="182"/>
      <c r="AI53" s="182"/>
      <c r="AJ53" s="182"/>
      <c r="AK53" s="182"/>
      <c r="AL53" s="182"/>
      <c r="AM53" s="182"/>
      <c r="AN53" s="182"/>
      <c r="AO53" s="182"/>
      <c r="AP53" s="182"/>
      <c r="AQ53" s="1"/>
      <c r="AR53" s="1"/>
      <c r="AS53" s="1"/>
      <c r="AT53" s="1"/>
      <c r="AU53" s="1"/>
      <c r="AV53" s="1"/>
      <c r="AW53" s="183"/>
      <c r="AX53" s="183"/>
      <c r="AY53" s="183"/>
      <c r="AZ53" s="183"/>
      <c r="BA53" s="183"/>
      <c r="BB53" s="183"/>
      <c r="BC53" s="183"/>
      <c r="BD53" s="183"/>
      <c r="BE53" s="183"/>
      <c r="BF53" s="183"/>
      <c r="BG53" s="183"/>
      <c r="BH53" s="183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ht="15" customHeight="1" x14ac:dyDescent="0.15">
      <c r="A54" s="26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66"/>
      <c r="O54" s="166"/>
      <c r="P54" s="167"/>
      <c r="Q54" s="167"/>
      <c r="R54" s="167"/>
      <c r="S54" s="167"/>
      <c r="T54" s="167"/>
      <c r="U54" s="167"/>
      <c r="V54" s="167"/>
      <c r="W54" s="1"/>
      <c r="X54" s="53"/>
      <c r="Y54" s="54"/>
      <c r="Z54" s="15"/>
      <c r="AA54" s="56"/>
      <c r="AB54" s="182"/>
      <c r="AC54" s="182"/>
      <c r="AD54" s="182"/>
      <c r="AE54" s="182"/>
      <c r="AF54" s="182"/>
      <c r="AG54" s="182"/>
      <c r="AH54" s="182"/>
      <c r="AI54" s="182"/>
      <c r="AJ54" s="182"/>
      <c r="AK54" s="182"/>
      <c r="AL54" s="182"/>
      <c r="AM54" s="182"/>
      <c r="AN54" s="182"/>
      <c r="AO54" s="182"/>
      <c r="AP54" s="182"/>
      <c r="AQ54" s="1"/>
      <c r="AR54" s="1"/>
      <c r="AS54" s="1"/>
      <c r="AT54" s="1"/>
      <c r="AU54" s="1"/>
      <c r="AV54" s="1"/>
      <c r="AW54" s="183"/>
      <c r="AX54" s="183"/>
      <c r="AY54" s="183"/>
      <c r="AZ54" s="183"/>
      <c r="BA54" s="183"/>
      <c r="BB54" s="183"/>
      <c r="BC54" s="183"/>
      <c r="BD54" s="183"/>
      <c r="BE54" s="183"/>
      <c r="BF54" s="183"/>
      <c r="BG54" s="183"/>
      <c r="BH54" s="183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ht="15" customHeight="1" x14ac:dyDescent="0.15">
      <c r="A55" s="26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66"/>
      <c r="O55" s="166"/>
      <c r="P55" s="167"/>
      <c r="Q55" s="167"/>
      <c r="R55" s="167"/>
      <c r="S55" s="167"/>
      <c r="T55" s="167"/>
      <c r="U55" s="167"/>
      <c r="V55" s="167"/>
      <c r="W55" s="1"/>
      <c r="X55" s="53"/>
      <c r="Y55" s="54"/>
      <c r="Z55" s="15"/>
      <c r="AA55" s="56"/>
      <c r="AB55" s="182"/>
      <c r="AC55" s="182"/>
      <c r="AD55" s="182"/>
      <c r="AE55" s="182"/>
      <c r="AF55" s="182"/>
      <c r="AG55" s="182"/>
      <c r="AH55" s="182"/>
      <c r="AI55" s="182"/>
      <c r="AJ55" s="182"/>
      <c r="AK55" s="182"/>
      <c r="AL55" s="182"/>
      <c r="AM55" s="182"/>
      <c r="AN55" s="182"/>
      <c r="AO55" s="182"/>
      <c r="AP55" s="182"/>
      <c r="AQ55" s="1"/>
      <c r="AR55" s="1"/>
      <c r="AS55" s="1"/>
      <c r="AT55" s="1"/>
      <c r="AU55" s="1"/>
      <c r="AV55" s="1"/>
      <c r="AW55" s="183"/>
      <c r="AX55" s="183"/>
      <c r="AY55" s="183"/>
      <c r="AZ55" s="183"/>
      <c r="BA55" s="183"/>
      <c r="BB55" s="183"/>
      <c r="BC55" s="183"/>
      <c r="BD55" s="183"/>
      <c r="BE55" s="183"/>
      <c r="BF55" s="183"/>
      <c r="BG55" s="183"/>
      <c r="BH55" s="183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ht="15" customHeight="1" x14ac:dyDescent="0.15">
      <c r="A56" s="26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80"/>
      <c r="O56" s="180"/>
      <c r="P56" s="167">
        <f>SUM(CK115:CQ115)</f>
        <v>5300000</v>
      </c>
      <c r="Q56" s="167"/>
      <c r="R56" s="167"/>
      <c r="S56" s="167"/>
      <c r="T56" s="167"/>
      <c r="U56" s="167"/>
      <c r="V56" s="167"/>
      <c r="W56" s="1"/>
      <c r="X56" s="53"/>
      <c r="Y56" s="54"/>
      <c r="Z56" s="15"/>
      <c r="AA56" s="56"/>
      <c r="AB56" s="182"/>
      <c r="AC56" s="182"/>
      <c r="AD56" s="182"/>
      <c r="AE56" s="182"/>
      <c r="AF56" s="182"/>
      <c r="AG56" s="182"/>
      <c r="AH56" s="182"/>
      <c r="AI56" s="182"/>
      <c r="AJ56" s="182"/>
      <c r="AK56" s="182"/>
      <c r="AL56" s="182"/>
      <c r="AM56" s="182"/>
      <c r="AN56" s="182"/>
      <c r="AO56" s="182"/>
      <c r="AP56" s="182"/>
      <c r="AQ56" s="1"/>
      <c r="AR56" s="1"/>
      <c r="AS56" s="1"/>
      <c r="AT56" s="1"/>
      <c r="AU56" s="1"/>
      <c r="AV56" s="1"/>
      <c r="AW56" s="183"/>
      <c r="AX56" s="183"/>
      <c r="AY56" s="183"/>
      <c r="AZ56" s="183"/>
      <c r="BA56" s="183"/>
      <c r="BB56" s="183"/>
      <c r="BC56" s="183"/>
      <c r="BD56" s="183"/>
      <c r="BE56" s="183"/>
      <c r="BF56" s="183"/>
      <c r="BG56" s="183"/>
      <c r="BH56" s="183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ht="15" customHeight="1" x14ac:dyDescent="0.15">
      <c r="A57" s="26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3"/>
      <c r="Y57" s="54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"/>
      <c r="AR57" s="1"/>
      <c r="AS57" s="1"/>
      <c r="AT57" s="1"/>
      <c r="AU57" s="1"/>
      <c r="AV57" s="1"/>
      <c r="AW57" s="183"/>
      <c r="AX57" s="183"/>
      <c r="AY57" s="183"/>
      <c r="AZ57" s="183"/>
      <c r="BA57" s="183"/>
      <c r="BB57" s="183"/>
      <c r="BC57" s="183"/>
      <c r="BD57" s="183"/>
      <c r="BE57" s="183"/>
      <c r="BF57" s="183"/>
      <c r="BG57" s="183"/>
      <c r="BH57" s="183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ht="15" customHeight="1" x14ac:dyDescent="0.15">
      <c r="A58" s="26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ht="15" customHeight="1" x14ac:dyDescent="0.15">
      <c r="A59" s="26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ht="15" customHeight="1" x14ac:dyDescent="0.15">
      <c r="A60" s="26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91"/>
      <c r="O60" s="191"/>
      <c r="P60" s="191"/>
      <c r="Q60" s="191"/>
      <c r="R60" s="192"/>
      <c r="S60" s="193"/>
      <c r="T60" s="193"/>
      <c r="U60" s="193"/>
      <c r="V60" s="193"/>
      <c r="W60" s="193"/>
      <c r="X60" s="193"/>
      <c r="Y60" s="193"/>
      <c r="Z60" s="193"/>
      <c r="AA60" s="193"/>
      <c r="AB60" s="193"/>
      <c r="AC60" s="193"/>
      <c r="AD60" s="193"/>
      <c r="AE60" s="193"/>
      <c r="AF60" s="193"/>
      <c r="AG60" s="193"/>
      <c r="AH60" s="193"/>
      <c r="AI60" s="193"/>
      <c r="AJ60" s="193"/>
      <c r="AK60" s="193"/>
      <c r="AL60" s="193"/>
      <c r="AM60" s="193"/>
      <c r="AN60" s="193"/>
      <c r="AO60" s="193"/>
      <c r="AP60" s="193"/>
      <c r="AQ60" s="1"/>
      <c r="AR60" s="180"/>
      <c r="AS60" s="180"/>
      <c r="AT60" s="80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ht="15" customHeight="1" x14ac:dyDescent="0.15">
      <c r="A61" s="26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80"/>
      <c r="AV61" s="80"/>
      <c r="AW61" s="80"/>
      <c r="AX61" s="80"/>
      <c r="AY61" s="80"/>
      <c r="AZ61" s="80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ht="15" customHeight="1" x14ac:dyDescent="0.15">
      <c r="A62" s="26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ht="15" customHeight="1" x14ac:dyDescent="0.15">
      <c r="A63" s="26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ht="15" customHeight="1" x14ac:dyDescent="0.15">
      <c r="A64" s="26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ht="15" customHeight="1" x14ac:dyDescent="0.15">
      <c r="A65" s="26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ht="15" customHeight="1" x14ac:dyDescent="0.15">
      <c r="A66" s="26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ht="15" customHeight="1" x14ac:dyDescent="0.15">
      <c r="A67" s="26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ht="15" customHeight="1" x14ac:dyDescent="0.15">
      <c r="A68" s="26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ht="15" customHeight="1" x14ac:dyDescent="0.15">
      <c r="A69" s="26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ht="15" customHeight="1" x14ac:dyDescent="0.15">
      <c r="A70" s="26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100" spans="79:165" ht="15" customHeight="1" x14ac:dyDescent="0.15">
      <c r="FB100" s="62" t="s">
        <v>63</v>
      </c>
      <c r="FC100" s="62" t="s">
        <v>64</v>
      </c>
      <c r="FD100" s="62" t="s">
        <v>65</v>
      </c>
      <c r="FE100" s="62" t="s">
        <v>66</v>
      </c>
      <c r="FF100" s="62" t="s">
        <v>18</v>
      </c>
      <c r="FG100" s="62" t="s">
        <v>18</v>
      </c>
      <c r="FH100" s="62" t="s">
        <v>67</v>
      </c>
      <c r="FI100" s="62" t="s">
        <v>68</v>
      </c>
    </row>
    <row r="101" spans="79:165" ht="15" customHeight="1" x14ac:dyDescent="0.15">
      <c r="CA101" s="41"/>
      <c r="CB101" s="42"/>
      <c r="CC101" s="42"/>
      <c r="CD101" s="42"/>
      <c r="CE101" s="42"/>
      <c r="CF101" s="42"/>
      <c r="CG101" s="42"/>
      <c r="CH101" s="42"/>
      <c r="CI101" s="42"/>
      <c r="CJ101" s="42"/>
      <c r="CK101" s="42"/>
      <c r="CL101" s="42"/>
      <c r="CM101" s="42"/>
      <c r="CN101" s="42"/>
      <c r="CO101" s="42"/>
      <c r="CP101" s="42"/>
      <c r="CQ101" s="42"/>
      <c r="CR101" s="42"/>
      <c r="CS101" s="42"/>
      <c r="CT101" s="42"/>
      <c r="CU101" s="42"/>
      <c r="CV101" s="42"/>
      <c r="CW101" s="42"/>
      <c r="CX101" s="42"/>
      <c r="CY101" s="42"/>
      <c r="CZ101" s="42"/>
      <c r="DA101" s="42"/>
      <c r="DB101" s="42"/>
      <c r="DC101" s="42"/>
      <c r="DD101" s="42"/>
      <c r="DE101" s="42"/>
      <c r="DF101" s="42"/>
      <c r="DG101" s="42"/>
      <c r="DH101" s="42"/>
      <c r="DI101" s="42"/>
      <c r="DJ101" s="42"/>
      <c r="DK101" s="42"/>
      <c r="DL101" s="42"/>
      <c r="DM101" s="42"/>
      <c r="DN101" s="42"/>
      <c r="DO101" s="42"/>
      <c r="DP101" s="42"/>
      <c r="DQ101" s="42"/>
      <c r="DR101" s="42"/>
      <c r="DS101" s="42"/>
      <c r="DT101" s="42"/>
      <c r="DU101" s="42"/>
      <c r="DV101" s="42"/>
      <c r="DW101" s="42"/>
      <c r="DX101" s="42"/>
      <c r="DY101" s="42"/>
      <c r="DZ101" s="42"/>
      <c r="EA101" s="42"/>
      <c r="EB101" s="42"/>
      <c r="EC101" s="42"/>
      <c r="ED101" s="42"/>
      <c r="EE101" s="42"/>
      <c r="EF101" s="42"/>
      <c r="EG101" s="42"/>
      <c r="EH101" s="42"/>
      <c r="EI101" s="42"/>
      <c r="EJ101" s="42"/>
      <c r="EK101" s="42"/>
      <c r="EL101" s="42"/>
      <c r="EM101" s="42"/>
      <c r="EN101" s="42"/>
      <c r="EO101" s="42"/>
      <c r="EP101" s="43"/>
      <c r="FB101" s="63">
        <v>0</v>
      </c>
      <c r="FC101" s="64">
        <v>1</v>
      </c>
      <c r="FD101" s="64" t="str">
        <f>B26</f>
        <v>1台購入時</v>
      </c>
      <c r="FE101" s="64">
        <f>T26</f>
        <v>0</v>
      </c>
      <c r="FF101" s="64">
        <f>X26</f>
        <v>0</v>
      </c>
      <c r="FG101" s="64">
        <f>AA26</f>
        <v>0</v>
      </c>
      <c r="FH101" s="64">
        <f>AF26</f>
        <v>0</v>
      </c>
      <c r="FI101" s="64">
        <f>AM26</f>
        <v>0</v>
      </c>
    </row>
    <row r="102" spans="79:165" ht="15" customHeight="1" x14ac:dyDescent="0.15">
      <c r="CA102" s="44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52" t="s">
        <v>61</v>
      </c>
      <c r="EN102" s="1"/>
      <c r="EO102" s="1"/>
      <c r="EP102" s="45"/>
      <c r="FB102" s="63">
        <v>0</v>
      </c>
      <c r="FC102" s="64">
        <v>2</v>
      </c>
      <c r="FD102" s="64" t="str">
        <f t="shared" ref="FD102:FD112" si="5">B27</f>
        <v>RSD-SUNMAX-FL-CLC 洗浄機（サビ取り・焼け取り）　1500w　剥離専用</v>
      </c>
      <c r="FE102" s="64">
        <f t="shared" ref="FE102:FE112" si="6">T27</f>
        <v>0</v>
      </c>
      <c r="FF102" s="64" t="str">
        <f t="shared" ref="FF102:FF112" si="7">X27</f>
        <v>一式</v>
      </c>
      <c r="FG102" s="64">
        <f t="shared" ref="FG102:FG112" si="8">AA27</f>
        <v>1400000</v>
      </c>
      <c r="FH102" s="64">
        <f t="shared" ref="FH102:FH112" si="9">AF27</f>
        <v>1400000</v>
      </c>
      <c r="FI102" s="64" t="str">
        <f t="shared" ref="FI102:FI112" si="10">AM27</f>
        <v>定価180万円</v>
      </c>
    </row>
    <row r="103" spans="79:165" ht="15" customHeight="1" x14ac:dyDescent="0.15">
      <c r="CA103" s="44"/>
      <c r="CB103" s="1"/>
      <c r="CC103" s="1"/>
      <c r="CD103" s="1"/>
      <c r="CE103" s="50" t="s">
        <v>53</v>
      </c>
      <c r="CF103" s="1"/>
      <c r="CG103" s="1"/>
      <c r="CH103" s="1"/>
      <c r="CI103" s="194" t="s">
        <v>17</v>
      </c>
      <c r="CJ103" s="195"/>
      <c r="CK103" s="195"/>
      <c r="CL103" s="195"/>
      <c r="CM103" s="195"/>
      <c r="CN103" s="195"/>
      <c r="CO103" s="195"/>
      <c r="CP103" s="195"/>
      <c r="CQ103" s="196"/>
      <c r="CR103" s="1"/>
      <c r="CS103" s="27" t="s">
        <v>18</v>
      </c>
      <c r="CT103" s="14"/>
      <c r="CU103" s="15"/>
      <c r="CV103" s="15"/>
      <c r="CW103" s="197" t="s">
        <v>14</v>
      </c>
      <c r="CX103" s="197"/>
      <c r="CY103" s="197"/>
      <c r="CZ103" s="15"/>
      <c r="DA103" s="16"/>
      <c r="DB103" s="16"/>
      <c r="DC103" s="16"/>
      <c r="DD103" s="36" t="s">
        <v>52</v>
      </c>
      <c r="DE103" s="37"/>
      <c r="DF103" s="37"/>
      <c r="DG103" s="37"/>
      <c r="DH103" s="37"/>
      <c r="DI103" s="37"/>
      <c r="DJ103" s="38"/>
      <c r="DK103" s="15"/>
      <c r="DL103" s="1"/>
      <c r="DM103" s="198" t="s">
        <v>59</v>
      </c>
      <c r="DN103" s="198"/>
      <c r="DO103" s="198"/>
      <c r="DP103" s="198"/>
      <c r="DQ103" s="198"/>
      <c r="DR103" s="198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52" t="s">
        <v>62</v>
      </c>
      <c r="EN103" s="1"/>
      <c r="EO103" s="1"/>
      <c r="EP103" s="45"/>
      <c r="FB103" s="63">
        <v>0</v>
      </c>
      <c r="FC103" s="64">
        <v>3</v>
      </c>
      <c r="FD103" s="64" t="str">
        <f t="shared" si="5"/>
        <v>3台購入時</v>
      </c>
      <c r="FE103" s="64">
        <f t="shared" si="6"/>
        <v>0</v>
      </c>
      <c r="FF103" s="64">
        <f t="shared" si="7"/>
        <v>0</v>
      </c>
      <c r="FG103" s="64">
        <f t="shared" si="8"/>
        <v>0</v>
      </c>
      <c r="FH103" s="64">
        <f t="shared" si="9"/>
        <v>0</v>
      </c>
      <c r="FI103" s="64">
        <f t="shared" si="10"/>
        <v>0</v>
      </c>
    </row>
    <row r="104" spans="79:165" ht="15" customHeight="1" x14ac:dyDescent="0.15">
      <c r="CA104" s="44"/>
      <c r="CB104" s="1"/>
      <c r="CC104" s="1"/>
      <c r="CD104" s="1"/>
      <c r="CE104" s="49">
        <v>3</v>
      </c>
      <c r="CF104" s="1"/>
      <c r="CG104" s="1"/>
      <c r="CH104" s="1"/>
      <c r="CI104" s="184">
        <v>0</v>
      </c>
      <c r="CJ104" s="184"/>
      <c r="CK104" s="185">
        <f>AA38</f>
        <v>5300000</v>
      </c>
      <c r="CL104" s="185"/>
      <c r="CM104" s="185"/>
      <c r="CN104" s="185"/>
      <c r="CO104" s="185"/>
      <c r="CP104" s="185"/>
      <c r="CQ104" s="185"/>
      <c r="CR104" s="1"/>
      <c r="CS104" s="17" t="s">
        <v>19</v>
      </c>
      <c r="CT104" s="18"/>
      <c r="CU104" s="15"/>
      <c r="CV104" s="15"/>
      <c r="CW104" s="186">
        <v>5</v>
      </c>
      <c r="CX104" s="187"/>
      <c r="CY104" s="19" t="s">
        <v>20</v>
      </c>
      <c r="CZ104" s="15"/>
      <c r="DA104" s="15"/>
      <c r="DB104" s="15"/>
      <c r="DC104" s="15"/>
      <c r="DD104" s="39" t="s">
        <v>47</v>
      </c>
      <c r="DE104" s="40"/>
      <c r="DF104" s="40"/>
      <c r="DG104" s="40"/>
      <c r="DH104" s="40"/>
      <c r="DI104" s="40"/>
      <c r="DJ104" s="22"/>
      <c r="DK104" s="15"/>
      <c r="DL104" s="1"/>
      <c r="DM104" s="188" t="s">
        <v>60</v>
      </c>
      <c r="DN104" s="189"/>
      <c r="DO104" s="189"/>
      <c r="DP104" s="189"/>
      <c r="DQ104" s="189"/>
      <c r="DR104" s="190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45"/>
      <c r="FB104" s="63">
        <v>0</v>
      </c>
      <c r="FC104" s="64">
        <v>4</v>
      </c>
      <c r="FD104" s="64" t="str">
        <f>B29</f>
        <v>RSD-SUNMAX-FL-CLC 洗浄機（サビ取り・焼け取り）　1500w　剥離専用</v>
      </c>
      <c r="FE104" s="64">
        <f t="shared" si="6"/>
        <v>0</v>
      </c>
      <c r="FF104" s="64" t="str">
        <f t="shared" si="7"/>
        <v>一式</v>
      </c>
      <c r="FG104" s="64">
        <f t="shared" si="8"/>
        <v>1350000</v>
      </c>
      <c r="FH104" s="64">
        <f t="shared" si="9"/>
        <v>1350000</v>
      </c>
      <c r="FI104" s="64" t="str">
        <f t="shared" si="10"/>
        <v>定価180万円</v>
      </c>
    </row>
    <row r="105" spans="79:165" ht="15" customHeight="1" x14ac:dyDescent="0.15">
      <c r="CA105" s="44"/>
      <c r="CB105" s="1"/>
      <c r="CC105" s="1"/>
      <c r="CD105" s="1"/>
      <c r="CE105" s="49">
        <f>MAX(FB401:FB642)</f>
        <v>0</v>
      </c>
      <c r="CF105" s="1"/>
      <c r="CG105" s="1"/>
      <c r="CH105" s="1"/>
      <c r="CI105" s="184">
        <v>1</v>
      </c>
      <c r="CJ105" s="184"/>
      <c r="CK105" s="185">
        <f>IF(ISERROR(購入おすすめ品!AB30),0,購入おすすめ品!AB30)</f>
        <v>0</v>
      </c>
      <c r="CL105" s="185"/>
      <c r="CM105" s="185"/>
      <c r="CN105" s="185"/>
      <c r="CO105" s="185"/>
      <c r="CP105" s="185"/>
      <c r="CQ105" s="185"/>
      <c r="CR105" s="1"/>
      <c r="CS105" s="17" t="s">
        <v>21</v>
      </c>
      <c r="CT105" s="18"/>
      <c r="CU105" s="15"/>
      <c r="CV105" s="15"/>
      <c r="CW105" s="15"/>
      <c r="CX105" s="15"/>
      <c r="CY105" s="15"/>
      <c r="CZ105" s="15"/>
      <c r="DA105" s="15"/>
      <c r="DB105" s="15"/>
      <c r="DC105" s="15"/>
      <c r="DD105" s="39" t="s">
        <v>48</v>
      </c>
      <c r="DE105" s="40"/>
      <c r="DF105" s="40"/>
      <c r="DG105" s="40"/>
      <c r="DH105" s="40"/>
      <c r="DI105" s="40"/>
      <c r="DJ105" s="22"/>
      <c r="DK105" s="15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45"/>
      <c r="FB105" s="63">
        <v>0</v>
      </c>
      <c r="FC105" s="64">
        <v>5</v>
      </c>
      <c r="FD105" s="64" t="e">
        <f>#REF!</f>
        <v>#REF!</v>
      </c>
      <c r="FE105" s="64">
        <f t="shared" si="6"/>
        <v>0</v>
      </c>
      <c r="FF105" s="64">
        <f t="shared" si="7"/>
        <v>0</v>
      </c>
      <c r="FG105" s="64">
        <f t="shared" si="8"/>
        <v>0</v>
      </c>
      <c r="FH105" s="64">
        <f t="shared" si="9"/>
        <v>0</v>
      </c>
      <c r="FI105" s="64">
        <f t="shared" si="10"/>
        <v>0</v>
      </c>
    </row>
    <row r="106" spans="79:165" ht="15" customHeight="1" x14ac:dyDescent="0.15">
      <c r="CA106" s="44"/>
      <c r="CB106" s="1"/>
      <c r="CC106" s="1"/>
      <c r="CD106" s="1"/>
      <c r="CE106" s="49">
        <v>1</v>
      </c>
      <c r="CF106" s="1"/>
      <c r="CG106" s="1"/>
      <c r="CH106" s="1"/>
      <c r="CI106" s="184">
        <v>2</v>
      </c>
      <c r="CJ106" s="184"/>
      <c r="CK106" s="185">
        <f>IF(ISERROR(#REF!),0,#REF!)</f>
        <v>0</v>
      </c>
      <c r="CL106" s="185"/>
      <c r="CM106" s="185"/>
      <c r="CN106" s="185"/>
      <c r="CO106" s="185"/>
      <c r="CP106" s="185"/>
      <c r="CQ106" s="185"/>
      <c r="CR106" s="1"/>
      <c r="CS106" s="20" t="s">
        <v>22</v>
      </c>
      <c r="CT106" s="21"/>
      <c r="CU106" s="15"/>
      <c r="CV106" s="197" t="s">
        <v>23</v>
      </c>
      <c r="CW106" s="197"/>
      <c r="CX106" s="197"/>
      <c r="CY106" s="197"/>
      <c r="CZ106" s="197"/>
      <c r="DA106" s="15"/>
      <c r="DB106" s="15"/>
      <c r="DC106" s="15"/>
      <c r="DD106" s="39" t="s">
        <v>49</v>
      </c>
      <c r="DE106" s="40"/>
      <c r="DF106" s="40"/>
      <c r="DG106" s="40"/>
      <c r="DH106" s="40"/>
      <c r="DI106" s="40"/>
      <c r="DJ106" s="22"/>
      <c r="DK106" s="15"/>
      <c r="DL106" s="1"/>
      <c r="DM106" s="198" t="s">
        <v>70</v>
      </c>
      <c r="DN106" s="198"/>
      <c r="DO106" s="198"/>
      <c r="DP106" s="198"/>
      <c r="DQ106" s="198"/>
      <c r="DR106" s="198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45"/>
      <c r="FB106" s="63">
        <v>0</v>
      </c>
      <c r="FC106" s="64">
        <v>6</v>
      </c>
      <c r="FD106" s="64" t="e">
        <f>#REF!</f>
        <v>#REF!</v>
      </c>
      <c r="FE106" s="64">
        <f t="shared" si="6"/>
        <v>0</v>
      </c>
      <c r="FF106" s="64" t="str">
        <f t="shared" si="7"/>
        <v>一式</v>
      </c>
      <c r="FG106" s="64">
        <f t="shared" si="8"/>
        <v>1300000</v>
      </c>
      <c r="FH106" s="64">
        <f t="shared" si="9"/>
        <v>1300000</v>
      </c>
      <c r="FI106" s="64" t="str">
        <f t="shared" si="10"/>
        <v>定価180万円</v>
      </c>
    </row>
    <row r="107" spans="79:165" ht="15" customHeight="1" x14ac:dyDescent="0.15">
      <c r="CA107" s="44"/>
      <c r="CB107" s="1"/>
      <c r="CC107" s="1"/>
      <c r="CD107" s="1"/>
      <c r="CE107" s="49">
        <v>0</v>
      </c>
      <c r="CF107" s="1"/>
      <c r="CG107" s="1"/>
      <c r="CH107" s="1"/>
      <c r="CI107" s="184">
        <v>3</v>
      </c>
      <c r="CJ107" s="184"/>
      <c r="CK107" s="185">
        <f>IF(ISERROR(#REF!),0,#REF!)</f>
        <v>0</v>
      </c>
      <c r="CL107" s="185"/>
      <c r="CM107" s="185"/>
      <c r="CN107" s="185"/>
      <c r="CO107" s="185"/>
      <c r="CP107" s="185"/>
      <c r="CQ107" s="185"/>
      <c r="CR107" s="1"/>
      <c r="CS107" s="17" t="s">
        <v>24</v>
      </c>
      <c r="CT107" s="18"/>
      <c r="CU107" s="15"/>
      <c r="CV107" s="28" t="s">
        <v>25</v>
      </c>
      <c r="CW107" s="186">
        <v>100</v>
      </c>
      <c r="CX107" s="186"/>
      <c r="CY107" s="187"/>
      <c r="CZ107" s="22" t="s">
        <v>20</v>
      </c>
      <c r="DA107" s="15"/>
      <c r="DB107" s="15"/>
      <c r="DC107" s="15"/>
      <c r="DD107" s="39" t="s">
        <v>50</v>
      </c>
      <c r="DE107" s="40"/>
      <c r="DF107" s="40"/>
      <c r="DG107" s="40"/>
      <c r="DH107" s="40"/>
      <c r="DI107" s="40"/>
      <c r="DJ107" s="22"/>
      <c r="DK107" s="15"/>
      <c r="DL107" s="1"/>
      <c r="DM107" s="199" t="s">
        <v>79</v>
      </c>
      <c r="DN107" s="200"/>
      <c r="DO107" s="200"/>
      <c r="DP107" s="200"/>
      <c r="DQ107" s="200"/>
      <c r="DR107" s="20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45"/>
      <c r="FB107" s="63">
        <v>0</v>
      </c>
      <c r="FC107" s="64">
        <v>7</v>
      </c>
      <c r="FD107" s="64" t="e">
        <f>#REF!</f>
        <v>#REF!</v>
      </c>
      <c r="FE107" s="64">
        <f t="shared" si="6"/>
        <v>0</v>
      </c>
      <c r="FF107" s="64">
        <f t="shared" si="7"/>
        <v>0</v>
      </c>
      <c r="FG107" s="64">
        <f t="shared" si="8"/>
        <v>0</v>
      </c>
      <c r="FH107" s="64">
        <f t="shared" si="9"/>
        <v>0</v>
      </c>
      <c r="FI107" s="64">
        <f t="shared" si="10"/>
        <v>0</v>
      </c>
    </row>
    <row r="108" spans="79:165" ht="15" customHeight="1" x14ac:dyDescent="0.15">
      <c r="CA108" s="44"/>
      <c r="CB108" s="1"/>
      <c r="CC108" s="1"/>
      <c r="CD108" s="1"/>
      <c r="CE108" s="50" t="s">
        <v>54</v>
      </c>
      <c r="CF108" s="1"/>
      <c r="CG108" s="1"/>
      <c r="CH108" s="1"/>
      <c r="CI108" s="184">
        <v>4</v>
      </c>
      <c r="CJ108" s="184"/>
      <c r="CK108" s="185"/>
      <c r="CL108" s="185"/>
      <c r="CM108" s="185"/>
      <c r="CN108" s="185"/>
      <c r="CO108" s="185"/>
      <c r="CP108" s="185"/>
      <c r="CQ108" s="185"/>
      <c r="CR108" s="1"/>
      <c r="CS108" s="17" t="s">
        <v>26</v>
      </c>
      <c r="CT108" s="18"/>
      <c r="CU108" s="15"/>
      <c r="CV108" s="28" t="s">
        <v>27</v>
      </c>
      <c r="CW108" s="186">
        <v>80</v>
      </c>
      <c r="CX108" s="186"/>
      <c r="CY108" s="187"/>
      <c r="CZ108" s="22" t="s">
        <v>20</v>
      </c>
      <c r="DA108" s="15"/>
      <c r="DB108" s="15"/>
      <c r="DC108" s="15"/>
      <c r="DD108" s="39" t="s">
        <v>51</v>
      </c>
      <c r="DE108" s="40"/>
      <c r="DF108" s="40"/>
      <c r="DG108" s="40"/>
      <c r="DH108" s="40"/>
      <c r="DI108" s="40"/>
      <c r="DJ108" s="22"/>
      <c r="DK108" s="15"/>
      <c r="DL108" s="1"/>
      <c r="DM108" s="188" t="s">
        <v>71</v>
      </c>
      <c r="DN108" s="189"/>
      <c r="DO108" s="189"/>
      <c r="DP108" s="189"/>
      <c r="DQ108" s="189"/>
      <c r="DR108" s="190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45"/>
      <c r="FB108" s="63">
        <v>0</v>
      </c>
      <c r="FC108" s="64">
        <v>8</v>
      </c>
      <c r="FD108" s="64" t="str">
        <f>B31</f>
        <v>RSD-SUNMAX-FL-CLC 洗浄機（サビ取り・焼け取り）　1500w　剥離専用</v>
      </c>
      <c r="FE108" s="64">
        <f t="shared" si="6"/>
        <v>0</v>
      </c>
      <c r="FF108" s="64" t="str">
        <f t="shared" si="7"/>
        <v>一式</v>
      </c>
      <c r="FG108" s="64">
        <f t="shared" si="8"/>
        <v>1250000</v>
      </c>
      <c r="FH108" s="64">
        <f t="shared" si="9"/>
        <v>1250000</v>
      </c>
      <c r="FI108" s="64" t="str">
        <f t="shared" si="10"/>
        <v>定価180万円</v>
      </c>
    </row>
    <row r="109" spans="79:165" ht="15" customHeight="1" x14ac:dyDescent="0.15">
      <c r="CA109" s="44"/>
      <c r="CB109" s="1"/>
      <c r="CC109" s="1"/>
      <c r="CD109" s="1"/>
      <c r="CE109" s="49" t="s">
        <v>3</v>
      </c>
      <c r="CF109" s="1"/>
      <c r="CG109" s="1"/>
      <c r="CH109" s="1"/>
      <c r="CI109" s="184">
        <v>5</v>
      </c>
      <c r="CJ109" s="184"/>
      <c r="CK109" s="185"/>
      <c r="CL109" s="185"/>
      <c r="CM109" s="185"/>
      <c r="CN109" s="185"/>
      <c r="CO109" s="185"/>
      <c r="CP109" s="185"/>
      <c r="CQ109" s="185"/>
      <c r="CR109" s="1"/>
      <c r="CS109" s="20" t="s">
        <v>28</v>
      </c>
      <c r="CT109" s="20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"/>
      <c r="DM109" s="188" t="s">
        <v>72</v>
      </c>
      <c r="DN109" s="189"/>
      <c r="DO109" s="189"/>
      <c r="DP109" s="189"/>
      <c r="DQ109" s="189"/>
      <c r="DR109" s="190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45"/>
      <c r="FB109" s="63">
        <v>0</v>
      </c>
      <c r="FC109" s="64">
        <v>9</v>
      </c>
      <c r="FD109" s="64">
        <f t="shared" si="5"/>
        <v>0</v>
      </c>
      <c r="FE109" s="64">
        <f t="shared" si="6"/>
        <v>0</v>
      </c>
      <c r="FF109" s="64">
        <f t="shared" si="7"/>
        <v>0</v>
      </c>
      <c r="FG109" s="64">
        <f t="shared" si="8"/>
        <v>0</v>
      </c>
      <c r="FH109" s="64">
        <f t="shared" si="9"/>
        <v>0</v>
      </c>
      <c r="FI109" s="64">
        <f t="shared" si="10"/>
        <v>0</v>
      </c>
    </row>
    <row r="110" spans="79:165" ht="15" customHeight="1" x14ac:dyDescent="0.15">
      <c r="CA110" s="44"/>
      <c r="CB110" s="1"/>
      <c r="CC110" s="1"/>
      <c r="CD110" s="1"/>
      <c r="CE110" s="49" t="s">
        <v>55</v>
      </c>
      <c r="CF110" s="1"/>
      <c r="CG110" s="1"/>
      <c r="CH110" s="1"/>
      <c r="CI110" s="184">
        <v>6</v>
      </c>
      <c r="CJ110" s="184"/>
      <c r="CK110" s="185"/>
      <c r="CL110" s="185"/>
      <c r="CM110" s="185"/>
      <c r="CN110" s="185"/>
      <c r="CO110" s="185"/>
      <c r="CP110" s="185"/>
      <c r="CQ110" s="185"/>
      <c r="CR110" s="1"/>
      <c r="CS110" s="20" t="s">
        <v>29</v>
      </c>
      <c r="CT110" s="20"/>
      <c r="CU110" s="15"/>
      <c r="CV110" s="202" t="s">
        <v>30</v>
      </c>
      <c r="CW110" s="202"/>
      <c r="CX110" s="202"/>
      <c r="CY110" s="202"/>
      <c r="CZ110" s="202"/>
      <c r="DA110" s="202"/>
      <c r="DB110" s="202"/>
      <c r="DC110" s="202"/>
      <c r="DD110" s="202"/>
      <c r="DE110" s="197" t="s">
        <v>31</v>
      </c>
      <c r="DF110" s="197"/>
      <c r="DG110" s="197"/>
      <c r="DH110" s="197"/>
      <c r="DI110" s="197"/>
      <c r="DJ110" s="197"/>
      <c r="DK110" s="197"/>
      <c r="DL110" s="1"/>
      <c r="DM110" s="1"/>
      <c r="DN110" s="1"/>
      <c r="DO110" s="1"/>
      <c r="DP110" s="1"/>
      <c r="DQ110" s="1"/>
      <c r="DR110" s="183"/>
      <c r="DS110" s="183"/>
      <c r="DT110" s="183"/>
      <c r="DU110" s="183"/>
      <c r="DV110" s="183"/>
      <c r="DW110" s="183"/>
      <c r="DX110" s="183"/>
      <c r="DY110" s="183"/>
      <c r="DZ110" s="183"/>
      <c r="EA110" s="183"/>
      <c r="EB110" s="183"/>
      <c r="EC110" s="183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45"/>
      <c r="FB110" s="63">
        <v>0</v>
      </c>
      <c r="FC110" s="64">
        <v>10</v>
      </c>
      <c r="FD110" s="64">
        <f t="shared" si="5"/>
        <v>0</v>
      </c>
      <c r="FE110" s="64">
        <f t="shared" si="6"/>
        <v>0</v>
      </c>
      <c r="FF110" s="64">
        <f t="shared" si="7"/>
        <v>0</v>
      </c>
      <c r="FG110" s="64">
        <f t="shared" si="8"/>
        <v>0</v>
      </c>
      <c r="FH110" s="64">
        <f t="shared" si="9"/>
        <v>0</v>
      </c>
      <c r="FI110" s="64">
        <f t="shared" si="10"/>
        <v>0</v>
      </c>
    </row>
    <row r="111" spans="79:165" ht="15" customHeight="1" x14ac:dyDescent="0.15">
      <c r="CA111" s="44"/>
      <c r="CB111" s="1"/>
      <c r="CC111" s="1"/>
      <c r="CD111" s="1"/>
      <c r="CE111" s="49" t="s">
        <v>56</v>
      </c>
      <c r="CF111" s="1"/>
      <c r="CG111" s="1"/>
      <c r="CH111" s="1"/>
      <c r="CI111" s="184">
        <v>7</v>
      </c>
      <c r="CJ111" s="184"/>
      <c r="CK111" s="185"/>
      <c r="CL111" s="185"/>
      <c r="CM111" s="185"/>
      <c r="CN111" s="185"/>
      <c r="CO111" s="185"/>
      <c r="CP111" s="185"/>
      <c r="CQ111" s="185"/>
      <c r="CR111" s="1"/>
      <c r="CS111" s="17" t="s">
        <v>32</v>
      </c>
      <c r="CT111" s="18"/>
      <c r="CU111" s="15"/>
      <c r="CV111" s="28" t="s">
        <v>25</v>
      </c>
      <c r="CW111" s="203" t="s">
        <v>75</v>
      </c>
      <c r="CX111" s="203"/>
      <c r="CY111" s="203"/>
      <c r="CZ111" s="203"/>
      <c r="DA111" s="203"/>
      <c r="DB111" s="203"/>
      <c r="DC111" s="203"/>
      <c r="DD111" s="203"/>
      <c r="DE111" s="203" t="s">
        <v>33</v>
      </c>
      <c r="DF111" s="203"/>
      <c r="DG111" s="203"/>
      <c r="DH111" s="203"/>
      <c r="DI111" s="203"/>
      <c r="DJ111" s="203"/>
      <c r="DK111" s="203"/>
      <c r="DL111" s="1"/>
      <c r="DM111" s="1"/>
      <c r="DN111" s="1"/>
      <c r="DO111" s="1"/>
      <c r="DP111" s="1"/>
      <c r="DQ111" s="1"/>
      <c r="DR111" s="183"/>
      <c r="DS111" s="183"/>
      <c r="DT111" s="183"/>
      <c r="DU111" s="183"/>
      <c r="DV111" s="183"/>
      <c r="DW111" s="183"/>
      <c r="DX111" s="183"/>
      <c r="DY111" s="183"/>
      <c r="DZ111" s="183"/>
      <c r="EA111" s="183"/>
      <c r="EB111" s="183"/>
      <c r="EC111" s="183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45"/>
      <c r="FB111" s="63">
        <v>0</v>
      </c>
      <c r="FC111" s="64">
        <v>11</v>
      </c>
      <c r="FD111" s="64" t="str">
        <f t="shared" si="5"/>
        <v>出張セットアップ　操作講習</v>
      </c>
      <c r="FE111" s="64">
        <f t="shared" si="6"/>
        <v>1</v>
      </c>
      <c r="FF111" s="64" t="str">
        <f t="shared" si="7"/>
        <v>一式</v>
      </c>
      <c r="FG111" s="64">
        <f t="shared" si="8"/>
        <v>0</v>
      </c>
      <c r="FH111" s="64">
        <f t="shared" si="9"/>
        <v>0</v>
      </c>
      <c r="FI111" s="64">
        <f t="shared" si="10"/>
        <v>0</v>
      </c>
    </row>
    <row r="112" spans="79:165" ht="15" customHeight="1" x14ac:dyDescent="0.15">
      <c r="CA112" s="44"/>
      <c r="CB112" s="1"/>
      <c r="CC112" s="1"/>
      <c r="CD112" s="1"/>
      <c r="CE112" s="1"/>
      <c r="CF112" s="1"/>
      <c r="CG112" s="1"/>
      <c r="CH112" s="1"/>
      <c r="CI112" s="184">
        <v>8</v>
      </c>
      <c r="CJ112" s="184"/>
      <c r="CK112" s="185"/>
      <c r="CL112" s="185"/>
      <c r="CM112" s="185"/>
      <c r="CN112" s="185"/>
      <c r="CO112" s="185"/>
      <c r="CP112" s="185"/>
      <c r="CQ112" s="185"/>
      <c r="CR112" s="1"/>
      <c r="CS112" s="17" t="s">
        <v>34</v>
      </c>
      <c r="CT112" s="18"/>
      <c r="CU112" s="15"/>
      <c r="CV112" s="28" t="s">
        <v>27</v>
      </c>
      <c r="CW112" s="203" t="s">
        <v>83</v>
      </c>
      <c r="CX112" s="203"/>
      <c r="CY112" s="203"/>
      <c r="CZ112" s="203"/>
      <c r="DA112" s="203"/>
      <c r="DB112" s="203"/>
      <c r="DC112" s="203"/>
      <c r="DD112" s="203"/>
      <c r="DE112" s="203" t="s">
        <v>84</v>
      </c>
      <c r="DF112" s="203"/>
      <c r="DG112" s="203"/>
      <c r="DH112" s="203"/>
      <c r="DI112" s="203"/>
      <c r="DJ112" s="203"/>
      <c r="DK112" s="203"/>
      <c r="DL112" s="1"/>
      <c r="DM112" s="1"/>
      <c r="DN112" s="1"/>
      <c r="DO112" s="1"/>
      <c r="DP112" s="1"/>
      <c r="DQ112" s="1"/>
      <c r="DR112" s="183"/>
      <c r="DS112" s="183"/>
      <c r="DT112" s="183"/>
      <c r="DU112" s="183"/>
      <c r="DV112" s="183"/>
      <c r="DW112" s="183"/>
      <c r="DX112" s="183"/>
      <c r="DY112" s="183"/>
      <c r="DZ112" s="183"/>
      <c r="EA112" s="183"/>
      <c r="EB112" s="183"/>
      <c r="EC112" s="183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45"/>
      <c r="FB112" s="63">
        <v>0</v>
      </c>
      <c r="FC112" s="64">
        <v>12</v>
      </c>
      <c r="FD112" s="64" t="str">
        <f t="shared" si="5"/>
        <v>送料　地域別　　車上渡し</v>
      </c>
      <c r="FE112" s="64">
        <f t="shared" si="6"/>
        <v>1</v>
      </c>
      <c r="FF112" s="64" t="str">
        <f t="shared" si="7"/>
        <v>一式</v>
      </c>
      <c r="FG112" s="64">
        <f t="shared" si="8"/>
        <v>0</v>
      </c>
      <c r="FH112" s="64">
        <f t="shared" si="9"/>
        <v>0</v>
      </c>
      <c r="FI112" s="64">
        <f t="shared" si="10"/>
        <v>0</v>
      </c>
    </row>
    <row r="113" spans="79:165" ht="15" customHeight="1" x14ac:dyDescent="0.15">
      <c r="CA113" s="44"/>
      <c r="CB113" s="1"/>
      <c r="CC113" s="1"/>
      <c r="CD113" s="1"/>
      <c r="CE113" s="1"/>
      <c r="CF113" s="1"/>
      <c r="CG113" s="1"/>
      <c r="CH113" s="1"/>
      <c r="CI113" s="184">
        <v>9</v>
      </c>
      <c r="CJ113" s="184"/>
      <c r="CK113" s="185"/>
      <c r="CL113" s="185"/>
      <c r="CM113" s="185"/>
      <c r="CN113" s="185"/>
      <c r="CO113" s="185"/>
      <c r="CP113" s="185"/>
      <c r="CQ113" s="185"/>
      <c r="CR113" s="1"/>
      <c r="CS113" s="17" t="s">
        <v>35</v>
      </c>
      <c r="CT113" s="18"/>
      <c r="CU113" s="15"/>
      <c r="CV113" s="28" t="s">
        <v>36</v>
      </c>
      <c r="CW113" s="203" t="s">
        <v>86</v>
      </c>
      <c r="CX113" s="203"/>
      <c r="CY113" s="203"/>
      <c r="CZ113" s="203"/>
      <c r="DA113" s="203"/>
      <c r="DB113" s="203"/>
      <c r="DC113" s="203"/>
      <c r="DD113" s="203"/>
      <c r="DE113" s="203" t="s">
        <v>85</v>
      </c>
      <c r="DF113" s="203"/>
      <c r="DG113" s="203"/>
      <c r="DH113" s="203"/>
      <c r="DI113" s="203"/>
      <c r="DJ113" s="203"/>
      <c r="DK113" s="203"/>
      <c r="DL113" s="1"/>
      <c r="DM113" s="1"/>
      <c r="DN113" s="1"/>
      <c r="DO113" s="1"/>
      <c r="DP113" s="1"/>
      <c r="DQ113" s="1"/>
      <c r="DR113" s="183"/>
      <c r="DS113" s="183"/>
      <c r="DT113" s="183"/>
      <c r="DU113" s="183"/>
      <c r="DV113" s="183"/>
      <c r="DW113" s="183"/>
      <c r="DX113" s="183"/>
      <c r="DY113" s="183"/>
      <c r="DZ113" s="183"/>
      <c r="EA113" s="183"/>
      <c r="EB113" s="183"/>
      <c r="EC113" s="183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45"/>
      <c r="FB113" s="63">
        <v>1</v>
      </c>
      <c r="FC113" s="64">
        <v>1</v>
      </c>
      <c r="FD113" s="64">
        <f>購入おすすめ品!$C$7</f>
        <v>0</v>
      </c>
      <c r="FE113" s="64">
        <f>購入おすすめ品!$U$7</f>
        <v>0</v>
      </c>
      <c r="FF113" s="64">
        <f>購入おすすめ品!$Y$7</f>
        <v>0</v>
      </c>
      <c r="FG113" s="64">
        <f>購入おすすめ品!$AB$7</f>
        <v>0</v>
      </c>
      <c r="FH113" s="64">
        <f>購入おすすめ品!$AG$7</f>
        <v>0</v>
      </c>
      <c r="FI113" s="64">
        <f>購入おすすめ品!$AN$7</f>
        <v>0</v>
      </c>
    </row>
    <row r="114" spans="79:165" ht="15" customHeight="1" x14ac:dyDescent="0.15">
      <c r="CA114" s="44"/>
      <c r="CB114" s="1"/>
      <c r="CC114" s="1"/>
      <c r="CD114" s="1"/>
      <c r="CE114" s="1"/>
      <c r="CF114" s="1"/>
      <c r="CG114" s="1"/>
      <c r="CH114" s="1"/>
      <c r="CI114" s="184">
        <v>10</v>
      </c>
      <c r="CJ114" s="184"/>
      <c r="CK114" s="185"/>
      <c r="CL114" s="185"/>
      <c r="CM114" s="185"/>
      <c r="CN114" s="185"/>
      <c r="CO114" s="185"/>
      <c r="CP114" s="185"/>
      <c r="CQ114" s="185"/>
      <c r="CR114" s="1"/>
      <c r="CS114" s="20" t="s">
        <v>37</v>
      </c>
      <c r="CT114" s="21"/>
      <c r="CU114" s="15"/>
      <c r="CV114" s="28" t="s">
        <v>38</v>
      </c>
      <c r="CW114" s="203" t="s">
        <v>76</v>
      </c>
      <c r="CX114" s="203"/>
      <c r="CY114" s="203"/>
      <c r="CZ114" s="203"/>
      <c r="DA114" s="203"/>
      <c r="DB114" s="203"/>
      <c r="DC114" s="203"/>
      <c r="DD114" s="203"/>
      <c r="DE114" s="203" t="s">
        <v>39</v>
      </c>
      <c r="DF114" s="203"/>
      <c r="DG114" s="203"/>
      <c r="DH114" s="203"/>
      <c r="DI114" s="203"/>
      <c r="DJ114" s="203"/>
      <c r="DK114" s="203"/>
      <c r="DL114" s="1"/>
      <c r="DM114" s="1"/>
      <c r="DN114" s="1"/>
      <c r="DO114" s="1"/>
      <c r="DP114" s="1"/>
      <c r="DQ114" s="1"/>
      <c r="DR114" s="183"/>
      <c r="DS114" s="183"/>
      <c r="DT114" s="183"/>
      <c r="DU114" s="183"/>
      <c r="DV114" s="183"/>
      <c r="DW114" s="183"/>
      <c r="DX114" s="183"/>
      <c r="DY114" s="183"/>
      <c r="DZ114" s="183"/>
      <c r="EA114" s="183"/>
      <c r="EB114" s="183"/>
      <c r="EC114" s="183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45"/>
      <c r="FB114" s="63">
        <v>1</v>
      </c>
      <c r="FC114" s="64">
        <v>2</v>
      </c>
      <c r="FD114" s="64">
        <f>購入おすすめ品!$C$8</f>
        <v>0</v>
      </c>
      <c r="FE114" s="64">
        <f>購入おすすめ品!$U$8</f>
        <v>0</v>
      </c>
      <c r="FF114" s="64">
        <f>購入おすすめ品!$Y$8</f>
        <v>0</v>
      </c>
      <c r="FG114" s="64">
        <f>購入おすすめ品!$AB$8</f>
        <v>0</v>
      </c>
      <c r="FH114" s="64">
        <f>購入おすすめ品!$AG$8</f>
        <v>0</v>
      </c>
      <c r="FI114" s="64">
        <f>購入おすすめ品!$AN$8</f>
        <v>0</v>
      </c>
    </row>
    <row r="115" spans="79:165" ht="15" customHeight="1" x14ac:dyDescent="0.15">
      <c r="CA115" s="44"/>
      <c r="CB115" s="1"/>
      <c r="CC115" s="1"/>
      <c r="CD115" s="1"/>
      <c r="CE115" s="1"/>
      <c r="CF115" s="1"/>
      <c r="CG115" s="1"/>
      <c r="CH115" s="1"/>
      <c r="CI115" s="207" t="s">
        <v>40</v>
      </c>
      <c r="CJ115" s="207"/>
      <c r="CK115" s="185">
        <f>SUM(CK104:CQ114)</f>
        <v>5300000</v>
      </c>
      <c r="CL115" s="185"/>
      <c r="CM115" s="185"/>
      <c r="CN115" s="185"/>
      <c r="CO115" s="185"/>
      <c r="CP115" s="185"/>
      <c r="CQ115" s="185"/>
      <c r="CR115" s="1"/>
      <c r="CS115" s="17" t="s">
        <v>46</v>
      </c>
      <c r="CT115" s="18"/>
      <c r="CU115" s="15"/>
      <c r="CV115" s="28" t="s">
        <v>41</v>
      </c>
      <c r="CW115" s="203" t="s">
        <v>77</v>
      </c>
      <c r="CX115" s="203"/>
      <c r="CY115" s="203"/>
      <c r="CZ115" s="203"/>
      <c r="DA115" s="203"/>
      <c r="DB115" s="203"/>
      <c r="DC115" s="203"/>
      <c r="DD115" s="203"/>
      <c r="DE115" s="203" t="s">
        <v>42</v>
      </c>
      <c r="DF115" s="203"/>
      <c r="DG115" s="203"/>
      <c r="DH115" s="203"/>
      <c r="DI115" s="203"/>
      <c r="DJ115" s="203"/>
      <c r="DK115" s="203"/>
      <c r="DL115" s="1"/>
      <c r="DM115" s="1"/>
      <c r="DN115" s="1"/>
      <c r="DO115" s="1"/>
      <c r="DP115" s="1"/>
      <c r="DQ115" s="1"/>
      <c r="DR115" s="183"/>
      <c r="DS115" s="183"/>
      <c r="DT115" s="183"/>
      <c r="DU115" s="183"/>
      <c r="DV115" s="183"/>
      <c r="DW115" s="183"/>
      <c r="DX115" s="183"/>
      <c r="DY115" s="183"/>
      <c r="DZ115" s="183"/>
      <c r="EA115" s="183"/>
      <c r="EB115" s="183"/>
      <c r="EC115" s="183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45"/>
      <c r="FB115" s="63">
        <v>1</v>
      </c>
      <c r="FC115" s="64">
        <v>3</v>
      </c>
      <c r="FD115" s="64">
        <f>購入おすすめ品!$C$9</f>
        <v>0</v>
      </c>
      <c r="FE115" s="64">
        <f>購入おすすめ品!$U$9</f>
        <v>0</v>
      </c>
      <c r="FF115" s="64">
        <f>購入おすすめ品!$Y$9</f>
        <v>0</v>
      </c>
      <c r="FG115" s="64">
        <f>購入おすすめ品!$AB$9</f>
        <v>0</v>
      </c>
      <c r="FH115" s="64">
        <f>購入おすすめ品!$AG$9</f>
        <v>0</v>
      </c>
      <c r="FI115" s="64">
        <f>購入おすすめ品!$AN$9</f>
        <v>0</v>
      </c>
    </row>
    <row r="116" spans="79:165" ht="15" customHeight="1" x14ac:dyDescent="0.15">
      <c r="CA116" s="44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7"/>
      <c r="CT116" s="18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45"/>
      <c r="FB116" s="63">
        <v>1</v>
      </c>
      <c r="FC116" s="64">
        <v>4</v>
      </c>
      <c r="FD116" s="64">
        <f>購入おすすめ品!$C$10</f>
        <v>0</v>
      </c>
      <c r="FE116" s="64">
        <f>購入おすすめ品!$U$10</f>
        <v>0</v>
      </c>
      <c r="FF116" s="64">
        <f>購入おすすめ品!$Y$10</f>
        <v>0</v>
      </c>
      <c r="FG116" s="64">
        <f>購入おすすめ品!$AB$10</f>
        <v>0</v>
      </c>
      <c r="FH116" s="64">
        <f>購入おすすめ品!$AG$10</f>
        <v>0</v>
      </c>
      <c r="FI116" s="64">
        <f>購入おすすめ品!$AN$10</f>
        <v>0</v>
      </c>
    </row>
    <row r="117" spans="79:165" ht="15" customHeight="1" x14ac:dyDescent="0.15">
      <c r="CA117" s="44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45"/>
      <c r="FB117" s="63">
        <v>1</v>
      </c>
      <c r="FC117" s="64">
        <v>5</v>
      </c>
      <c r="FD117" s="64">
        <f>購入おすすめ品!$C$11</f>
        <v>0</v>
      </c>
      <c r="FE117" s="64">
        <f>購入おすすめ品!$U$11</f>
        <v>0</v>
      </c>
      <c r="FF117" s="64">
        <f>購入おすすめ品!$Y$11</f>
        <v>0</v>
      </c>
      <c r="FG117" s="64">
        <f>購入おすすめ品!$AB$11</f>
        <v>0</v>
      </c>
      <c r="FH117" s="64">
        <f>購入おすすめ品!$AG$11</f>
        <v>0</v>
      </c>
      <c r="FI117" s="64">
        <f>購入おすすめ品!$AN$11</f>
        <v>0</v>
      </c>
    </row>
    <row r="118" spans="79:165" ht="15" customHeight="1" x14ac:dyDescent="0.15">
      <c r="CA118" s="44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45"/>
      <c r="FB118" s="63">
        <v>1</v>
      </c>
      <c r="FC118" s="64">
        <v>6</v>
      </c>
      <c r="FD118" s="64">
        <f>購入おすすめ品!$C$12</f>
        <v>0</v>
      </c>
      <c r="FE118" s="64">
        <f>購入おすすめ品!$U$12</f>
        <v>0</v>
      </c>
      <c r="FF118" s="64">
        <f>購入おすすめ品!$Y$12</f>
        <v>0</v>
      </c>
      <c r="FG118" s="64">
        <f>購入おすすめ品!$AB$12</f>
        <v>0</v>
      </c>
      <c r="FH118" s="64">
        <f>購入おすすめ品!$AG$12</f>
        <v>0</v>
      </c>
      <c r="FI118" s="64">
        <f>購入おすすめ品!$AN$12</f>
        <v>0</v>
      </c>
    </row>
    <row r="119" spans="79:165" ht="15" customHeight="1" x14ac:dyDescent="0.15">
      <c r="CA119" s="44"/>
      <c r="CB119" s="1"/>
      <c r="CC119" s="1"/>
      <c r="CD119" s="1"/>
      <c r="CE119" s="1"/>
      <c r="CF119" s="1"/>
      <c r="CG119" s="1"/>
      <c r="CH119" s="1"/>
      <c r="CI119" s="204" t="s">
        <v>43</v>
      </c>
      <c r="CJ119" s="204"/>
      <c r="CK119" s="204"/>
      <c r="CL119" s="204"/>
      <c r="CM119" s="205" t="s">
        <v>87</v>
      </c>
      <c r="CN119" s="206"/>
      <c r="CO119" s="206"/>
      <c r="CP119" s="206"/>
      <c r="CQ119" s="206"/>
      <c r="CR119" s="206"/>
      <c r="CS119" s="206"/>
      <c r="CT119" s="206"/>
      <c r="CU119" s="206"/>
      <c r="CV119" s="206"/>
      <c r="CW119" s="206"/>
      <c r="CX119" s="206"/>
      <c r="CY119" s="206"/>
      <c r="CZ119" s="206"/>
      <c r="DA119" s="206"/>
      <c r="DB119" s="206"/>
      <c r="DC119" s="206"/>
      <c r="DD119" s="206"/>
      <c r="DE119" s="206"/>
      <c r="DF119" s="206"/>
      <c r="DG119" s="206"/>
      <c r="DH119" s="206"/>
      <c r="DI119" s="206"/>
      <c r="DJ119" s="206"/>
      <c r="DK119" s="206"/>
      <c r="DL119" s="1"/>
      <c r="DM119" s="194" t="s">
        <v>45</v>
      </c>
      <c r="DN119" s="196"/>
      <c r="DO119" s="199" t="s">
        <v>80</v>
      </c>
      <c r="DP119" s="200"/>
      <c r="DQ119" s="200"/>
      <c r="DR119" s="200"/>
      <c r="DS119" s="200"/>
      <c r="DT119" s="200"/>
      <c r="DU119" s="20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45"/>
      <c r="FB119" s="63">
        <v>1</v>
      </c>
      <c r="FC119" s="64">
        <v>7</v>
      </c>
      <c r="FD119" s="64">
        <f>購入おすすめ品!$C$13</f>
        <v>0</v>
      </c>
      <c r="FE119" s="64">
        <f>購入おすすめ品!$U$13</f>
        <v>0</v>
      </c>
      <c r="FF119" s="64">
        <f>購入おすすめ品!$Y$13</f>
        <v>0</v>
      </c>
      <c r="FG119" s="64">
        <f>購入おすすめ品!$AB$13</f>
        <v>0</v>
      </c>
      <c r="FH119" s="64">
        <f>購入おすすめ品!$AG$13</f>
        <v>0</v>
      </c>
      <c r="FI119" s="64">
        <f>購入おすすめ品!$AN$13</f>
        <v>0</v>
      </c>
    </row>
    <row r="120" spans="79:165" ht="15" customHeight="1" x14ac:dyDescent="0.15">
      <c r="CA120" s="44"/>
      <c r="CB120" s="1"/>
      <c r="CC120" s="1"/>
      <c r="CD120" s="1"/>
      <c r="CE120" s="1"/>
      <c r="CF120" s="1"/>
      <c r="CG120" s="1"/>
      <c r="CH120" s="1"/>
      <c r="CI120" s="204" t="s">
        <v>73</v>
      </c>
      <c r="CJ120" s="204"/>
      <c r="CK120" s="204"/>
      <c r="CL120" s="204"/>
      <c r="CM120" s="205"/>
      <c r="CN120" s="206"/>
      <c r="CO120" s="206"/>
      <c r="CP120" s="206"/>
      <c r="CQ120" s="206"/>
      <c r="CR120" s="206"/>
      <c r="CS120" s="206"/>
      <c r="CT120" s="206"/>
      <c r="CU120" s="206"/>
      <c r="CV120" s="206"/>
      <c r="CW120" s="206"/>
      <c r="CX120" s="206"/>
      <c r="CY120" s="206"/>
      <c r="CZ120" s="206"/>
      <c r="DA120" s="206"/>
      <c r="DB120" s="206"/>
      <c r="DC120" s="206"/>
      <c r="DD120" s="206"/>
      <c r="DE120" s="206"/>
      <c r="DF120" s="206"/>
      <c r="DG120" s="206"/>
      <c r="DH120" s="206"/>
      <c r="DI120" s="206"/>
      <c r="DJ120" s="206"/>
      <c r="DK120" s="206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45"/>
      <c r="FB120" s="63">
        <v>1</v>
      </c>
      <c r="FC120" s="64">
        <v>8</v>
      </c>
      <c r="FD120" s="64">
        <f>購入おすすめ品!$C$14</f>
        <v>0</v>
      </c>
      <c r="FE120" s="64">
        <f>購入おすすめ品!$U$14</f>
        <v>0</v>
      </c>
      <c r="FF120" s="64">
        <f>購入おすすめ品!$Y$14</f>
        <v>0</v>
      </c>
      <c r="FG120" s="64">
        <f>購入おすすめ品!$AB$14</f>
        <v>0</v>
      </c>
      <c r="FH120" s="64">
        <f>購入おすすめ品!$AG$14</f>
        <v>0</v>
      </c>
      <c r="FI120" s="64">
        <f>購入おすすめ品!$AN$14</f>
        <v>0</v>
      </c>
    </row>
    <row r="121" spans="79:165" ht="15" customHeight="1" x14ac:dyDescent="0.15">
      <c r="CA121" s="44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45"/>
      <c r="FB121" s="63">
        <v>1</v>
      </c>
      <c r="FC121" s="64">
        <v>9</v>
      </c>
      <c r="FD121" s="64">
        <f>購入おすすめ品!$C$15</f>
        <v>0</v>
      </c>
      <c r="FE121" s="64">
        <f>購入おすすめ品!$U$15</f>
        <v>0</v>
      </c>
      <c r="FF121" s="64">
        <f>購入おすすめ品!$Y$15</f>
        <v>0</v>
      </c>
      <c r="FG121" s="64">
        <f>購入おすすめ品!$AB$15</f>
        <v>0</v>
      </c>
      <c r="FH121" s="64">
        <f>購入おすすめ品!$AG$15</f>
        <v>0</v>
      </c>
      <c r="FI121" s="64">
        <f>購入おすすめ品!$AN$15</f>
        <v>0</v>
      </c>
    </row>
    <row r="122" spans="79:165" ht="15" customHeight="1" x14ac:dyDescent="0.15">
      <c r="CA122" s="44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45"/>
      <c r="FB122" s="63">
        <v>1</v>
      </c>
      <c r="FC122" s="64">
        <v>10</v>
      </c>
      <c r="FD122" s="64">
        <f>購入おすすめ品!$C$16</f>
        <v>0</v>
      </c>
      <c r="FE122" s="64">
        <f>購入おすすめ品!$U$16</f>
        <v>0</v>
      </c>
      <c r="FF122" s="64">
        <f>購入おすすめ品!$Y$16</f>
        <v>0</v>
      </c>
      <c r="FG122" s="64">
        <f>購入おすすめ品!$AB$16</f>
        <v>0</v>
      </c>
      <c r="FH122" s="64">
        <f>購入おすすめ品!$AG$16</f>
        <v>0</v>
      </c>
      <c r="FI122" s="64">
        <f>購入おすすめ品!$AN$16</f>
        <v>0</v>
      </c>
    </row>
    <row r="123" spans="79:165" ht="15" customHeight="1" x14ac:dyDescent="0.15">
      <c r="CA123" s="44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45"/>
      <c r="FB123" s="63">
        <v>1</v>
      </c>
      <c r="FC123" s="64">
        <v>11</v>
      </c>
      <c r="FD123" s="64">
        <f>購入おすすめ品!$C$17</f>
        <v>0</v>
      </c>
      <c r="FE123" s="64">
        <f>購入おすすめ品!$U$17</f>
        <v>0</v>
      </c>
      <c r="FF123" s="64">
        <f>購入おすすめ品!$Y$17</f>
        <v>0</v>
      </c>
      <c r="FG123" s="64">
        <f>購入おすすめ品!$AB$17</f>
        <v>0</v>
      </c>
      <c r="FH123" s="64">
        <f>購入おすすめ品!$AG$17</f>
        <v>0</v>
      </c>
      <c r="FI123" s="64">
        <f>購入おすすめ品!$AN$17</f>
        <v>0</v>
      </c>
    </row>
    <row r="124" spans="79:165" ht="15" customHeight="1" x14ac:dyDescent="0.15">
      <c r="CA124" s="44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45"/>
      <c r="FB124" s="63">
        <v>1</v>
      </c>
      <c r="FC124" s="64">
        <v>12</v>
      </c>
      <c r="FD124" s="64">
        <f>購入おすすめ品!$C$18</f>
        <v>0</v>
      </c>
      <c r="FE124" s="64">
        <f>購入おすすめ品!$U$18</f>
        <v>0</v>
      </c>
      <c r="FF124" s="64">
        <f>購入おすすめ品!$Y$18</f>
        <v>0</v>
      </c>
      <c r="FG124" s="64">
        <f>購入おすすめ品!$AB$18</f>
        <v>0</v>
      </c>
      <c r="FH124" s="64">
        <f>購入おすすめ品!$AG$18</f>
        <v>0</v>
      </c>
      <c r="FI124" s="64">
        <f>購入おすすめ品!$AN$18</f>
        <v>0</v>
      </c>
    </row>
    <row r="125" spans="79:165" ht="15" customHeight="1" x14ac:dyDescent="0.15">
      <c r="CA125" s="44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45"/>
      <c r="FB125" s="63">
        <v>1</v>
      </c>
      <c r="FC125" s="64">
        <v>13</v>
      </c>
      <c r="FD125" s="64">
        <f>購入おすすめ品!$C$19</f>
        <v>0</v>
      </c>
      <c r="FE125" s="64">
        <f>購入おすすめ品!$U$19</f>
        <v>0</v>
      </c>
      <c r="FF125" s="64">
        <f>購入おすすめ品!$Y$19</f>
        <v>0</v>
      </c>
      <c r="FG125" s="64">
        <f>購入おすすめ品!$AB$19</f>
        <v>0</v>
      </c>
      <c r="FH125" s="64">
        <f>購入おすすめ品!$AG$19</f>
        <v>0</v>
      </c>
      <c r="FI125" s="64">
        <f>購入おすすめ品!$AN$19</f>
        <v>0</v>
      </c>
    </row>
    <row r="126" spans="79:165" ht="15" customHeight="1" x14ac:dyDescent="0.15">
      <c r="CA126" s="48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  <c r="DG126" s="46"/>
      <c r="DH126" s="46"/>
      <c r="DI126" s="46"/>
      <c r="DJ126" s="46"/>
      <c r="DK126" s="46"/>
      <c r="DL126" s="46"/>
      <c r="DM126" s="46"/>
      <c r="DN126" s="46"/>
      <c r="DO126" s="46"/>
      <c r="DP126" s="46"/>
      <c r="DQ126" s="46"/>
      <c r="DR126" s="46"/>
      <c r="DS126" s="46"/>
      <c r="DT126" s="46"/>
      <c r="DU126" s="46"/>
      <c r="DV126" s="46"/>
      <c r="DW126" s="46"/>
      <c r="DX126" s="46"/>
      <c r="DY126" s="46"/>
      <c r="DZ126" s="46"/>
      <c r="EA126" s="46"/>
      <c r="EB126" s="46"/>
      <c r="EC126" s="46"/>
      <c r="ED126" s="46"/>
      <c r="EE126" s="46"/>
      <c r="EF126" s="46"/>
      <c r="EG126" s="46"/>
      <c r="EH126" s="46"/>
      <c r="EI126" s="46"/>
      <c r="EJ126" s="46"/>
      <c r="EK126" s="46"/>
      <c r="EL126" s="46"/>
      <c r="EM126" s="46"/>
      <c r="EN126" s="46"/>
      <c r="EO126" s="46"/>
      <c r="EP126" s="47"/>
      <c r="FB126" s="63">
        <v>1</v>
      </c>
      <c r="FC126" s="64">
        <v>14</v>
      </c>
      <c r="FD126" s="64">
        <f>購入おすすめ品!$C$20</f>
        <v>0</v>
      </c>
      <c r="FE126" s="64">
        <f>購入おすすめ品!$U$20</f>
        <v>0</v>
      </c>
      <c r="FF126" s="64">
        <f>購入おすすめ品!$Y$20</f>
        <v>0</v>
      </c>
      <c r="FG126" s="64">
        <f>購入おすすめ品!$AB$20</f>
        <v>0</v>
      </c>
      <c r="FH126" s="64">
        <f>購入おすすめ品!$AG$20</f>
        <v>0</v>
      </c>
      <c r="FI126" s="64">
        <f>購入おすすめ品!$AN$20</f>
        <v>0</v>
      </c>
    </row>
    <row r="127" spans="79:165" ht="15" customHeight="1" x14ac:dyDescent="0.15">
      <c r="FB127" s="63">
        <v>1</v>
      </c>
      <c r="FC127" s="64">
        <v>15</v>
      </c>
      <c r="FD127" s="64">
        <f>購入おすすめ品!$C$21</f>
        <v>0</v>
      </c>
      <c r="FE127" s="64">
        <f>購入おすすめ品!$U$21</f>
        <v>0</v>
      </c>
      <c r="FF127" s="64">
        <f>購入おすすめ品!$Y$21</f>
        <v>0</v>
      </c>
      <c r="FG127" s="64">
        <f>購入おすすめ品!$AB$21</f>
        <v>0</v>
      </c>
      <c r="FH127" s="64">
        <f>購入おすすめ品!$AG$21</f>
        <v>0</v>
      </c>
      <c r="FI127" s="64">
        <f>購入おすすめ品!$AN$21</f>
        <v>0</v>
      </c>
    </row>
    <row r="128" spans="79:165" ht="15" customHeight="1" x14ac:dyDescent="0.15">
      <c r="FB128" s="63">
        <v>1</v>
      </c>
      <c r="FC128" s="64">
        <v>16</v>
      </c>
      <c r="FD128" s="64">
        <f>購入おすすめ品!$C$22</f>
        <v>0</v>
      </c>
      <c r="FE128" s="64">
        <f>購入おすすめ品!$U$22</f>
        <v>0</v>
      </c>
      <c r="FF128" s="64">
        <f>購入おすすめ品!$Y$22</f>
        <v>0</v>
      </c>
      <c r="FG128" s="64">
        <f>購入おすすめ品!$AB$22</f>
        <v>0</v>
      </c>
      <c r="FH128" s="64">
        <f>購入おすすめ品!$AG$22</f>
        <v>0</v>
      </c>
      <c r="FI128" s="64">
        <f>購入おすすめ品!$AN$22</f>
        <v>0</v>
      </c>
    </row>
    <row r="129" spans="91:165" ht="15" customHeight="1" x14ac:dyDescent="0.15">
      <c r="FB129" s="63">
        <v>1</v>
      </c>
      <c r="FC129" s="64">
        <v>17</v>
      </c>
      <c r="FD129" s="64">
        <f>購入おすすめ品!$C$23</f>
        <v>0</v>
      </c>
      <c r="FE129" s="64">
        <f>購入おすすめ品!$U$23</f>
        <v>0</v>
      </c>
      <c r="FF129" s="64">
        <f>購入おすすめ品!$Y$23</f>
        <v>0</v>
      </c>
      <c r="FG129" s="64">
        <f>購入おすすめ品!$AB$23</f>
        <v>0</v>
      </c>
      <c r="FH129" s="64">
        <f>購入おすすめ品!$AG$23</f>
        <v>0</v>
      </c>
      <c r="FI129" s="64">
        <f>購入おすすめ品!$AN$23</f>
        <v>0</v>
      </c>
    </row>
    <row r="130" spans="91:165" ht="15" customHeight="1" x14ac:dyDescent="0.15">
      <c r="CM130" s="72"/>
      <c r="FB130" s="63">
        <v>1</v>
      </c>
      <c r="FC130" s="64">
        <v>18</v>
      </c>
      <c r="FD130" s="64">
        <f>購入おすすめ品!$C$24</f>
        <v>0</v>
      </c>
      <c r="FE130" s="64">
        <f>購入おすすめ品!$U$24</f>
        <v>0</v>
      </c>
      <c r="FF130" s="64">
        <f>購入おすすめ品!$Y$24</f>
        <v>0</v>
      </c>
      <c r="FG130" s="64">
        <f>購入おすすめ品!$AB$24</f>
        <v>0</v>
      </c>
      <c r="FH130" s="64">
        <f>購入おすすめ品!$AG$24</f>
        <v>0</v>
      </c>
      <c r="FI130" s="64">
        <f>購入おすすめ品!$AN$24</f>
        <v>0</v>
      </c>
    </row>
    <row r="131" spans="91:165" ht="15" customHeight="1" x14ac:dyDescent="0.15">
      <c r="FB131" s="63">
        <v>1</v>
      </c>
      <c r="FC131" s="64">
        <v>19</v>
      </c>
      <c r="FD131" s="64">
        <f>購入おすすめ品!$C$25</f>
        <v>0</v>
      </c>
      <c r="FE131" s="64">
        <f>購入おすすめ品!$U$25</f>
        <v>0</v>
      </c>
      <c r="FF131" s="64">
        <f>購入おすすめ品!$Y$25</f>
        <v>0</v>
      </c>
      <c r="FG131" s="64">
        <f>購入おすすめ品!$AB$25</f>
        <v>0</v>
      </c>
      <c r="FH131" s="64">
        <f>購入おすすめ品!$AG$25</f>
        <v>0</v>
      </c>
      <c r="FI131" s="64">
        <f>購入おすすめ品!$AN$25</f>
        <v>0</v>
      </c>
    </row>
    <row r="132" spans="91:165" ht="15" customHeight="1" x14ac:dyDescent="0.15">
      <c r="FB132" s="63">
        <v>1</v>
      </c>
      <c r="FC132" s="64">
        <v>20</v>
      </c>
      <c r="FD132" s="64">
        <f>購入おすすめ品!$C$26</f>
        <v>0</v>
      </c>
      <c r="FE132" s="64">
        <f>購入おすすめ品!$U$26</f>
        <v>0</v>
      </c>
      <c r="FF132" s="64">
        <f>購入おすすめ品!$Y$26</f>
        <v>0</v>
      </c>
      <c r="FG132" s="64">
        <f>購入おすすめ品!$AB$26</f>
        <v>0</v>
      </c>
      <c r="FH132" s="64">
        <f>購入おすすめ品!$AG$26</f>
        <v>0</v>
      </c>
      <c r="FI132" s="64">
        <f>購入おすすめ品!$AN$26</f>
        <v>0</v>
      </c>
    </row>
    <row r="133" spans="91:165" ht="15" customHeight="1" x14ac:dyDescent="0.15">
      <c r="FB133" s="63">
        <v>1</v>
      </c>
      <c r="FC133" s="64">
        <v>21</v>
      </c>
      <c r="FD133" s="64">
        <f>購入おすすめ品!$C$27</f>
        <v>0</v>
      </c>
      <c r="FE133" s="64">
        <f>購入おすすめ品!$U$27</f>
        <v>0</v>
      </c>
      <c r="FF133" s="64">
        <f>購入おすすめ品!$Y$27</f>
        <v>0</v>
      </c>
      <c r="FG133" s="64">
        <f>購入おすすめ品!$AB$27</f>
        <v>0</v>
      </c>
      <c r="FH133" s="64">
        <f>購入おすすめ品!$AG$27</f>
        <v>0</v>
      </c>
      <c r="FI133" s="64">
        <f>購入おすすめ品!$AN$27</f>
        <v>0</v>
      </c>
    </row>
    <row r="134" spans="91:165" ht="15" customHeight="1" x14ac:dyDescent="0.15">
      <c r="FB134" s="63">
        <v>1</v>
      </c>
      <c r="FC134" s="64">
        <v>22</v>
      </c>
      <c r="FD134" s="64">
        <f>購入おすすめ品!$C$28</f>
        <v>0</v>
      </c>
      <c r="FE134" s="64">
        <f>購入おすすめ品!$U$28</f>
        <v>0</v>
      </c>
      <c r="FF134" s="64">
        <f>購入おすすめ品!$Y$28</f>
        <v>0</v>
      </c>
      <c r="FG134" s="64">
        <f>購入おすすめ品!$AB$28</f>
        <v>0</v>
      </c>
      <c r="FH134" s="64">
        <f>購入おすすめ品!$AG$28</f>
        <v>0</v>
      </c>
      <c r="FI134" s="64">
        <f>購入おすすめ品!$AN$28</f>
        <v>0</v>
      </c>
    </row>
    <row r="135" spans="91:165" ht="15" customHeight="1" x14ac:dyDescent="0.15">
      <c r="FB135" s="63">
        <v>1</v>
      </c>
      <c r="FC135" s="64">
        <v>23</v>
      </c>
      <c r="FD135" s="64">
        <f>購入おすすめ品!$C$29</f>
        <v>0</v>
      </c>
      <c r="FE135" s="64">
        <f>購入おすすめ品!$U$29</f>
        <v>0</v>
      </c>
      <c r="FF135" s="64">
        <f>購入おすすめ品!$Y$29</f>
        <v>0</v>
      </c>
      <c r="FG135" s="64">
        <f>購入おすすめ品!$AB$29</f>
        <v>0</v>
      </c>
      <c r="FH135" s="64">
        <f>購入おすすめ品!$AG$29</f>
        <v>0</v>
      </c>
      <c r="FI135" s="64">
        <f>購入おすすめ品!$AN$29</f>
        <v>0</v>
      </c>
    </row>
    <row r="136" spans="91:165" ht="15" customHeight="1" x14ac:dyDescent="0.15">
      <c r="FB136" s="63">
        <v>2</v>
      </c>
      <c r="FC136" s="64">
        <v>1</v>
      </c>
      <c r="FD136" s="64" t="e">
        <f>#REF!</f>
        <v>#REF!</v>
      </c>
      <c r="FE136" s="64" t="e">
        <f>#REF!</f>
        <v>#REF!</v>
      </c>
      <c r="FF136" s="64" t="e">
        <f>#REF!</f>
        <v>#REF!</v>
      </c>
      <c r="FG136" s="64" t="e">
        <f>#REF!</f>
        <v>#REF!</v>
      </c>
      <c r="FH136" s="64" t="e">
        <f>#REF!</f>
        <v>#REF!</v>
      </c>
      <c r="FI136" s="64" t="e">
        <f>#REF!</f>
        <v>#REF!</v>
      </c>
    </row>
    <row r="137" spans="91:165" ht="15" customHeight="1" x14ac:dyDescent="0.15">
      <c r="FB137" s="63">
        <v>2</v>
      </c>
      <c r="FC137" s="64">
        <v>2</v>
      </c>
      <c r="FD137" s="64" t="e">
        <f>#REF!</f>
        <v>#REF!</v>
      </c>
      <c r="FE137" s="64" t="e">
        <f>#REF!</f>
        <v>#REF!</v>
      </c>
      <c r="FF137" s="64" t="e">
        <f>#REF!</f>
        <v>#REF!</v>
      </c>
      <c r="FG137" s="64" t="e">
        <f>#REF!</f>
        <v>#REF!</v>
      </c>
      <c r="FH137" s="64" t="e">
        <f>#REF!</f>
        <v>#REF!</v>
      </c>
      <c r="FI137" s="64" t="e">
        <f>#REF!</f>
        <v>#REF!</v>
      </c>
    </row>
    <row r="138" spans="91:165" ht="15" customHeight="1" x14ac:dyDescent="0.15">
      <c r="FB138" s="63">
        <v>2</v>
      </c>
      <c r="FC138" s="64">
        <v>3</v>
      </c>
      <c r="FD138" s="64" t="e">
        <f>#REF!</f>
        <v>#REF!</v>
      </c>
      <c r="FE138" s="64" t="e">
        <f>#REF!</f>
        <v>#REF!</v>
      </c>
      <c r="FF138" s="64" t="e">
        <f>#REF!</f>
        <v>#REF!</v>
      </c>
      <c r="FG138" s="64" t="e">
        <f>#REF!</f>
        <v>#REF!</v>
      </c>
      <c r="FH138" s="64" t="e">
        <f>#REF!</f>
        <v>#REF!</v>
      </c>
      <c r="FI138" s="64" t="e">
        <f>#REF!</f>
        <v>#REF!</v>
      </c>
    </row>
    <row r="139" spans="91:165" ht="15" customHeight="1" x14ac:dyDescent="0.15">
      <c r="FB139" s="63">
        <v>2</v>
      </c>
      <c r="FC139" s="64">
        <v>4</v>
      </c>
      <c r="FD139" s="64" t="e">
        <f>#REF!</f>
        <v>#REF!</v>
      </c>
      <c r="FE139" s="64" t="e">
        <f>#REF!</f>
        <v>#REF!</v>
      </c>
      <c r="FF139" s="64" t="e">
        <f>#REF!</f>
        <v>#REF!</v>
      </c>
      <c r="FG139" s="64" t="e">
        <f>#REF!</f>
        <v>#REF!</v>
      </c>
      <c r="FH139" s="64" t="e">
        <f>#REF!</f>
        <v>#REF!</v>
      </c>
      <c r="FI139" s="64" t="e">
        <f>#REF!</f>
        <v>#REF!</v>
      </c>
    </row>
    <row r="140" spans="91:165" ht="15" customHeight="1" x14ac:dyDescent="0.15">
      <c r="FB140" s="63">
        <v>2</v>
      </c>
      <c r="FC140" s="64">
        <v>5</v>
      </c>
      <c r="FD140" s="64" t="e">
        <f>#REF!</f>
        <v>#REF!</v>
      </c>
      <c r="FE140" s="64" t="e">
        <f>#REF!</f>
        <v>#REF!</v>
      </c>
      <c r="FF140" s="64" t="e">
        <f>#REF!</f>
        <v>#REF!</v>
      </c>
      <c r="FG140" s="64" t="e">
        <f>#REF!</f>
        <v>#REF!</v>
      </c>
      <c r="FH140" s="64" t="e">
        <f>#REF!</f>
        <v>#REF!</v>
      </c>
      <c r="FI140" s="64" t="e">
        <f>#REF!</f>
        <v>#REF!</v>
      </c>
    </row>
    <row r="141" spans="91:165" ht="15" customHeight="1" x14ac:dyDescent="0.15">
      <c r="FB141" s="63">
        <v>2</v>
      </c>
      <c r="FC141" s="64">
        <v>6</v>
      </c>
      <c r="FD141" s="64" t="e">
        <f>#REF!</f>
        <v>#REF!</v>
      </c>
      <c r="FE141" s="64" t="e">
        <f>#REF!</f>
        <v>#REF!</v>
      </c>
      <c r="FF141" s="64" t="e">
        <f>#REF!</f>
        <v>#REF!</v>
      </c>
      <c r="FG141" s="64" t="e">
        <f>#REF!</f>
        <v>#REF!</v>
      </c>
      <c r="FH141" s="64" t="e">
        <f>#REF!</f>
        <v>#REF!</v>
      </c>
      <c r="FI141" s="64" t="e">
        <f>#REF!</f>
        <v>#REF!</v>
      </c>
    </row>
    <row r="142" spans="91:165" ht="15" customHeight="1" x14ac:dyDescent="0.15">
      <c r="FB142" s="63">
        <v>2</v>
      </c>
      <c r="FC142" s="64">
        <v>7</v>
      </c>
      <c r="FD142" s="64" t="e">
        <f>#REF!</f>
        <v>#REF!</v>
      </c>
      <c r="FE142" s="64" t="e">
        <f>#REF!</f>
        <v>#REF!</v>
      </c>
      <c r="FF142" s="64" t="e">
        <f>#REF!</f>
        <v>#REF!</v>
      </c>
      <c r="FG142" s="64" t="e">
        <f>#REF!</f>
        <v>#REF!</v>
      </c>
      <c r="FH142" s="64" t="e">
        <f>#REF!</f>
        <v>#REF!</v>
      </c>
      <c r="FI142" s="64" t="e">
        <f>#REF!</f>
        <v>#REF!</v>
      </c>
    </row>
    <row r="143" spans="91:165" ht="15" customHeight="1" x14ac:dyDescent="0.15">
      <c r="FB143" s="63">
        <v>2</v>
      </c>
      <c r="FC143" s="64">
        <v>8</v>
      </c>
      <c r="FD143" s="64" t="e">
        <f>#REF!</f>
        <v>#REF!</v>
      </c>
      <c r="FE143" s="64" t="e">
        <f>#REF!</f>
        <v>#REF!</v>
      </c>
      <c r="FF143" s="64" t="e">
        <f>#REF!</f>
        <v>#REF!</v>
      </c>
      <c r="FG143" s="64" t="e">
        <f>#REF!</f>
        <v>#REF!</v>
      </c>
      <c r="FH143" s="64" t="e">
        <f>#REF!</f>
        <v>#REF!</v>
      </c>
      <c r="FI143" s="64" t="e">
        <f>#REF!</f>
        <v>#REF!</v>
      </c>
    </row>
    <row r="144" spans="91:165" ht="15" customHeight="1" x14ac:dyDescent="0.15">
      <c r="FB144" s="63">
        <v>2</v>
      </c>
      <c r="FC144" s="64">
        <v>9</v>
      </c>
      <c r="FD144" s="64" t="e">
        <f>#REF!</f>
        <v>#REF!</v>
      </c>
      <c r="FE144" s="64" t="e">
        <f>#REF!</f>
        <v>#REF!</v>
      </c>
      <c r="FF144" s="64" t="e">
        <f>#REF!</f>
        <v>#REF!</v>
      </c>
      <c r="FG144" s="64" t="e">
        <f>#REF!</f>
        <v>#REF!</v>
      </c>
      <c r="FH144" s="64" t="e">
        <f>#REF!</f>
        <v>#REF!</v>
      </c>
      <c r="FI144" s="64" t="e">
        <f>#REF!</f>
        <v>#REF!</v>
      </c>
    </row>
    <row r="145" spans="158:165" ht="15" customHeight="1" x14ac:dyDescent="0.15">
      <c r="FB145" s="63">
        <v>2</v>
      </c>
      <c r="FC145" s="64">
        <v>10</v>
      </c>
      <c r="FD145" s="64" t="e">
        <f>#REF!</f>
        <v>#REF!</v>
      </c>
      <c r="FE145" s="64" t="e">
        <f>#REF!</f>
        <v>#REF!</v>
      </c>
      <c r="FF145" s="64" t="e">
        <f>#REF!</f>
        <v>#REF!</v>
      </c>
      <c r="FG145" s="64" t="e">
        <f>#REF!</f>
        <v>#REF!</v>
      </c>
      <c r="FH145" s="64" t="e">
        <f>#REF!</f>
        <v>#REF!</v>
      </c>
      <c r="FI145" s="64" t="e">
        <f>#REF!</f>
        <v>#REF!</v>
      </c>
    </row>
    <row r="146" spans="158:165" ht="15" customHeight="1" x14ac:dyDescent="0.15">
      <c r="FB146" s="63">
        <v>2</v>
      </c>
      <c r="FC146" s="64">
        <v>11</v>
      </c>
      <c r="FD146" s="64" t="e">
        <f>#REF!</f>
        <v>#REF!</v>
      </c>
      <c r="FE146" s="64" t="e">
        <f>#REF!</f>
        <v>#REF!</v>
      </c>
      <c r="FF146" s="64" t="e">
        <f>#REF!</f>
        <v>#REF!</v>
      </c>
      <c r="FG146" s="64" t="e">
        <f>#REF!</f>
        <v>#REF!</v>
      </c>
      <c r="FH146" s="64" t="e">
        <f>#REF!</f>
        <v>#REF!</v>
      </c>
      <c r="FI146" s="64" t="e">
        <f>#REF!</f>
        <v>#REF!</v>
      </c>
    </row>
    <row r="147" spans="158:165" ht="15" customHeight="1" x14ac:dyDescent="0.15">
      <c r="FB147" s="63">
        <v>2</v>
      </c>
      <c r="FC147" s="64">
        <v>12</v>
      </c>
      <c r="FD147" s="64" t="e">
        <f>#REF!</f>
        <v>#REF!</v>
      </c>
      <c r="FE147" s="64" t="e">
        <f>#REF!</f>
        <v>#REF!</v>
      </c>
      <c r="FF147" s="64" t="e">
        <f>#REF!</f>
        <v>#REF!</v>
      </c>
      <c r="FG147" s="64" t="e">
        <f>#REF!</f>
        <v>#REF!</v>
      </c>
      <c r="FH147" s="64" t="e">
        <f>#REF!</f>
        <v>#REF!</v>
      </c>
      <c r="FI147" s="64" t="e">
        <f>#REF!</f>
        <v>#REF!</v>
      </c>
    </row>
    <row r="148" spans="158:165" ht="15" customHeight="1" x14ac:dyDescent="0.15">
      <c r="FB148" s="63">
        <v>2</v>
      </c>
      <c r="FC148" s="64">
        <v>13</v>
      </c>
      <c r="FD148" s="64" t="e">
        <f>#REF!</f>
        <v>#REF!</v>
      </c>
      <c r="FE148" s="64" t="e">
        <f>#REF!</f>
        <v>#REF!</v>
      </c>
      <c r="FF148" s="64" t="e">
        <f>#REF!</f>
        <v>#REF!</v>
      </c>
      <c r="FG148" s="64" t="e">
        <f>#REF!</f>
        <v>#REF!</v>
      </c>
      <c r="FH148" s="64" t="e">
        <f>#REF!</f>
        <v>#REF!</v>
      </c>
      <c r="FI148" s="64" t="e">
        <f>#REF!</f>
        <v>#REF!</v>
      </c>
    </row>
    <row r="149" spans="158:165" ht="15" customHeight="1" x14ac:dyDescent="0.15">
      <c r="FB149" s="63">
        <v>2</v>
      </c>
      <c r="FC149" s="64">
        <v>14</v>
      </c>
      <c r="FD149" s="64" t="e">
        <f>#REF!</f>
        <v>#REF!</v>
      </c>
      <c r="FE149" s="64" t="e">
        <f>#REF!</f>
        <v>#REF!</v>
      </c>
      <c r="FF149" s="64" t="e">
        <f>#REF!</f>
        <v>#REF!</v>
      </c>
      <c r="FG149" s="64" t="e">
        <f>#REF!</f>
        <v>#REF!</v>
      </c>
      <c r="FH149" s="64" t="e">
        <f>#REF!</f>
        <v>#REF!</v>
      </c>
      <c r="FI149" s="64" t="e">
        <f>#REF!</f>
        <v>#REF!</v>
      </c>
    </row>
    <row r="150" spans="158:165" ht="15" customHeight="1" x14ac:dyDescent="0.15">
      <c r="FB150" s="63">
        <v>2</v>
      </c>
      <c r="FC150" s="64">
        <v>15</v>
      </c>
      <c r="FD150" s="64" t="e">
        <f>#REF!</f>
        <v>#REF!</v>
      </c>
      <c r="FE150" s="64" t="e">
        <f>#REF!</f>
        <v>#REF!</v>
      </c>
      <c r="FF150" s="64" t="e">
        <f>#REF!</f>
        <v>#REF!</v>
      </c>
      <c r="FG150" s="64" t="e">
        <f>#REF!</f>
        <v>#REF!</v>
      </c>
      <c r="FH150" s="64" t="e">
        <f>#REF!</f>
        <v>#REF!</v>
      </c>
      <c r="FI150" s="64" t="e">
        <f>#REF!</f>
        <v>#REF!</v>
      </c>
    </row>
    <row r="151" spans="158:165" ht="15" customHeight="1" x14ac:dyDescent="0.15">
      <c r="FB151" s="63">
        <v>2</v>
      </c>
      <c r="FC151" s="64">
        <v>16</v>
      </c>
      <c r="FD151" s="64" t="e">
        <f>#REF!</f>
        <v>#REF!</v>
      </c>
      <c r="FE151" s="64" t="e">
        <f>#REF!</f>
        <v>#REF!</v>
      </c>
      <c r="FF151" s="64" t="e">
        <f>#REF!</f>
        <v>#REF!</v>
      </c>
      <c r="FG151" s="64" t="e">
        <f>#REF!</f>
        <v>#REF!</v>
      </c>
      <c r="FH151" s="64" t="e">
        <f>#REF!</f>
        <v>#REF!</v>
      </c>
      <c r="FI151" s="64" t="e">
        <f>#REF!</f>
        <v>#REF!</v>
      </c>
    </row>
    <row r="152" spans="158:165" ht="15" customHeight="1" x14ac:dyDescent="0.15">
      <c r="FB152" s="63">
        <v>2</v>
      </c>
      <c r="FC152" s="64">
        <v>17</v>
      </c>
      <c r="FD152" s="64" t="e">
        <f>#REF!</f>
        <v>#REF!</v>
      </c>
      <c r="FE152" s="64" t="e">
        <f>#REF!</f>
        <v>#REF!</v>
      </c>
      <c r="FF152" s="64" t="e">
        <f>#REF!</f>
        <v>#REF!</v>
      </c>
      <c r="FG152" s="64" t="e">
        <f>#REF!</f>
        <v>#REF!</v>
      </c>
      <c r="FH152" s="64" t="e">
        <f>#REF!</f>
        <v>#REF!</v>
      </c>
      <c r="FI152" s="64" t="e">
        <f>#REF!</f>
        <v>#REF!</v>
      </c>
    </row>
    <row r="153" spans="158:165" ht="15" customHeight="1" x14ac:dyDescent="0.15">
      <c r="FB153" s="63">
        <v>2</v>
      </c>
      <c r="FC153" s="64">
        <v>18</v>
      </c>
      <c r="FD153" s="64" t="e">
        <f>#REF!</f>
        <v>#REF!</v>
      </c>
      <c r="FE153" s="64" t="e">
        <f>#REF!</f>
        <v>#REF!</v>
      </c>
      <c r="FF153" s="64" t="e">
        <f>#REF!</f>
        <v>#REF!</v>
      </c>
      <c r="FG153" s="64" t="e">
        <f>#REF!</f>
        <v>#REF!</v>
      </c>
      <c r="FH153" s="64" t="e">
        <f>#REF!</f>
        <v>#REF!</v>
      </c>
      <c r="FI153" s="64" t="e">
        <f>#REF!</f>
        <v>#REF!</v>
      </c>
    </row>
    <row r="154" spans="158:165" ht="15" customHeight="1" x14ac:dyDescent="0.15">
      <c r="FB154" s="63">
        <v>2</v>
      </c>
      <c r="FC154" s="64">
        <v>19</v>
      </c>
      <c r="FD154" s="64" t="e">
        <f>#REF!</f>
        <v>#REF!</v>
      </c>
      <c r="FE154" s="64" t="e">
        <f>#REF!</f>
        <v>#REF!</v>
      </c>
      <c r="FF154" s="64" t="e">
        <f>#REF!</f>
        <v>#REF!</v>
      </c>
      <c r="FG154" s="64" t="e">
        <f>#REF!</f>
        <v>#REF!</v>
      </c>
      <c r="FH154" s="64" t="e">
        <f>#REF!</f>
        <v>#REF!</v>
      </c>
      <c r="FI154" s="64" t="e">
        <f>#REF!</f>
        <v>#REF!</v>
      </c>
    </row>
    <row r="155" spans="158:165" ht="15" customHeight="1" x14ac:dyDescent="0.15">
      <c r="FB155" s="63">
        <v>2</v>
      </c>
      <c r="FC155" s="64">
        <v>20</v>
      </c>
      <c r="FD155" s="64" t="e">
        <f>#REF!</f>
        <v>#REF!</v>
      </c>
      <c r="FE155" s="64" t="e">
        <f>#REF!</f>
        <v>#REF!</v>
      </c>
      <c r="FF155" s="64" t="e">
        <f>#REF!</f>
        <v>#REF!</v>
      </c>
      <c r="FG155" s="64" t="e">
        <f>#REF!</f>
        <v>#REF!</v>
      </c>
      <c r="FH155" s="64" t="e">
        <f>#REF!</f>
        <v>#REF!</v>
      </c>
      <c r="FI155" s="64" t="e">
        <f>#REF!</f>
        <v>#REF!</v>
      </c>
    </row>
    <row r="156" spans="158:165" ht="15" customHeight="1" x14ac:dyDescent="0.15">
      <c r="FB156" s="63">
        <v>2</v>
      </c>
      <c r="FC156" s="64">
        <v>21</v>
      </c>
      <c r="FD156" s="64" t="e">
        <f>#REF!</f>
        <v>#REF!</v>
      </c>
      <c r="FE156" s="64" t="e">
        <f>#REF!</f>
        <v>#REF!</v>
      </c>
      <c r="FF156" s="64" t="e">
        <f>#REF!</f>
        <v>#REF!</v>
      </c>
      <c r="FG156" s="64" t="e">
        <f>#REF!</f>
        <v>#REF!</v>
      </c>
      <c r="FH156" s="64" t="e">
        <f>#REF!</f>
        <v>#REF!</v>
      </c>
      <c r="FI156" s="64" t="e">
        <f>#REF!</f>
        <v>#REF!</v>
      </c>
    </row>
    <row r="157" spans="158:165" ht="15" customHeight="1" x14ac:dyDescent="0.15">
      <c r="FB157" s="63">
        <v>2</v>
      </c>
      <c r="FC157" s="64">
        <v>22</v>
      </c>
      <c r="FD157" s="64" t="e">
        <f>#REF!</f>
        <v>#REF!</v>
      </c>
      <c r="FE157" s="64" t="e">
        <f>#REF!</f>
        <v>#REF!</v>
      </c>
      <c r="FF157" s="64" t="e">
        <f>#REF!</f>
        <v>#REF!</v>
      </c>
      <c r="FG157" s="64" t="e">
        <f>#REF!</f>
        <v>#REF!</v>
      </c>
      <c r="FH157" s="64" t="e">
        <f>#REF!</f>
        <v>#REF!</v>
      </c>
      <c r="FI157" s="64" t="e">
        <f>#REF!</f>
        <v>#REF!</v>
      </c>
    </row>
    <row r="158" spans="158:165" ht="15" customHeight="1" x14ac:dyDescent="0.15">
      <c r="FB158" s="63">
        <v>2</v>
      </c>
      <c r="FC158" s="64">
        <v>23</v>
      </c>
      <c r="FD158" s="64" t="e">
        <f>#REF!</f>
        <v>#REF!</v>
      </c>
      <c r="FE158" s="64" t="e">
        <f>#REF!</f>
        <v>#REF!</v>
      </c>
      <c r="FF158" s="64" t="e">
        <f>#REF!</f>
        <v>#REF!</v>
      </c>
      <c r="FG158" s="64" t="e">
        <f>#REF!</f>
        <v>#REF!</v>
      </c>
      <c r="FH158" s="64" t="e">
        <f>#REF!</f>
        <v>#REF!</v>
      </c>
      <c r="FI158" s="64" t="e">
        <f>#REF!</f>
        <v>#REF!</v>
      </c>
    </row>
    <row r="159" spans="158:165" ht="15" customHeight="1" x14ac:dyDescent="0.15">
      <c r="FB159" s="63">
        <v>3</v>
      </c>
      <c r="FC159" s="64">
        <v>1</v>
      </c>
      <c r="FD159" s="64" t="e">
        <f>#REF!</f>
        <v>#REF!</v>
      </c>
      <c r="FE159" s="64" t="e">
        <f>#REF!</f>
        <v>#REF!</v>
      </c>
      <c r="FF159" s="64" t="e">
        <f>#REF!</f>
        <v>#REF!</v>
      </c>
      <c r="FG159" s="64" t="e">
        <f>#REF!</f>
        <v>#REF!</v>
      </c>
      <c r="FH159" s="64" t="e">
        <f>#REF!</f>
        <v>#REF!</v>
      </c>
      <c r="FI159" s="64" t="e">
        <f>#REF!</f>
        <v>#REF!</v>
      </c>
    </row>
    <row r="160" spans="158:165" ht="15" customHeight="1" x14ac:dyDescent="0.15">
      <c r="FB160" s="63">
        <v>3</v>
      </c>
      <c r="FC160" s="64">
        <v>2</v>
      </c>
      <c r="FD160" s="64" t="e">
        <f>#REF!</f>
        <v>#REF!</v>
      </c>
      <c r="FE160" s="64" t="e">
        <f>#REF!</f>
        <v>#REF!</v>
      </c>
      <c r="FF160" s="64" t="e">
        <f>#REF!</f>
        <v>#REF!</v>
      </c>
      <c r="FG160" s="64" t="e">
        <f>#REF!</f>
        <v>#REF!</v>
      </c>
      <c r="FH160" s="64" t="e">
        <f>#REF!</f>
        <v>#REF!</v>
      </c>
      <c r="FI160" s="64" t="e">
        <f>#REF!</f>
        <v>#REF!</v>
      </c>
    </row>
    <row r="161" spans="16:165" ht="15" customHeight="1" x14ac:dyDescent="0.15">
      <c r="FB161" s="63">
        <v>3</v>
      </c>
      <c r="FC161" s="64">
        <v>3</v>
      </c>
      <c r="FD161" s="64" t="e">
        <f>#REF!</f>
        <v>#REF!</v>
      </c>
      <c r="FE161" s="64" t="e">
        <f>#REF!</f>
        <v>#REF!</v>
      </c>
      <c r="FF161" s="64" t="e">
        <f>#REF!</f>
        <v>#REF!</v>
      </c>
      <c r="FG161" s="64" t="e">
        <f>#REF!</f>
        <v>#REF!</v>
      </c>
      <c r="FH161" s="64" t="e">
        <f>#REF!</f>
        <v>#REF!</v>
      </c>
      <c r="FI161" s="64" t="e">
        <f>#REF!</f>
        <v>#REF!</v>
      </c>
    </row>
    <row r="162" spans="16:165" ht="15" customHeight="1" x14ac:dyDescent="0.15">
      <c r="FB162" s="63">
        <v>3</v>
      </c>
      <c r="FC162" s="64">
        <v>4</v>
      </c>
      <c r="FD162" s="64" t="e">
        <f>#REF!</f>
        <v>#REF!</v>
      </c>
      <c r="FE162" s="64" t="e">
        <f>#REF!</f>
        <v>#REF!</v>
      </c>
      <c r="FF162" s="64" t="e">
        <f>#REF!</f>
        <v>#REF!</v>
      </c>
      <c r="FG162" s="64" t="e">
        <f>#REF!</f>
        <v>#REF!</v>
      </c>
      <c r="FH162" s="64" t="e">
        <f>#REF!</f>
        <v>#REF!</v>
      </c>
      <c r="FI162" s="64" t="e">
        <f>#REF!</f>
        <v>#REF!</v>
      </c>
    </row>
    <row r="163" spans="16:165" ht="15" customHeight="1" x14ac:dyDescent="0.15">
      <c r="FB163" s="63">
        <v>3</v>
      </c>
      <c r="FC163" s="64">
        <v>5</v>
      </c>
      <c r="FD163" s="64" t="e">
        <f>#REF!</f>
        <v>#REF!</v>
      </c>
      <c r="FE163" s="64" t="e">
        <f>#REF!</f>
        <v>#REF!</v>
      </c>
      <c r="FF163" s="64" t="e">
        <f>#REF!</f>
        <v>#REF!</v>
      </c>
      <c r="FG163" s="64" t="e">
        <f>#REF!</f>
        <v>#REF!</v>
      </c>
      <c r="FH163" s="64" t="e">
        <f>#REF!</f>
        <v>#REF!</v>
      </c>
      <c r="FI163" s="64" t="e">
        <f>#REF!</f>
        <v>#REF!</v>
      </c>
    </row>
    <row r="164" spans="16:165" ht="15" customHeight="1" x14ac:dyDescent="0.15">
      <c r="FB164" s="63">
        <v>3</v>
      </c>
      <c r="FC164" s="64">
        <v>6</v>
      </c>
      <c r="FD164" s="64" t="e">
        <f>#REF!</f>
        <v>#REF!</v>
      </c>
      <c r="FE164" s="64" t="e">
        <f>#REF!</f>
        <v>#REF!</v>
      </c>
      <c r="FF164" s="64" t="e">
        <f>#REF!</f>
        <v>#REF!</v>
      </c>
      <c r="FG164" s="64" t="e">
        <f>#REF!</f>
        <v>#REF!</v>
      </c>
      <c r="FH164" s="64" t="e">
        <f>#REF!</f>
        <v>#REF!</v>
      </c>
      <c r="FI164" s="64" t="e">
        <f>#REF!</f>
        <v>#REF!</v>
      </c>
    </row>
    <row r="165" spans="16:165" ht="15" customHeight="1" x14ac:dyDescent="0.15">
      <c r="FB165" s="63">
        <v>3</v>
      </c>
      <c r="FC165" s="64">
        <v>7</v>
      </c>
      <c r="FD165" s="64" t="e">
        <f>#REF!</f>
        <v>#REF!</v>
      </c>
      <c r="FE165" s="64" t="e">
        <f>#REF!</f>
        <v>#REF!</v>
      </c>
      <c r="FF165" s="64" t="e">
        <f>#REF!</f>
        <v>#REF!</v>
      </c>
      <c r="FG165" s="64" t="e">
        <f>#REF!</f>
        <v>#REF!</v>
      </c>
      <c r="FH165" s="64" t="e">
        <f>#REF!</f>
        <v>#REF!</v>
      </c>
      <c r="FI165" s="64" t="e">
        <f>#REF!</f>
        <v>#REF!</v>
      </c>
    </row>
    <row r="166" spans="16:165" ht="15" customHeight="1" x14ac:dyDescent="0.15">
      <c r="FB166" s="63">
        <v>3</v>
      </c>
      <c r="FC166" s="64">
        <v>8</v>
      </c>
      <c r="FD166" s="64" t="e">
        <f>#REF!</f>
        <v>#REF!</v>
      </c>
      <c r="FE166" s="64" t="e">
        <f>#REF!</f>
        <v>#REF!</v>
      </c>
      <c r="FF166" s="64" t="e">
        <f>#REF!</f>
        <v>#REF!</v>
      </c>
      <c r="FG166" s="64" t="e">
        <f>#REF!</f>
        <v>#REF!</v>
      </c>
      <c r="FH166" s="64" t="e">
        <f>#REF!</f>
        <v>#REF!</v>
      </c>
      <c r="FI166" s="64" t="e">
        <f>#REF!</f>
        <v>#REF!</v>
      </c>
    </row>
    <row r="167" spans="16:165" ht="15" customHeight="1" x14ac:dyDescent="0.15">
      <c r="FB167" s="63">
        <v>3</v>
      </c>
      <c r="FC167" s="64">
        <v>9</v>
      </c>
      <c r="FD167" s="64" t="e">
        <f>#REF!</f>
        <v>#REF!</v>
      </c>
      <c r="FE167" s="64" t="e">
        <f>#REF!</f>
        <v>#REF!</v>
      </c>
      <c r="FF167" s="64" t="e">
        <f>#REF!</f>
        <v>#REF!</v>
      </c>
      <c r="FG167" s="64" t="e">
        <f>#REF!</f>
        <v>#REF!</v>
      </c>
      <c r="FH167" s="64" t="e">
        <f>#REF!</f>
        <v>#REF!</v>
      </c>
      <c r="FI167" s="64" t="e">
        <f>#REF!</f>
        <v>#REF!</v>
      </c>
    </row>
    <row r="168" spans="16:165" ht="15" customHeight="1" x14ac:dyDescent="0.15">
      <c r="FB168" s="63">
        <v>3</v>
      </c>
      <c r="FC168" s="64">
        <v>10</v>
      </c>
      <c r="FD168" s="64" t="e">
        <f>#REF!</f>
        <v>#REF!</v>
      </c>
      <c r="FE168" s="64" t="e">
        <f>#REF!</f>
        <v>#REF!</v>
      </c>
      <c r="FF168" s="64" t="e">
        <f>#REF!</f>
        <v>#REF!</v>
      </c>
      <c r="FG168" s="64" t="e">
        <f>#REF!</f>
        <v>#REF!</v>
      </c>
      <c r="FH168" s="64" t="e">
        <f>#REF!</f>
        <v>#REF!</v>
      </c>
      <c r="FI168" s="64" t="e">
        <f>#REF!</f>
        <v>#REF!</v>
      </c>
    </row>
    <row r="169" spans="16:165" ht="15" customHeight="1" x14ac:dyDescent="0.15">
      <c r="FB169" s="63">
        <v>3</v>
      </c>
      <c r="FC169" s="64">
        <v>11</v>
      </c>
      <c r="FD169" s="64" t="e">
        <f>#REF!</f>
        <v>#REF!</v>
      </c>
      <c r="FE169" s="64" t="e">
        <f>#REF!</f>
        <v>#REF!</v>
      </c>
      <c r="FF169" s="64" t="e">
        <f>#REF!</f>
        <v>#REF!</v>
      </c>
      <c r="FG169" s="64" t="e">
        <f>#REF!</f>
        <v>#REF!</v>
      </c>
      <c r="FH169" s="64" t="e">
        <f>#REF!</f>
        <v>#REF!</v>
      </c>
      <c r="FI169" s="64" t="e">
        <f>#REF!</f>
        <v>#REF!</v>
      </c>
    </row>
    <row r="170" spans="16:165" ht="15" customHeight="1" x14ac:dyDescent="0.15">
      <c r="FB170" s="63">
        <v>3</v>
      </c>
      <c r="FC170" s="64">
        <v>12</v>
      </c>
      <c r="FD170" s="64" t="e">
        <f>#REF!</f>
        <v>#REF!</v>
      </c>
      <c r="FE170" s="64" t="e">
        <f>#REF!</f>
        <v>#REF!</v>
      </c>
      <c r="FF170" s="64" t="e">
        <f>#REF!</f>
        <v>#REF!</v>
      </c>
      <c r="FG170" s="64" t="e">
        <f>#REF!</f>
        <v>#REF!</v>
      </c>
      <c r="FH170" s="64" t="e">
        <f>#REF!</f>
        <v>#REF!</v>
      </c>
      <c r="FI170" s="64" t="e">
        <f>#REF!</f>
        <v>#REF!</v>
      </c>
    </row>
    <row r="171" spans="16:165" ht="15" customHeight="1" x14ac:dyDescent="0.15">
      <c r="FB171" s="63">
        <v>3</v>
      </c>
      <c r="FC171" s="64">
        <v>13</v>
      </c>
      <c r="FD171" s="64" t="e">
        <f>#REF!</f>
        <v>#REF!</v>
      </c>
      <c r="FE171" s="64" t="e">
        <f>#REF!</f>
        <v>#REF!</v>
      </c>
      <c r="FF171" s="64" t="e">
        <f>#REF!</f>
        <v>#REF!</v>
      </c>
      <c r="FG171" s="64" t="e">
        <f>#REF!</f>
        <v>#REF!</v>
      </c>
      <c r="FH171" s="64" t="e">
        <f>#REF!</f>
        <v>#REF!</v>
      </c>
      <c r="FI171" s="64" t="e">
        <f>#REF!</f>
        <v>#REF!</v>
      </c>
    </row>
    <row r="172" spans="16:165" ht="15" customHeight="1" x14ac:dyDescent="0.15">
      <c r="FB172" s="63">
        <v>3</v>
      </c>
      <c r="FC172" s="64">
        <v>14</v>
      </c>
      <c r="FD172" s="64" t="e">
        <f>#REF!</f>
        <v>#REF!</v>
      </c>
      <c r="FE172" s="64" t="e">
        <f>#REF!</f>
        <v>#REF!</v>
      </c>
      <c r="FF172" s="64" t="e">
        <f>#REF!</f>
        <v>#REF!</v>
      </c>
      <c r="FG172" s="64" t="e">
        <f>#REF!</f>
        <v>#REF!</v>
      </c>
      <c r="FH172" s="64" t="e">
        <f>#REF!</f>
        <v>#REF!</v>
      </c>
      <c r="FI172" s="64" t="e">
        <f>#REF!</f>
        <v>#REF!</v>
      </c>
    </row>
    <row r="173" spans="16:165" ht="15" customHeight="1" x14ac:dyDescent="0.15">
      <c r="P173" s="30"/>
      <c r="Q173" s="30"/>
      <c r="R173" s="30"/>
      <c r="S173" s="30"/>
      <c r="T173" s="30"/>
      <c r="U173" s="30"/>
      <c r="V173" s="30"/>
      <c r="W173" s="30"/>
      <c r="FB173" s="63">
        <v>3</v>
      </c>
      <c r="FC173" s="64">
        <v>15</v>
      </c>
      <c r="FD173" s="64" t="e">
        <f>#REF!</f>
        <v>#REF!</v>
      </c>
      <c r="FE173" s="64" t="e">
        <f>#REF!</f>
        <v>#REF!</v>
      </c>
      <c r="FF173" s="64" t="e">
        <f>#REF!</f>
        <v>#REF!</v>
      </c>
      <c r="FG173" s="64" t="e">
        <f>#REF!</f>
        <v>#REF!</v>
      </c>
      <c r="FH173" s="64" t="e">
        <f>#REF!</f>
        <v>#REF!</v>
      </c>
      <c r="FI173" s="64" t="e">
        <f>#REF!</f>
        <v>#REF!</v>
      </c>
    </row>
    <row r="174" spans="16:165" ht="15" customHeight="1" x14ac:dyDescent="0.15">
      <c r="P174" s="30">
        <v>0</v>
      </c>
      <c r="Q174" s="30">
        <v>15</v>
      </c>
      <c r="R174" s="30">
        <v>32</v>
      </c>
      <c r="S174" s="30">
        <v>117</v>
      </c>
      <c r="T174" s="30">
        <v>41</v>
      </c>
      <c r="U174" s="30">
        <v>124</v>
      </c>
      <c r="V174" s="30"/>
      <c r="W174" s="30"/>
      <c r="FB174" s="63">
        <v>3</v>
      </c>
      <c r="FC174" s="64">
        <v>16</v>
      </c>
      <c r="FD174" s="64" t="e">
        <f>#REF!</f>
        <v>#REF!</v>
      </c>
      <c r="FE174" s="64" t="e">
        <f>#REF!</f>
        <v>#REF!</v>
      </c>
      <c r="FF174" s="64" t="e">
        <f>#REF!</f>
        <v>#REF!</v>
      </c>
      <c r="FG174" s="64" t="e">
        <f>#REF!</f>
        <v>#REF!</v>
      </c>
      <c r="FH174" s="64" t="e">
        <f>#REF!</f>
        <v>#REF!</v>
      </c>
      <c r="FI174" s="64" t="e">
        <f>#REF!</f>
        <v>#REF!</v>
      </c>
    </row>
    <row r="175" spans="16:165" ht="15" customHeight="1" x14ac:dyDescent="0.15">
      <c r="P175" s="30"/>
      <c r="Q175" s="30"/>
      <c r="R175" s="30"/>
      <c r="S175" s="30"/>
      <c r="T175" s="30"/>
      <c r="U175" s="30"/>
      <c r="V175" s="30"/>
      <c r="W175" s="30"/>
      <c r="FB175" s="63">
        <v>3</v>
      </c>
      <c r="FC175" s="64">
        <v>17</v>
      </c>
      <c r="FD175" s="64" t="e">
        <f>#REF!</f>
        <v>#REF!</v>
      </c>
      <c r="FE175" s="64" t="e">
        <f>#REF!</f>
        <v>#REF!</v>
      </c>
      <c r="FF175" s="64" t="e">
        <f>#REF!</f>
        <v>#REF!</v>
      </c>
      <c r="FG175" s="64" t="e">
        <f>#REF!</f>
        <v>#REF!</v>
      </c>
      <c r="FH175" s="64" t="e">
        <f>#REF!</f>
        <v>#REF!</v>
      </c>
      <c r="FI175" s="64" t="e">
        <f>#REF!</f>
        <v>#REF!</v>
      </c>
    </row>
    <row r="176" spans="16:165" ht="15" customHeight="1" x14ac:dyDescent="0.15">
      <c r="P176" s="30" t="s">
        <v>91</v>
      </c>
      <c r="Q176" s="30"/>
      <c r="R176" s="30"/>
      <c r="S176" s="30"/>
      <c r="T176" s="30"/>
      <c r="U176" s="30"/>
      <c r="V176" s="30"/>
      <c r="W176" s="30"/>
      <c r="FB176" s="63">
        <v>3</v>
      </c>
      <c r="FC176" s="64">
        <v>18</v>
      </c>
      <c r="FD176" s="64" t="e">
        <f>#REF!</f>
        <v>#REF!</v>
      </c>
      <c r="FE176" s="64" t="e">
        <f>#REF!</f>
        <v>#REF!</v>
      </c>
      <c r="FF176" s="64" t="e">
        <f>#REF!</f>
        <v>#REF!</v>
      </c>
      <c r="FG176" s="64" t="e">
        <f>#REF!</f>
        <v>#REF!</v>
      </c>
      <c r="FH176" s="64" t="e">
        <f>#REF!</f>
        <v>#REF!</v>
      </c>
      <c r="FI176" s="64" t="e">
        <f>#REF!</f>
        <v>#REF!</v>
      </c>
    </row>
    <row r="177" spans="1:165" ht="15" customHeight="1" x14ac:dyDescent="0.15"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FB177" s="63">
        <v>3</v>
      </c>
      <c r="FC177" s="64">
        <v>19</v>
      </c>
      <c r="FD177" s="64" t="e">
        <f>#REF!</f>
        <v>#REF!</v>
      </c>
      <c r="FE177" s="64" t="e">
        <f>#REF!</f>
        <v>#REF!</v>
      </c>
      <c r="FF177" s="64" t="e">
        <f>#REF!</f>
        <v>#REF!</v>
      </c>
      <c r="FG177" s="64" t="e">
        <f>#REF!</f>
        <v>#REF!</v>
      </c>
      <c r="FH177" s="64" t="e">
        <f>#REF!</f>
        <v>#REF!</v>
      </c>
      <c r="FI177" s="64" t="e">
        <f>#REF!</f>
        <v>#REF!</v>
      </c>
    </row>
    <row r="178" spans="1:165" ht="15" customHeight="1" x14ac:dyDescent="0.15">
      <c r="A178" s="29"/>
      <c r="P178" s="30"/>
      <c r="Q178" s="30"/>
      <c r="R178" s="30"/>
      <c r="S178" s="30"/>
      <c r="T178" s="30"/>
      <c r="U178" s="30"/>
      <c r="FB178" s="63">
        <v>3</v>
      </c>
      <c r="FC178" s="64">
        <v>20</v>
      </c>
      <c r="FD178" s="64" t="e">
        <f>#REF!</f>
        <v>#REF!</v>
      </c>
      <c r="FE178" s="64" t="e">
        <f>#REF!</f>
        <v>#REF!</v>
      </c>
      <c r="FF178" s="64" t="e">
        <f>#REF!</f>
        <v>#REF!</v>
      </c>
      <c r="FG178" s="64" t="e">
        <f>#REF!</f>
        <v>#REF!</v>
      </c>
      <c r="FH178" s="64" t="e">
        <f>#REF!</f>
        <v>#REF!</v>
      </c>
      <c r="FI178" s="64" t="e">
        <f>#REF!</f>
        <v>#REF!</v>
      </c>
    </row>
    <row r="179" spans="1:165" ht="15" customHeight="1" x14ac:dyDescent="0.15">
      <c r="P179" s="30"/>
      <c r="Q179" s="2"/>
      <c r="R179" s="2"/>
      <c r="S179" s="2"/>
      <c r="FB179" s="63">
        <v>3</v>
      </c>
      <c r="FC179" s="64">
        <v>21</v>
      </c>
      <c r="FD179" s="64" t="e">
        <f>#REF!</f>
        <v>#REF!</v>
      </c>
      <c r="FE179" s="64" t="e">
        <f>#REF!</f>
        <v>#REF!</v>
      </c>
      <c r="FF179" s="64" t="e">
        <f>#REF!</f>
        <v>#REF!</v>
      </c>
      <c r="FG179" s="64" t="e">
        <f>#REF!</f>
        <v>#REF!</v>
      </c>
      <c r="FH179" s="64" t="e">
        <f>#REF!</f>
        <v>#REF!</v>
      </c>
      <c r="FI179" s="64" t="e">
        <f>#REF!</f>
        <v>#REF!</v>
      </c>
    </row>
    <row r="180" spans="1:165" ht="15" customHeight="1" x14ac:dyDescent="0.15">
      <c r="FB180" s="63">
        <v>3</v>
      </c>
      <c r="FC180" s="64">
        <v>22</v>
      </c>
      <c r="FD180" s="64" t="e">
        <f>#REF!</f>
        <v>#REF!</v>
      </c>
      <c r="FE180" s="64" t="e">
        <f>#REF!</f>
        <v>#REF!</v>
      </c>
      <c r="FF180" s="64" t="e">
        <f>#REF!</f>
        <v>#REF!</v>
      </c>
      <c r="FG180" s="64" t="e">
        <f>#REF!</f>
        <v>#REF!</v>
      </c>
      <c r="FH180" s="64" t="e">
        <f>#REF!</f>
        <v>#REF!</v>
      </c>
      <c r="FI180" s="64" t="e">
        <f>#REF!</f>
        <v>#REF!</v>
      </c>
    </row>
    <row r="181" spans="1:165" ht="15" customHeight="1" x14ac:dyDescent="0.15">
      <c r="FB181" s="63">
        <v>3</v>
      </c>
      <c r="FC181" s="64">
        <v>23</v>
      </c>
      <c r="FD181" s="64" t="e">
        <f>#REF!</f>
        <v>#REF!</v>
      </c>
      <c r="FE181" s="64" t="e">
        <f>#REF!</f>
        <v>#REF!</v>
      </c>
      <c r="FF181" s="64" t="e">
        <f>#REF!</f>
        <v>#REF!</v>
      </c>
      <c r="FG181" s="64" t="e">
        <f>#REF!</f>
        <v>#REF!</v>
      </c>
      <c r="FH181" s="64" t="e">
        <f>#REF!</f>
        <v>#REF!</v>
      </c>
      <c r="FI181" s="64" t="e">
        <f>#REF!</f>
        <v>#REF!</v>
      </c>
    </row>
    <row r="182" spans="1:165" ht="15" customHeight="1" x14ac:dyDescent="0.15">
      <c r="FB182" s="63"/>
      <c r="FC182" s="64"/>
      <c r="FD182" s="64"/>
      <c r="FE182" s="64"/>
      <c r="FF182" s="64"/>
      <c r="FG182" s="64"/>
      <c r="FH182" s="64"/>
      <c r="FI182" s="64"/>
    </row>
    <row r="183" spans="1:165" ht="15" customHeight="1" x14ac:dyDescent="0.15">
      <c r="FB183" s="63"/>
      <c r="FC183" s="64"/>
      <c r="FD183" s="64"/>
      <c r="FE183" s="64"/>
      <c r="FF183" s="64"/>
      <c r="FG183" s="64"/>
      <c r="FH183" s="64"/>
      <c r="FI183" s="64"/>
    </row>
    <row r="184" spans="1:165" ht="15" customHeight="1" x14ac:dyDescent="0.15">
      <c r="FB184" s="63"/>
      <c r="FC184" s="64"/>
      <c r="FD184" s="64"/>
      <c r="FE184" s="64"/>
      <c r="FF184" s="64"/>
      <c r="FG184" s="64"/>
      <c r="FH184" s="64"/>
      <c r="FI184" s="64"/>
    </row>
    <row r="185" spans="1:165" ht="15" customHeight="1" x14ac:dyDescent="0.15">
      <c r="FB185" s="63"/>
      <c r="FC185" s="64"/>
      <c r="FD185" s="64"/>
      <c r="FE185" s="64"/>
      <c r="FF185" s="64"/>
      <c r="FG185" s="64"/>
      <c r="FH185" s="64"/>
      <c r="FI185" s="64"/>
    </row>
    <row r="186" spans="1:165" ht="15" customHeight="1" x14ac:dyDescent="0.15">
      <c r="FB186" s="63"/>
      <c r="FC186" s="64"/>
      <c r="FD186" s="64"/>
      <c r="FE186" s="64"/>
      <c r="FF186" s="64"/>
      <c r="FG186" s="64"/>
      <c r="FH186" s="64"/>
      <c r="FI186" s="64"/>
    </row>
    <row r="187" spans="1:165" ht="15" customHeight="1" x14ac:dyDescent="0.15">
      <c r="FB187" s="63"/>
      <c r="FC187" s="64"/>
      <c r="FD187" s="64"/>
      <c r="FE187" s="64"/>
      <c r="FF187" s="64"/>
      <c r="FG187" s="64"/>
      <c r="FH187" s="64"/>
      <c r="FI187" s="64"/>
    </row>
    <row r="188" spans="1:165" ht="15" customHeight="1" x14ac:dyDescent="0.15">
      <c r="FB188" s="63"/>
      <c r="FC188" s="64"/>
      <c r="FD188" s="64"/>
      <c r="FE188" s="64"/>
      <c r="FF188" s="64"/>
      <c r="FG188" s="64"/>
      <c r="FH188" s="64"/>
      <c r="FI188" s="64"/>
    </row>
    <row r="189" spans="1:165" ht="15" customHeight="1" x14ac:dyDescent="0.15">
      <c r="FB189" s="63"/>
      <c r="FC189" s="64"/>
      <c r="FD189" s="64"/>
      <c r="FE189" s="64"/>
      <c r="FF189" s="64"/>
      <c r="FG189" s="64"/>
      <c r="FH189" s="64"/>
      <c r="FI189" s="64"/>
    </row>
    <row r="190" spans="1:165" ht="15" customHeight="1" x14ac:dyDescent="0.15">
      <c r="FB190" s="63"/>
      <c r="FC190" s="64"/>
      <c r="FD190" s="64"/>
      <c r="FE190" s="64"/>
      <c r="FF190" s="64"/>
      <c r="FG190" s="64"/>
      <c r="FH190" s="64"/>
      <c r="FI190" s="64"/>
    </row>
    <row r="191" spans="1:165" ht="15" customHeight="1" x14ac:dyDescent="0.15">
      <c r="FB191" s="63"/>
      <c r="FC191" s="64"/>
      <c r="FD191" s="64"/>
      <c r="FE191" s="64"/>
      <c r="FF191" s="64"/>
      <c r="FG191" s="64"/>
      <c r="FH191" s="64"/>
      <c r="FI191" s="64"/>
    </row>
    <row r="192" spans="1:165" ht="15" customHeight="1" x14ac:dyDescent="0.15">
      <c r="FB192" s="63"/>
      <c r="FC192" s="64"/>
      <c r="FD192" s="64"/>
      <c r="FE192" s="64"/>
      <c r="FF192" s="64"/>
      <c r="FG192" s="64"/>
      <c r="FH192" s="64"/>
      <c r="FI192" s="64"/>
    </row>
    <row r="193" spans="84:165" ht="15" customHeight="1" x14ac:dyDescent="0.15">
      <c r="FB193" s="63"/>
      <c r="FC193" s="64"/>
      <c r="FD193" s="64"/>
      <c r="FE193" s="64"/>
      <c r="FF193" s="64"/>
      <c r="FG193" s="64"/>
      <c r="FH193" s="64"/>
      <c r="FI193" s="64"/>
    </row>
    <row r="194" spans="84:165" ht="15" customHeight="1" x14ac:dyDescent="0.15">
      <c r="FB194" s="63"/>
      <c r="FC194" s="64"/>
      <c r="FD194" s="64"/>
      <c r="FE194" s="64"/>
      <c r="FF194" s="64"/>
      <c r="FG194" s="64"/>
      <c r="FH194" s="64"/>
      <c r="FI194" s="64"/>
    </row>
    <row r="195" spans="84:165" ht="15" customHeight="1" x14ac:dyDescent="0.15">
      <c r="FB195" s="63"/>
      <c r="FC195" s="64"/>
      <c r="FD195" s="64"/>
      <c r="FE195" s="64"/>
      <c r="FF195" s="64"/>
      <c r="FG195" s="64"/>
      <c r="FH195" s="64"/>
      <c r="FI195" s="64"/>
    </row>
    <row r="196" spans="84:165" ht="15" customHeight="1" x14ac:dyDescent="0.15">
      <c r="FB196" s="63"/>
      <c r="FC196" s="64"/>
      <c r="FD196" s="64"/>
      <c r="FE196" s="64"/>
      <c r="FF196" s="64"/>
      <c r="FG196" s="64"/>
      <c r="FH196" s="64"/>
      <c r="FI196" s="64"/>
    </row>
    <row r="197" spans="84:165" ht="15" customHeight="1" x14ac:dyDescent="0.15">
      <c r="FB197" s="63"/>
      <c r="FC197" s="64"/>
      <c r="FD197" s="64"/>
      <c r="FE197" s="64"/>
      <c r="FF197" s="64"/>
      <c r="FG197" s="64"/>
      <c r="FH197" s="64"/>
      <c r="FI197" s="64"/>
    </row>
    <row r="198" spans="84:165" ht="15" customHeight="1" x14ac:dyDescent="0.15">
      <c r="FB198" s="63"/>
      <c r="FC198" s="64"/>
      <c r="FD198" s="64"/>
      <c r="FE198" s="64"/>
      <c r="FF198" s="64"/>
      <c r="FG198" s="64"/>
      <c r="FH198" s="64"/>
      <c r="FI198" s="64"/>
    </row>
    <row r="199" spans="84:165" ht="15" customHeight="1" x14ac:dyDescent="0.15">
      <c r="FB199" s="63"/>
      <c r="FC199" s="64"/>
      <c r="FD199" s="64"/>
      <c r="FE199" s="64"/>
      <c r="FF199" s="64"/>
      <c r="FG199" s="64"/>
      <c r="FH199" s="64"/>
      <c r="FI199" s="64"/>
    </row>
    <row r="200" spans="84:165" ht="15" customHeight="1" x14ac:dyDescent="0.15">
      <c r="FB200" s="63"/>
      <c r="FC200" s="64"/>
      <c r="FD200" s="64"/>
      <c r="FE200" s="64"/>
      <c r="FF200" s="64"/>
      <c r="FG200" s="64"/>
      <c r="FH200" s="64"/>
      <c r="FI200" s="64"/>
    </row>
    <row r="201" spans="84:165" ht="15" customHeight="1" x14ac:dyDescent="0.15">
      <c r="CF201" s="61"/>
      <c r="FB201" s="63"/>
      <c r="FC201" s="64"/>
      <c r="FD201" s="64"/>
      <c r="FE201" s="64"/>
      <c r="FF201" s="64"/>
      <c r="FG201" s="64"/>
      <c r="FH201" s="64"/>
      <c r="FI201" s="64"/>
    </row>
    <row r="202" spans="84:165" ht="15" customHeight="1" x14ac:dyDescent="0.15">
      <c r="FB202" s="63"/>
      <c r="FC202" s="64"/>
      <c r="FD202" s="64"/>
      <c r="FE202" s="64"/>
      <c r="FF202" s="64"/>
      <c r="FG202" s="64"/>
      <c r="FH202" s="64"/>
      <c r="FI202" s="64"/>
    </row>
    <row r="203" spans="84:165" ht="15" customHeight="1" x14ac:dyDescent="0.15">
      <c r="FB203" s="63"/>
      <c r="FC203" s="64"/>
      <c r="FD203" s="64"/>
      <c r="FE203" s="64"/>
      <c r="FF203" s="64"/>
      <c r="FG203" s="64"/>
      <c r="FH203" s="64"/>
      <c r="FI203" s="64"/>
    </row>
    <row r="204" spans="84:165" ht="15" customHeight="1" x14ac:dyDescent="0.15">
      <c r="FB204" s="63"/>
      <c r="FC204" s="64"/>
      <c r="FD204" s="64"/>
      <c r="FE204" s="64"/>
      <c r="FF204" s="64"/>
      <c r="FG204" s="64"/>
      <c r="FH204" s="64"/>
      <c r="FI204" s="64"/>
    </row>
    <row r="205" spans="84:165" ht="15" customHeight="1" x14ac:dyDescent="0.15">
      <c r="FB205" s="63"/>
      <c r="FC205" s="64"/>
      <c r="FD205" s="64"/>
      <c r="FE205" s="64"/>
      <c r="FF205" s="64"/>
      <c r="FG205" s="64"/>
      <c r="FH205" s="64"/>
      <c r="FI205" s="64"/>
    </row>
    <row r="206" spans="84:165" ht="15" customHeight="1" x14ac:dyDescent="0.15">
      <c r="FB206" s="63"/>
      <c r="FC206" s="64"/>
      <c r="FD206" s="64"/>
      <c r="FE206" s="64"/>
      <c r="FF206" s="64"/>
      <c r="FG206" s="64"/>
      <c r="FH206" s="64"/>
      <c r="FI206" s="64"/>
    </row>
    <row r="207" spans="84:165" ht="15" customHeight="1" x14ac:dyDescent="0.15">
      <c r="FB207" s="63"/>
      <c r="FC207" s="64"/>
      <c r="FD207" s="64"/>
      <c r="FE207" s="64"/>
      <c r="FF207" s="64"/>
      <c r="FG207" s="64"/>
      <c r="FH207" s="64"/>
      <c r="FI207" s="64"/>
    </row>
    <row r="208" spans="84:165" ht="15" customHeight="1" x14ac:dyDescent="0.15">
      <c r="FB208" s="63"/>
      <c r="FC208" s="64"/>
      <c r="FD208" s="64"/>
      <c r="FE208" s="64"/>
      <c r="FF208" s="64"/>
      <c r="FG208" s="64"/>
      <c r="FH208" s="64"/>
      <c r="FI208" s="64"/>
    </row>
    <row r="209" spans="158:165" ht="15" customHeight="1" x14ac:dyDescent="0.15">
      <c r="FB209" s="63"/>
      <c r="FC209" s="64"/>
      <c r="FD209" s="64"/>
      <c r="FE209" s="64"/>
      <c r="FF209" s="64"/>
      <c r="FG209" s="64"/>
      <c r="FH209" s="64"/>
      <c r="FI209" s="64"/>
    </row>
    <row r="210" spans="158:165" ht="15" customHeight="1" x14ac:dyDescent="0.15">
      <c r="FB210" s="63"/>
      <c r="FC210" s="64"/>
      <c r="FD210" s="64"/>
      <c r="FE210" s="64"/>
      <c r="FF210" s="64"/>
      <c r="FG210" s="64"/>
      <c r="FH210" s="64"/>
      <c r="FI210" s="64"/>
    </row>
    <row r="211" spans="158:165" ht="15" customHeight="1" x14ac:dyDescent="0.15">
      <c r="FB211" s="63"/>
      <c r="FC211" s="64"/>
      <c r="FD211" s="64"/>
      <c r="FE211" s="64"/>
      <c r="FF211" s="64"/>
      <c r="FG211" s="64"/>
      <c r="FH211" s="64"/>
      <c r="FI211" s="64"/>
    </row>
    <row r="212" spans="158:165" ht="15" customHeight="1" x14ac:dyDescent="0.15">
      <c r="FB212" s="63"/>
      <c r="FC212" s="64"/>
      <c r="FD212" s="64"/>
      <c r="FE212" s="64"/>
      <c r="FF212" s="64"/>
      <c r="FG212" s="64"/>
      <c r="FH212" s="64"/>
      <c r="FI212" s="64"/>
    </row>
    <row r="213" spans="158:165" ht="15" customHeight="1" x14ac:dyDescent="0.15">
      <c r="FB213" s="63"/>
      <c r="FC213" s="64"/>
      <c r="FD213" s="64"/>
      <c r="FE213" s="64"/>
      <c r="FF213" s="64"/>
      <c r="FG213" s="64"/>
      <c r="FH213" s="64"/>
      <c r="FI213" s="64"/>
    </row>
    <row r="214" spans="158:165" ht="15" customHeight="1" x14ac:dyDescent="0.15">
      <c r="FB214" s="63"/>
      <c r="FC214" s="64"/>
      <c r="FD214" s="64"/>
      <c r="FE214" s="64"/>
      <c r="FF214" s="64"/>
      <c r="FG214" s="64"/>
      <c r="FH214" s="64"/>
      <c r="FI214" s="64"/>
    </row>
    <row r="215" spans="158:165" ht="15" customHeight="1" x14ac:dyDescent="0.15">
      <c r="FB215" s="63"/>
      <c r="FC215" s="64"/>
      <c r="FD215" s="64"/>
      <c r="FE215" s="64"/>
      <c r="FF215" s="64"/>
      <c r="FG215" s="64"/>
      <c r="FH215" s="64"/>
      <c r="FI215" s="64"/>
    </row>
    <row r="216" spans="158:165" ht="15" customHeight="1" x14ac:dyDescent="0.15">
      <c r="FB216" s="63"/>
      <c r="FC216" s="64"/>
      <c r="FD216" s="64"/>
      <c r="FE216" s="64"/>
      <c r="FF216" s="64"/>
      <c r="FG216" s="64"/>
      <c r="FH216" s="64"/>
      <c r="FI216" s="64"/>
    </row>
    <row r="217" spans="158:165" ht="15" customHeight="1" x14ac:dyDescent="0.15">
      <c r="FB217" s="63"/>
      <c r="FC217" s="64"/>
      <c r="FD217" s="64"/>
      <c r="FE217" s="64"/>
      <c r="FF217" s="64"/>
      <c r="FG217" s="64"/>
      <c r="FH217" s="64"/>
      <c r="FI217" s="64"/>
    </row>
    <row r="218" spans="158:165" ht="15" customHeight="1" x14ac:dyDescent="0.15">
      <c r="FB218" s="63"/>
      <c r="FC218" s="64"/>
      <c r="FD218" s="64"/>
      <c r="FE218" s="64"/>
      <c r="FF218" s="64"/>
      <c r="FG218" s="64"/>
      <c r="FH218" s="64"/>
      <c r="FI218" s="64"/>
    </row>
    <row r="219" spans="158:165" ht="15" customHeight="1" x14ac:dyDescent="0.15">
      <c r="FB219" s="63"/>
      <c r="FC219" s="64"/>
      <c r="FD219" s="64"/>
      <c r="FE219" s="64"/>
      <c r="FF219" s="64"/>
      <c r="FG219" s="64"/>
      <c r="FH219" s="64"/>
      <c r="FI219" s="64"/>
    </row>
    <row r="220" spans="158:165" ht="15" customHeight="1" x14ac:dyDescent="0.15">
      <c r="FB220" s="63"/>
      <c r="FC220" s="64"/>
      <c r="FD220" s="64"/>
      <c r="FE220" s="64"/>
      <c r="FF220" s="64"/>
      <c r="FG220" s="64"/>
      <c r="FH220" s="64"/>
      <c r="FI220" s="64"/>
    </row>
    <row r="221" spans="158:165" ht="15" customHeight="1" x14ac:dyDescent="0.15">
      <c r="FB221" s="63"/>
      <c r="FC221" s="64"/>
      <c r="FD221" s="64"/>
      <c r="FE221" s="64"/>
      <c r="FF221" s="64"/>
      <c r="FG221" s="64"/>
      <c r="FH221" s="64"/>
      <c r="FI221" s="64"/>
    </row>
    <row r="222" spans="158:165" ht="15" customHeight="1" x14ac:dyDescent="0.15">
      <c r="FB222" s="63"/>
      <c r="FC222" s="64"/>
      <c r="FD222" s="64"/>
      <c r="FE222" s="64"/>
      <c r="FF222" s="64"/>
      <c r="FG222" s="64"/>
      <c r="FH222" s="64"/>
      <c r="FI222" s="64"/>
    </row>
    <row r="223" spans="158:165" ht="15" customHeight="1" x14ac:dyDescent="0.15">
      <c r="FB223" s="63"/>
      <c r="FC223" s="64"/>
      <c r="FD223" s="64"/>
      <c r="FE223" s="64"/>
      <c r="FF223" s="64"/>
      <c r="FG223" s="64"/>
      <c r="FH223" s="64"/>
      <c r="FI223" s="64"/>
    </row>
    <row r="224" spans="158:165" ht="15" customHeight="1" x14ac:dyDescent="0.15">
      <c r="FB224" s="63"/>
      <c r="FC224" s="64"/>
      <c r="FD224" s="64"/>
      <c r="FE224" s="64"/>
      <c r="FF224" s="64"/>
      <c r="FG224" s="64"/>
      <c r="FH224" s="64"/>
      <c r="FI224" s="64"/>
    </row>
    <row r="225" spans="158:165" ht="15" customHeight="1" x14ac:dyDescent="0.15">
      <c r="FB225" s="63"/>
      <c r="FC225" s="64"/>
      <c r="FD225" s="64"/>
      <c r="FE225" s="64"/>
      <c r="FF225" s="64"/>
      <c r="FG225" s="64"/>
      <c r="FH225" s="64"/>
      <c r="FI225" s="64"/>
    </row>
    <row r="226" spans="158:165" ht="15" customHeight="1" x14ac:dyDescent="0.15">
      <c r="FB226" s="63"/>
      <c r="FC226" s="64"/>
      <c r="FD226" s="64"/>
      <c r="FE226" s="64"/>
      <c r="FF226" s="64"/>
      <c r="FG226" s="64"/>
      <c r="FH226" s="64"/>
      <c r="FI226" s="64"/>
    </row>
    <row r="227" spans="158:165" ht="15" customHeight="1" x14ac:dyDescent="0.15">
      <c r="FB227" s="63"/>
      <c r="FC227" s="64"/>
      <c r="FD227" s="64"/>
      <c r="FE227" s="64"/>
      <c r="FF227" s="64"/>
      <c r="FG227" s="64"/>
      <c r="FH227" s="64"/>
      <c r="FI227" s="64"/>
    </row>
    <row r="228" spans="158:165" ht="15" customHeight="1" x14ac:dyDescent="0.15">
      <c r="FB228" s="63"/>
      <c r="FC228" s="64"/>
      <c r="FD228" s="64"/>
      <c r="FE228" s="64"/>
      <c r="FF228" s="64"/>
      <c r="FG228" s="64"/>
      <c r="FH228" s="64"/>
      <c r="FI228" s="64"/>
    </row>
    <row r="229" spans="158:165" ht="15" customHeight="1" x14ac:dyDescent="0.15">
      <c r="FB229" s="63"/>
      <c r="FC229" s="64"/>
      <c r="FD229" s="64"/>
      <c r="FE229" s="64"/>
      <c r="FF229" s="64"/>
      <c r="FG229" s="64"/>
      <c r="FH229" s="64"/>
      <c r="FI229" s="64"/>
    </row>
    <row r="230" spans="158:165" ht="15" customHeight="1" x14ac:dyDescent="0.15">
      <c r="FB230" s="63"/>
      <c r="FC230" s="64"/>
      <c r="FD230" s="64"/>
      <c r="FE230" s="64"/>
      <c r="FF230" s="64"/>
      <c r="FG230" s="64"/>
      <c r="FH230" s="64"/>
      <c r="FI230" s="64"/>
    </row>
    <row r="231" spans="158:165" ht="15" customHeight="1" x14ac:dyDescent="0.15">
      <c r="FB231" s="63"/>
      <c r="FC231" s="64"/>
      <c r="FD231" s="64"/>
      <c r="FE231" s="64"/>
      <c r="FF231" s="64"/>
      <c r="FG231" s="64"/>
      <c r="FH231" s="64"/>
      <c r="FI231" s="64"/>
    </row>
    <row r="232" spans="158:165" ht="15" customHeight="1" x14ac:dyDescent="0.15">
      <c r="FB232" s="63"/>
      <c r="FC232" s="64"/>
      <c r="FD232" s="64"/>
      <c r="FE232" s="64"/>
      <c r="FF232" s="64"/>
      <c r="FG232" s="64"/>
      <c r="FH232" s="64"/>
      <c r="FI232" s="64"/>
    </row>
    <row r="233" spans="158:165" ht="15" customHeight="1" x14ac:dyDescent="0.15">
      <c r="FB233" s="63"/>
      <c r="FC233" s="64"/>
      <c r="FD233" s="64"/>
      <c r="FE233" s="64"/>
      <c r="FF233" s="64"/>
      <c r="FG233" s="64"/>
      <c r="FH233" s="64"/>
      <c r="FI233" s="64"/>
    </row>
    <row r="234" spans="158:165" ht="15" customHeight="1" x14ac:dyDescent="0.15">
      <c r="FB234" s="63"/>
      <c r="FC234" s="64"/>
      <c r="FD234" s="64"/>
      <c r="FE234" s="64"/>
      <c r="FF234" s="64"/>
      <c r="FG234" s="64"/>
      <c r="FH234" s="64"/>
      <c r="FI234" s="64"/>
    </row>
    <row r="235" spans="158:165" ht="15" customHeight="1" x14ac:dyDescent="0.15">
      <c r="FB235" s="63"/>
      <c r="FC235" s="64"/>
      <c r="FD235" s="64"/>
      <c r="FE235" s="64"/>
      <c r="FF235" s="64"/>
      <c r="FG235" s="64"/>
      <c r="FH235" s="64"/>
      <c r="FI235" s="64"/>
    </row>
    <row r="236" spans="158:165" ht="15" customHeight="1" x14ac:dyDescent="0.15">
      <c r="FB236" s="63"/>
      <c r="FC236" s="64"/>
      <c r="FD236" s="64"/>
      <c r="FE236" s="64"/>
      <c r="FF236" s="64"/>
      <c r="FG236" s="64"/>
      <c r="FH236" s="64"/>
      <c r="FI236" s="64"/>
    </row>
    <row r="237" spans="158:165" ht="15" customHeight="1" x14ac:dyDescent="0.15">
      <c r="FB237" s="63"/>
      <c r="FC237" s="64"/>
      <c r="FD237" s="64"/>
      <c r="FE237" s="64"/>
      <c r="FF237" s="64"/>
      <c r="FG237" s="64"/>
      <c r="FH237" s="64"/>
      <c r="FI237" s="64"/>
    </row>
    <row r="238" spans="158:165" ht="15" customHeight="1" x14ac:dyDescent="0.15">
      <c r="FB238" s="63"/>
      <c r="FC238" s="64"/>
      <c r="FD238" s="64"/>
      <c r="FE238" s="64"/>
      <c r="FF238" s="64"/>
      <c r="FG238" s="64"/>
      <c r="FH238" s="64"/>
      <c r="FI238" s="64"/>
    </row>
    <row r="239" spans="158:165" ht="15" customHeight="1" x14ac:dyDescent="0.15">
      <c r="FB239" s="63"/>
      <c r="FC239" s="64"/>
      <c r="FD239" s="64"/>
      <c r="FE239" s="64"/>
      <c r="FF239" s="64"/>
      <c r="FG239" s="64"/>
      <c r="FH239" s="64"/>
      <c r="FI239" s="64"/>
    </row>
    <row r="240" spans="158:165" ht="15" customHeight="1" x14ac:dyDescent="0.15">
      <c r="FB240" s="63"/>
      <c r="FC240" s="64"/>
      <c r="FD240" s="64"/>
      <c r="FE240" s="64"/>
      <c r="FF240" s="64"/>
      <c r="FG240" s="64"/>
      <c r="FH240" s="64"/>
      <c r="FI240" s="64"/>
    </row>
    <row r="241" spans="158:165" ht="15" customHeight="1" x14ac:dyDescent="0.15">
      <c r="FB241" s="63"/>
      <c r="FC241" s="64"/>
      <c r="FD241" s="64"/>
      <c r="FE241" s="64"/>
      <c r="FF241" s="64"/>
      <c r="FG241" s="64"/>
      <c r="FH241" s="64"/>
      <c r="FI241" s="64"/>
    </row>
    <row r="242" spans="158:165" ht="15" customHeight="1" x14ac:dyDescent="0.15">
      <c r="FB242" s="63"/>
      <c r="FC242" s="64"/>
      <c r="FD242" s="64"/>
      <c r="FE242" s="64"/>
      <c r="FF242" s="64"/>
      <c r="FG242" s="64"/>
      <c r="FH242" s="64"/>
      <c r="FI242" s="64"/>
    </row>
    <row r="243" spans="158:165" ht="15" customHeight="1" x14ac:dyDescent="0.15">
      <c r="FB243" s="63"/>
      <c r="FC243" s="64"/>
      <c r="FD243" s="64"/>
      <c r="FE243" s="64"/>
      <c r="FF243" s="64"/>
      <c r="FG243" s="64"/>
      <c r="FH243" s="64"/>
      <c r="FI243" s="64"/>
    </row>
    <row r="244" spans="158:165" ht="15" customHeight="1" x14ac:dyDescent="0.15">
      <c r="FB244" s="63"/>
      <c r="FC244" s="64"/>
      <c r="FD244" s="64"/>
      <c r="FE244" s="64"/>
      <c r="FF244" s="64"/>
      <c r="FG244" s="64"/>
      <c r="FH244" s="64"/>
      <c r="FI244" s="64"/>
    </row>
    <row r="245" spans="158:165" ht="15" customHeight="1" x14ac:dyDescent="0.15">
      <c r="FB245" s="63"/>
      <c r="FC245" s="64"/>
      <c r="FD245" s="64"/>
      <c r="FE245" s="64"/>
      <c r="FF245" s="64"/>
      <c r="FG245" s="64"/>
      <c r="FH245" s="64"/>
      <c r="FI245" s="64"/>
    </row>
    <row r="246" spans="158:165" ht="15" customHeight="1" x14ac:dyDescent="0.15">
      <c r="FB246" s="63"/>
      <c r="FC246" s="64"/>
      <c r="FD246" s="64"/>
      <c r="FE246" s="64"/>
      <c r="FF246" s="64"/>
      <c r="FG246" s="64"/>
      <c r="FH246" s="64"/>
      <c r="FI246" s="64"/>
    </row>
    <row r="247" spans="158:165" ht="15" customHeight="1" x14ac:dyDescent="0.15">
      <c r="FB247" s="63"/>
      <c r="FC247" s="64"/>
      <c r="FD247" s="64"/>
      <c r="FE247" s="64"/>
      <c r="FF247" s="64"/>
      <c r="FG247" s="64"/>
      <c r="FH247" s="64"/>
      <c r="FI247" s="64"/>
    </row>
    <row r="248" spans="158:165" ht="15" customHeight="1" x14ac:dyDescent="0.15">
      <c r="FB248" s="63"/>
      <c r="FC248" s="64"/>
      <c r="FD248" s="64"/>
      <c r="FE248" s="64"/>
      <c r="FF248" s="64"/>
      <c r="FG248" s="64"/>
      <c r="FH248" s="64"/>
      <c r="FI248" s="64"/>
    </row>
    <row r="249" spans="158:165" ht="15" customHeight="1" x14ac:dyDescent="0.15">
      <c r="FB249" s="63"/>
      <c r="FC249" s="64"/>
      <c r="FD249" s="64"/>
      <c r="FE249" s="64"/>
      <c r="FF249" s="64"/>
      <c r="FG249" s="64"/>
      <c r="FH249" s="64"/>
      <c r="FI249" s="64"/>
    </row>
    <row r="250" spans="158:165" ht="15" customHeight="1" x14ac:dyDescent="0.15">
      <c r="FB250" s="63"/>
      <c r="FC250" s="64"/>
      <c r="FD250" s="64"/>
      <c r="FE250" s="64"/>
      <c r="FF250" s="64"/>
      <c r="FG250" s="64"/>
      <c r="FH250" s="64"/>
      <c r="FI250" s="64"/>
    </row>
    <row r="251" spans="158:165" ht="15" customHeight="1" x14ac:dyDescent="0.15">
      <c r="FB251" s="63"/>
      <c r="FC251" s="64"/>
      <c r="FD251" s="64"/>
      <c r="FE251" s="64"/>
      <c r="FF251" s="64"/>
      <c r="FG251" s="64"/>
      <c r="FH251" s="64"/>
      <c r="FI251" s="64"/>
    </row>
    <row r="252" spans="158:165" ht="15" customHeight="1" x14ac:dyDescent="0.15">
      <c r="FB252" s="63"/>
      <c r="FC252" s="64"/>
      <c r="FD252" s="64"/>
      <c r="FE252" s="64"/>
      <c r="FF252" s="64"/>
      <c r="FG252" s="64"/>
      <c r="FH252" s="64"/>
      <c r="FI252" s="64"/>
    </row>
    <row r="253" spans="158:165" ht="15" customHeight="1" x14ac:dyDescent="0.15">
      <c r="FB253" s="63"/>
      <c r="FC253" s="64"/>
      <c r="FD253" s="64"/>
      <c r="FE253" s="64"/>
      <c r="FF253" s="64"/>
      <c r="FG253" s="64"/>
      <c r="FH253" s="64"/>
      <c r="FI253" s="64"/>
    </row>
    <row r="254" spans="158:165" ht="15" customHeight="1" x14ac:dyDescent="0.15">
      <c r="FB254" s="63"/>
      <c r="FC254" s="64"/>
      <c r="FD254" s="64"/>
      <c r="FE254" s="64"/>
      <c r="FF254" s="64"/>
      <c r="FG254" s="64"/>
      <c r="FH254" s="64"/>
      <c r="FI254" s="64"/>
    </row>
    <row r="255" spans="158:165" ht="15" customHeight="1" x14ac:dyDescent="0.15">
      <c r="FB255" s="63"/>
      <c r="FC255" s="64"/>
      <c r="FD255" s="64"/>
      <c r="FE255" s="64"/>
      <c r="FF255" s="64"/>
      <c r="FG255" s="64"/>
      <c r="FH255" s="64"/>
      <c r="FI255" s="64"/>
    </row>
    <row r="256" spans="158:165" ht="15" customHeight="1" x14ac:dyDescent="0.15">
      <c r="FB256" s="63"/>
      <c r="FC256" s="64"/>
      <c r="FD256" s="64"/>
      <c r="FE256" s="64"/>
      <c r="FF256" s="64"/>
      <c r="FG256" s="64"/>
      <c r="FH256" s="64"/>
      <c r="FI256" s="64"/>
    </row>
    <row r="257" spans="158:165" ht="15" customHeight="1" x14ac:dyDescent="0.15">
      <c r="FB257" s="63"/>
      <c r="FC257" s="64"/>
      <c r="FD257" s="64"/>
      <c r="FE257" s="64"/>
      <c r="FF257" s="64"/>
      <c r="FG257" s="64"/>
      <c r="FH257" s="64"/>
      <c r="FI257" s="64"/>
    </row>
    <row r="258" spans="158:165" ht="15" customHeight="1" x14ac:dyDescent="0.15">
      <c r="FB258" s="63"/>
      <c r="FC258" s="64"/>
      <c r="FD258" s="64"/>
      <c r="FE258" s="64"/>
      <c r="FF258" s="64"/>
      <c r="FG258" s="64"/>
      <c r="FH258" s="64"/>
      <c r="FI258" s="64"/>
    </row>
    <row r="259" spans="158:165" ht="15" customHeight="1" x14ac:dyDescent="0.15">
      <c r="FB259" s="63"/>
      <c r="FC259" s="64"/>
      <c r="FD259" s="64"/>
      <c r="FE259" s="64"/>
      <c r="FF259" s="64"/>
      <c r="FG259" s="64"/>
      <c r="FH259" s="64"/>
      <c r="FI259" s="64"/>
    </row>
    <row r="260" spans="158:165" ht="15" customHeight="1" x14ac:dyDescent="0.15">
      <c r="FB260" s="63"/>
      <c r="FC260" s="64"/>
      <c r="FD260" s="64"/>
      <c r="FE260" s="64"/>
      <c r="FF260" s="64"/>
      <c r="FG260" s="64"/>
      <c r="FH260" s="64"/>
      <c r="FI260" s="64"/>
    </row>
    <row r="261" spans="158:165" ht="15" customHeight="1" x14ac:dyDescent="0.15">
      <c r="FB261" s="63"/>
      <c r="FC261" s="64"/>
      <c r="FD261" s="64"/>
      <c r="FE261" s="64"/>
      <c r="FF261" s="64"/>
      <c r="FG261" s="64"/>
      <c r="FH261" s="64"/>
      <c r="FI261" s="64"/>
    </row>
    <row r="262" spans="158:165" ht="15" customHeight="1" x14ac:dyDescent="0.15">
      <c r="FB262" s="63"/>
      <c r="FC262" s="64"/>
      <c r="FD262" s="64"/>
      <c r="FE262" s="64"/>
      <c r="FF262" s="64"/>
      <c r="FG262" s="64"/>
      <c r="FH262" s="64"/>
      <c r="FI262" s="64"/>
    </row>
    <row r="263" spans="158:165" ht="15" customHeight="1" x14ac:dyDescent="0.15">
      <c r="FB263" s="63"/>
      <c r="FC263" s="64"/>
      <c r="FD263" s="64"/>
      <c r="FE263" s="64"/>
      <c r="FF263" s="64"/>
      <c r="FG263" s="64"/>
      <c r="FH263" s="64"/>
      <c r="FI263" s="64"/>
    </row>
    <row r="264" spans="158:165" ht="15" customHeight="1" x14ac:dyDescent="0.15">
      <c r="FB264" s="63"/>
      <c r="FC264" s="64"/>
      <c r="FD264" s="64"/>
      <c r="FE264" s="64"/>
      <c r="FF264" s="64"/>
      <c r="FG264" s="64"/>
      <c r="FH264" s="64"/>
      <c r="FI264" s="64"/>
    </row>
    <row r="265" spans="158:165" ht="15" customHeight="1" x14ac:dyDescent="0.15">
      <c r="FB265" s="63"/>
      <c r="FC265" s="64"/>
      <c r="FD265" s="64"/>
      <c r="FE265" s="64"/>
      <c r="FF265" s="64"/>
      <c r="FG265" s="64"/>
      <c r="FH265" s="64"/>
      <c r="FI265" s="64"/>
    </row>
    <row r="266" spans="158:165" ht="15" customHeight="1" x14ac:dyDescent="0.15">
      <c r="FB266" s="63"/>
      <c r="FC266" s="64"/>
      <c r="FD266" s="64"/>
      <c r="FE266" s="64"/>
      <c r="FF266" s="64"/>
      <c r="FG266" s="64"/>
      <c r="FH266" s="64"/>
      <c r="FI266" s="64"/>
    </row>
    <row r="267" spans="158:165" ht="15" customHeight="1" x14ac:dyDescent="0.15">
      <c r="FB267" s="63"/>
      <c r="FC267" s="64"/>
      <c r="FD267" s="64"/>
      <c r="FE267" s="64"/>
      <c r="FF267" s="64"/>
      <c r="FG267" s="64"/>
      <c r="FH267" s="64"/>
      <c r="FI267" s="64"/>
    </row>
    <row r="268" spans="158:165" ht="15" customHeight="1" x14ac:dyDescent="0.15">
      <c r="FB268" s="63"/>
      <c r="FC268" s="64"/>
      <c r="FD268" s="64"/>
      <c r="FE268" s="64"/>
      <c r="FF268" s="64"/>
      <c r="FG268" s="64"/>
      <c r="FH268" s="64"/>
      <c r="FI268" s="64"/>
    </row>
    <row r="269" spans="158:165" ht="15" customHeight="1" x14ac:dyDescent="0.15">
      <c r="FB269" s="63"/>
      <c r="FC269" s="64"/>
      <c r="FD269" s="64"/>
      <c r="FE269" s="64"/>
      <c r="FF269" s="64"/>
      <c r="FG269" s="64"/>
      <c r="FH269" s="64"/>
      <c r="FI269" s="64"/>
    </row>
    <row r="270" spans="158:165" ht="15" customHeight="1" x14ac:dyDescent="0.15">
      <c r="FB270" s="63"/>
      <c r="FC270" s="64"/>
      <c r="FD270" s="64"/>
      <c r="FE270" s="64"/>
      <c r="FF270" s="64"/>
      <c r="FG270" s="64"/>
      <c r="FH270" s="64"/>
      <c r="FI270" s="64"/>
    </row>
    <row r="271" spans="158:165" ht="15" customHeight="1" x14ac:dyDescent="0.15">
      <c r="FB271" s="63"/>
      <c r="FC271" s="64"/>
      <c r="FD271" s="64"/>
      <c r="FE271" s="64"/>
      <c r="FF271" s="64"/>
      <c r="FG271" s="64"/>
      <c r="FH271" s="64"/>
      <c r="FI271" s="64"/>
    </row>
    <row r="272" spans="158:165" ht="15" customHeight="1" x14ac:dyDescent="0.15">
      <c r="FB272" s="63"/>
      <c r="FC272" s="64"/>
      <c r="FD272" s="64"/>
      <c r="FE272" s="64"/>
      <c r="FF272" s="64"/>
      <c r="FG272" s="64"/>
      <c r="FH272" s="64"/>
      <c r="FI272" s="64"/>
    </row>
    <row r="273" spans="158:165" ht="15" customHeight="1" x14ac:dyDescent="0.15">
      <c r="FB273" s="63"/>
      <c r="FC273" s="64"/>
      <c r="FD273" s="64"/>
      <c r="FE273" s="64"/>
      <c r="FF273" s="64"/>
      <c r="FG273" s="64"/>
      <c r="FH273" s="64"/>
      <c r="FI273" s="64"/>
    </row>
    <row r="274" spans="158:165" ht="15" customHeight="1" x14ac:dyDescent="0.15">
      <c r="FB274" s="63"/>
      <c r="FC274" s="64"/>
      <c r="FD274" s="64"/>
      <c r="FE274" s="64"/>
      <c r="FF274" s="64"/>
      <c r="FG274" s="64"/>
      <c r="FH274" s="64"/>
      <c r="FI274" s="64"/>
    </row>
    <row r="275" spans="158:165" ht="15" customHeight="1" x14ac:dyDescent="0.15">
      <c r="FB275" s="63"/>
      <c r="FC275" s="64"/>
      <c r="FD275" s="64"/>
      <c r="FE275" s="64"/>
      <c r="FF275" s="64"/>
      <c r="FG275" s="64"/>
      <c r="FH275" s="64"/>
      <c r="FI275" s="64"/>
    </row>
    <row r="276" spans="158:165" ht="15" customHeight="1" x14ac:dyDescent="0.15">
      <c r="FB276" s="63"/>
      <c r="FC276" s="64"/>
      <c r="FD276" s="64"/>
      <c r="FE276" s="64"/>
      <c r="FF276" s="64"/>
      <c r="FG276" s="64"/>
      <c r="FH276" s="64"/>
      <c r="FI276" s="64"/>
    </row>
    <row r="277" spans="158:165" ht="15" customHeight="1" x14ac:dyDescent="0.15">
      <c r="FB277" s="63"/>
      <c r="FC277" s="64"/>
      <c r="FD277" s="64"/>
      <c r="FE277" s="64"/>
      <c r="FF277" s="64"/>
      <c r="FG277" s="64"/>
      <c r="FH277" s="64"/>
      <c r="FI277" s="64"/>
    </row>
    <row r="278" spans="158:165" ht="15" customHeight="1" x14ac:dyDescent="0.15">
      <c r="FB278" s="63"/>
      <c r="FC278" s="64"/>
      <c r="FD278" s="64"/>
      <c r="FE278" s="64"/>
      <c r="FF278" s="64"/>
      <c r="FG278" s="64"/>
      <c r="FH278" s="64"/>
      <c r="FI278" s="64"/>
    </row>
    <row r="279" spans="158:165" ht="15" customHeight="1" x14ac:dyDescent="0.15">
      <c r="FB279" s="63"/>
      <c r="FC279" s="64"/>
      <c r="FD279" s="64"/>
      <c r="FE279" s="64"/>
      <c r="FF279" s="64"/>
      <c r="FG279" s="64"/>
      <c r="FH279" s="64"/>
      <c r="FI279" s="64"/>
    </row>
    <row r="280" spans="158:165" ht="15" customHeight="1" x14ac:dyDescent="0.15">
      <c r="FB280" s="63"/>
      <c r="FC280" s="64"/>
      <c r="FD280" s="64"/>
      <c r="FE280" s="64"/>
      <c r="FF280" s="64"/>
      <c r="FG280" s="64"/>
      <c r="FH280" s="64"/>
      <c r="FI280" s="64"/>
    </row>
    <row r="281" spans="158:165" ht="15" customHeight="1" x14ac:dyDescent="0.15">
      <c r="FB281" s="63"/>
      <c r="FC281" s="64"/>
      <c r="FD281" s="64"/>
      <c r="FE281" s="64"/>
      <c r="FF281" s="64"/>
      <c r="FG281" s="64"/>
      <c r="FH281" s="64"/>
      <c r="FI281" s="64"/>
    </row>
    <row r="282" spans="158:165" ht="15" customHeight="1" x14ac:dyDescent="0.15">
      <c r="FB282" s="63"/>
      <c r="FC282" s="64"/>
      <c r="FD282" s="64"/>
      <c r="FE282" s="64"/>
      <c r="FF282" s="64"/>
      <c r="FG282" s="64"/>
      <c r="FH282" s="64"/>
      <c r="FI282" s="64"/>
    </row>
    <row r="283" spans="158:165" ht="15" customHeight="1" x14ac:dyDescent="0.15">
      <c r="FB283" s="63"/>
      <c r="FC283" s="64"/>
      <c r="FD283" s="64"/>
      <c r="FE283" s="64"/>
      <c r="FF283" s="64"/>
      <c r="FG283" s="64"/>
      <c r="FH283" s="64"/>
      <c r="FI283" s="64"/>
    </row>
    <row r="284" spans="158:165" ht="15" customHeight="1" x14ac:dyDescent="0.15">
      <c r="FB284" s="63"/>
      <c r="FC284" s="64"/>
      <c r="FD284" s="64"/>
      <c r="FE284" s="64"/>
      <c r="FF284" s="64"/>
      <c r="FG284" s="64"/>
      <c r="FH284" s="64"/>
      <c r="FI284" s="64"/>
    </row>
    <row r="285" spans="158:165" ht="15" customHeight="1" x14ac:dyDescent="0.15">
      <c r="FB285" s="63"/>
      <c r="FC285" s="64"/>
      <c r="FD285" s="64"/>
      <c r="FE285" s="64"/>
      <c r="FF285" s="64"/>
      <c r="FG285" s="64"/>
      <c r="FH285" s="64"/>
      <c r="FI285" s="64"/>
    </row>
    <row r="286" spans="158:165" ht="15" customHeight="1" x14ac:dyDescent="0.15">
      <c r="FB286" s="63"/>
      <c r="FC286" s="64"/>
      <c r="FD286" s="64"/>
      <c r="FE286" s="64"/>
      <c r="FF286" s="64"/>
      <c r="FG286" s="64"/>
      <c r="FH286" s="64"/>
      <c r="FI286" s="64"/>
    </row>
    <row r="287" spans="158:165" ht="15" customHeight="1" x14ac:dyDescent="0.15">
      <c r="FB287" s="63"/>
      <c r="FC287" s="64"/>
      <c r="FD287" s="64"/>
      <c r="FE287" s="64"/>
      <c r="FF287" s="64"/>
      <c r="FG287" s="64"/>
      <c r="FH287" s="64"/>
      <c r="FI287" s="64"/>
    </row>
    <row r="288" spans="158:165" ht="15" customHeight="1" x14ac:dyDescent="0.15">
      <c r="FB288" s="63"/>
      <c r="FC288" s="64"/>
      <c r="FD288" s="64"/>
      <c r="FE288" s="64"/>
      <c r="FF288" s="64"/>
      <c r="FG288" s="64"/>
      <c r="FH288" s="64"/>
      <c r="FI288" s="64"/>
    </row>
    <row r="289" spans="158:165" ht="15" customHeight="1" x14ac:dyDescent="0.15">
      <c r="FB289" s="63"/>
      <c r="FC289" s="64"/>
      <c r="FD289" s="64"/>
      <c r="FE289" s="64"/>
      <c r="FF289" s="64"/>
      <c r="FG289" s="64"/>
      <c r="FH289" s="64"/>
      <c r="FI289" s="64"/>
    </row>
    <row r="290" spans="158:165" ht="15" customHeight="1" x14ac:dyDescent="0.15">
      <c r="FB290" s="63"/>
      <c r="FC290" s="64"/>
      <c r="FD290" s="64"/>
      <c r="FE290" s="64"/>
      <c r="FF290" s="64"/>
      <c r="FG290" s="64"/>
      <c r="FH290" s="64"/>
      <c r="FI290" s="64"/>
    </row>
    <row r="291" spans="158:165" ht="15" customHeight="1" x14ac:dyDescent="0.15">
      <c r="FB291" s="63"/>
      <c r="FC291" s="64"/>
      <c r="FD291" s="64"/>
      <c r="FE291" s="64"/>
      <c r="FF291" s="64"/>
      <c r="FG291" s="64"/>
      <c r="FH291" s="64"/>
      <c r="FI291" s="64"/>
    </row>
    <row r="292" spans="158:165" ht="15" customHeight="1" x14ac:dyDescent="0.15">
      <c r="FB292" s="63"/>
      <c r="FC292" s="64"/>
      <c r="FD292" s="64"/>
      <c r="FE292" s="64"/>
      <c r="FF292" s="64"/>
      <c r="FG292" s="64"/>
      <c r="FH292" s="64"/>
      <c r="FI292" s="64"/>
    </row>
    <row r="293" spans="158:165" ht="15" customHeight="1" x14ac:dyDescent="0.15">
      <c r="FB293" s="63"/>
      <c r="FC293" s="64"/>
      <c r="FD293" s="64"/>
      <c r="FE293" s="64"/>
      <c r="FF293" s="64"/>
      <c r="FG293" s="64"/>
      <c r="FH293" s="64"/>
      <c r="FI293" s="64"/>
    </row>
    <row r="294" spans="158:165" ht="15" customHeight="1" x14ac:dyDescent="0.15">
      <c r="FB294" s="63"/>
      <c r="FC294" s="64"/>
      <c r="FD294" s="64"/>
      <c r="FE294" s="64"/>
      <c r="FF294" s="64"/>
      <c r="FG294" s="64"/>
      <c r="FH294" s="64"/>
      <c r="FI294" s="64"/>
    </row>
    <row r="295" spans="158:165" ht="15" customHeight="1" x14ac:dyDescent="0.15">
      <c r="FB295" s="63"/>
      <c r="FC295" s="64"/>
      <c r="FD295" s="64"/>
      <c r="FE295" s="64"/>
      <c r="FF295" s="64"/>
      <c r="FG295" s="64"/>
      <c r="FH295" s="64"/>
      <c r="FI295" s="64"/>
    </row>
    <row r="296" spans="158:165" ht="15" customHeight="1" x14ac:dyDescent="0.15">
      <c r="FB296" s="63"/>
      <c r="FC296" s="64"/>
      <c r="FD296" s="64"/>
      <c r="FE296" s="64"/>
      <c r="FF296" s="64"/>
      <c r="FG296" s="64"/>
      <c r="FH296" s="64"/>
      <c r="FI296" s="64"/>
    </row>
    <row r="297" spans="158:165" ht="15" customHeight="1" x14ac:dyDescent="0.15">
      <c r="FB297" s="63"/>
      <c r="FC297" s="64"/>
      <c r="FD297" s="64"/>
      <c r="FE297" s="64"/>
      <c r="FF297" s="64"/>
      <c r="FG297" s="64"/>
      <c r="FH297" s="64"/>
      <c r="FI297" s="64"/>
    </row>
    <row r="298" spans="158:165" ht="15" customHeight="1" x14ac:dyDescent="0.15">
      <c r="FB298" s="63"/>
      <c r="FC298" s="64"/>
      <c r="FD298" s="64"/>
      <c r="FE298" s="64"/>
      <c r="FF298" s="64"/>
      <c r="FG298" s="64"/>
      <c r="FH298" s="64"/>
      <c r="FI298" s="64"/>
    </row>
    <row r="299" spans="158:165" ht="15" customHeight="1" x14ac:dyDescent="0.15">
      <c r="FB299" s="63"/>
      <c r="FC299" s="64"/>
      <c r="FD299" s="64"/>
      <c r="FE299" s="64"/>
      <c r="FF299" s="64"/>
      <c r="FG299" s="64"/>
      <c r="FH299" s="64"/>
      <c r="FI299" s="64"/>
    </row>
    <row r="300" spans="158:165" ht="15" customHeight="1" x14ac:dyDescent="0.15">
      <c r="FB300" s="63"/>
      <c r="FC300" s="64"/>
      <c r="FD300" s="64"/>
      <c r="FE300" s="64"/>
      <c r="FF300" s="64"/>
      <c r="FG300" s="64"/>
      <c r="FH300" s="64"/>
      <c r="FI300" s="64"/>
    </row>
    <row r="301" spans="158:165" ht="15" customHeight="1" x14ac:dyDescent="0.15">
      <c r="FB301" s="63"/>
      <c r="FC301" s="64"/>
      <c r="FD301" s="64"/>
      <c r="FE301" s="64"/>
      <c r="FF301" s="64"/>
      <c r="FG301" s="64"/>
      <c r="FH301" s="64"/>
      <c r="FI301" s="64"/>
    </row>
    <row r="302" spans="158:165" ht="15" customHeight="1" x14ac:dyDescent="0.15">
      <c r="FB302" s="63"/>
      <c r="FC302" s="64"/>
      <c r="FD302" s="64"/>
      <c r="FE302" s="64"/>
      <c r="FF302" s="64"/>
      <c r="FG302" s="64"/>
      <c r="FH302" s="64"/>
      <c r="FI302" s="64"/>
    </row>
    <row r="303" spans="158:165" ht="15" customHeight="1" x14ac:dyDescent="0.15">
      <c r="FB303" s="63"/>
      <c r="FC303" s="64"/>
      <c r="FD303" s="64"/>
      <c r="FE303" s="64"/>
      <c r="FF303" s="64"/>
      <c r="FG303" s="64"/>
      <c r="FH303" s="64"/>
      <c r="FI303" s="64"/>
    </row>
    <row r="304" spans="158:165" ht="15" customHeight="1" x14ac:dyDescent="0.15">
      <c r="FB304" s="63"/>
      <c r="FC304" s="64"/>
      <c r="FD304" s="64"/>
      <c r="FE304" s="64"/>
      <c r="FF304" s="64"/>
      <c r="FG304" s="64"/>
      <c r="FH304" s="64"/>
      <c r="FI304" s="64"/>
    </row>
    <row r="305" spans="158:165" ht="15" customHeight="1" x14ac:dyDescent="0.15">
      <c r="FB305" s="63"/>
      <c r="FC305" s="64"/>
      <c r="FD305" s="64"/>
      <c r="FE305" s="64"/>
      <c r="FF305" s="64"/>
      <c r="FG305" s="64"/>
      <c r="FH305" s="64"/>
      <c r="FI305" s="64"/>
    </row>
    <row r="306" spans="158:165" ht="15" customHeight="1" x14ac:dyDescent="0.15">
      <c r="FB306" s="63"/>
      <c r="FC306" s="64"/>
      <c r="FD306" s="64"/>
      <c r="FE306" s="64"/>
      <c r="FF306" s="64"/>
      <c r="FG306" s="64"/>
      <c r="FH306" s="64"/>
      <c r="FI306" s="64"/>
    </row>
    <row r="307" spans="158:165" ht="15" customHeight="1" x14ac:dyDescent="0.15">
      <c r="FB307" s="63"/>
      <c r="FC307" s="64"/>
      <c r="FD307" s="64"/>
      <c r="FE307" s="64"/>
      <c r="FF307" s="64"/>
      <c r="FG307" s="64"/>
      <c r="FH307" s="64"/>
      <c r="FI307" s="64"/>
    </row>
    <row r="308" spans="158:165" ht="15" customHeight="1" x14ac:dyDescent="0.15">
      <c r="FB308" s="63"/>
      <c r="FC308" s="64"/>
      <c r="FD308" s="64"/>
      <c r="FE308" s="64"/>
      <c r="FF308" s="64"/>
      <c r="FG308" s="64"/>
      <c r="FH308" s="64"/>
      <c r="FI308" s="64"/>
    </row>
    <row r="309" spans="158:165" ht="15" customHeight="1" x14ac:dyDescent="0.15">
      <c r="FB309" s="63"/>
      <c r="FC309" s="64"/>
      <c r="FD309" s="64"/>
      <c r="FE309" s="64"/>
      <c r="FF309" s="64"/>
      <c r="FG309" s="64"/>
      <c r="FH309" s="64"/>
      <c r="FI309" s="64"/>
    </row>
    <row r="310" spans="158:165" ht="15" customHeight="1" x14ac:dyDescent="0.15">
      <c r="FB310" s="63"/>
      <c r="FC310" s="64"/>
      <c r="FD310" s="64"/>
      <c r="FE310" s="64"/>
      <c r="FF310" s="64"/>
      <c r="FG310" s="64"/>
      <c r="FH310" s="64"/>
      <c r="FI310" s="64"/>
    </row>
    <row r="311" spans="158:165" ht="15" customHeight="1" x14ac:dyDescent="0.15">
      <c r="FB311" s="63"/>
      <c r="FC311" s="64"/>
      <c r="FD311" s="64"/>
      <c r="FE311" s="64"/>
      <c r="FF311" s="64"/>
      <c r="FG311" s="64"/>
      <c r="FH311" s="64"/>
      <c r="FI311" s="64"/>
    </row>
    <row r="312" spans="158:165" ht="15" customHeight="1" x14ac:dyDescent="0.15">
      <c r="FB312" s="63"/>
      <c r="FC312" s="64"/>
      <c r="FD312" s="64"/>
      <c r="FE312" s="64"/>
      <c r="FF312" s="64"/>
      <c r="FG312" s="64"/>
      <c r="FH312" s="64"/>
      <c r="FI312" s="64"/>
    </row>
    <row r="313" spans="158:165" ht="15" customHeight="1" x14ac:dyDescent="0.15">
      <c r="FB313" s="63"/>
      <c r="FC313" s="64"/>
      <c r="FD313" s="64"/>
      <c r="FE313" s="64"/>
      <c r="FF313" s="64"/>
      <c r="FG313" s="64"/>
      <c r="FH313" s="64"/>
      <c r="FI313" s="64"/>
    </row>
    <row r="314" spans="158:165" ht="15" customHeight="1" x14ac:dyDescent="0.15">
      <c r="FB314" s="63"/>
      <c r="FC314" s="64"/>
      <c r="FD314" s="64"/>
      <c r="FE314" s="64"/>
      <c r="FF314" s="64"/>
      <c r="FG314" s="64"/>
      <c r="FH314" s="64"/>
      <c r="FI314" s="64"/>
    </row>
    <row r="315" spans="158:165" ht="15" customHeight="1" x14ac:dyDescent="0.15">
      <c r="FB315" s="63"/>
      <c r="FC315" s="64"/>
      <c r="FD315" s="64"/>
      <c r="FE315" s="64"/>
      <c r="FF315" s="64"/>
      <c r="FG315" s="64"/>
      <c r="FH315" s="64"/>
      <c r="FI315" s="64"/>
    </row>
    <row r="316" spans="158:165" ht="15" customHeight="1" x14ac:dyDescent="0.15">
      <c r="FB316" s="63"/>
      <c r="FC316" s="64"/>
      <c r="FD316" s="64"/>
      <c r="FE316" s="64"/>
      <c r="FF316" s="64"/>
      <c r="FG316" s="64"/>
      <c r="FH316" s="64"/>
      <c r="FI316" s="64"/>
    </row>
    <row r="317" spans="158:165" ht="15" customHeight="1" x14ac:dyDescent="0.15">
      <c r="FB317" s="63"/>
      <c r="FC317" s="64"/>
      <c r="FD317" s="64"/>
      <c r="FE317" s="64"/>
      <c r="FF317" s="64"/>
      <c r="FG317" s="64"/>
      <c r="FH317" s="64"/>
      <c r="FI317" s="64"/>
    </row>
    <row r="318" spans="158:165" ht="15" customHeight="1" x14ac:dyDescent="0.15">
      <c r="FB318" s="63"/>
      <c r="FC318" s="64"/>
      <c r="FD318" s="64"/>
      <c r="FE318" s="64"/>
      <c r="FF318" s="64"/>
      <c r="FG318" s="64"/>
      <c r="FH318" s="64"/>
      <c r="FI318" s="64"/>
    </row>
    <row r="319" spans="158:165" ht="15" customHeight="1" x14ac:dyDescent="0.15">
      <c r="FB319" s="63"/>
      <c r="FC319" s="64"/>
      <c r="FD319" s="64"/>
      <c r="FE319" s="64"/>
      <c r="FF319" s="64"/>
      <c r="FG319" s="64"/>
      <c r="FH319" s="64"/>
      <c r="FI319" s="64"/>
    </row>
    <row r="320" spans="158:165" ht="15" customHeight="1" x14ac:dyDescent="0.15">
      <c r="FB320" s="63"/>
      <c r="FC320" s="64"/>
      <c r="FD320" s="64"/>
      <c r="FE320" s="64"/>
      <c r="FF320" s="64"/>
      <c r="FG320" s="64"/>
      <c r="FH320" s="64"/>
      <c r="FI320" s="64"/>
    </row>
    <row r="321" spans="158:165" ht="15" customHeight="1" x14ac:dyDescent="0.15">
      <c r="FB321" s="63"/>
      <c r="FC321" s="64"/>
      <c r="FD321" s="64"/>
      <c r="FE321" s="64"/>
      <c r="FF321" s="64"/>
      <c r="FG321" s="64"/>
      <c r="FH321" s="64"/>
      <c r="FI321" s="64"/>
    </row>
    <row r="322" spans="158:165" ht="15" customHeight="1" x14ac:dyDescent="0.15">
      <c r="FB322" s="63"/>
      <c r="FC322" s="64"/>
      <c r="FD322" s="64"/>
      <c r="FE322" s="64"/>
      <c r="FF322" s="64"/>
      <c r="FG322" s="64"/>
      <c r="FH322" s="64"/>
      <c r="FI322" s="64"/>
    </row>
    <row r="323" spans="158:165" ht="15" customHeight="1" x14ac:dyDescent="0.15">
      <c r="FB323" s="63"/>
      <c r="FC323" s="64"/>
      <c r="FD323" s="64"/>
      <c r="FE323" s="64"/>
      <c r="FF323" s="64"/>
      <c r="FG323" s="64"/>
      <c r="FH323" s="64"/>
      <c r="FI323" s="64"/>
    </row>
    <row r="324" spans="158:165" ht="15" customHeight="1" x14ac:dyDescent="0.15">
      <c r="FB324" s="63"/>
      <c r="FC324" s="64"/>
      <c r="FD324" s="64"/>
      <c r="FE324" s="64"/>
      <c r="FF324" s="64"/>
      <c r="FG324" s="64"/>
      <c r="FH324" s="64"/>
      <c r="FI324" s="64"/>
    </row>
    <row r="325" spans="158:165" ht="15" customHeight="1" x14ac:dyDescent="0.15">
      <c r="FB325" s="63"/>
      <c r="FC325" s="64"/>
      <c r="FD325" s="64"/>
      <c r="FE325" s="64"/>
      <c r="FF325" s="64"/>
      <c r="FG325" s="64"/>
      <c r="FH325" s="64"/>
      <c r="FI325" s="64"/>
    </row>
    <row r="326" spans="158:165" ht="15" customHeight="1" x14ac:dyDescent="0.15">
      <c r="FB326" s="63"/>
      <c r="FC326" s="64"/>
      <c r="FD326" s="64"/>
      <c r="FE326" s="64"/>
      <c r="FF326" s="64"/>
      <c r="FG326" s="64"/>
      <c r="FH326" s="64"/>
      <c r="FI326" s="64"/>
    </row>
    <row r="327" spans="158:165" ht="15" customHeight="1" x14ac:dyDescent="0.15">
      <c r="FB327" s="63"/>
      <c r="FC327" s="64"/>
      <c r="FD327" s="64"/>
      <c r="FE327" s="64"/>
      <c r="FF327" s="64"/>
      <c r="FG327" s="64"/>
      <c r="FH327" s="64"/>
      <c r="FI327" s="64"/>
    </row>
    <row r="328" spans="158:165" ht="15" customHeight="1" x14ac:dyDescent="0.15">
      <c r="FB328" s="63"/>
      <c r="FC328" s="64"/>
      <c r="FD328" s="64"/>
      <c r="FE328" s="64"/>
      <c r="FF328" s="64"/>
      <c r="FG328" s="64"/>
      <c r="FH328" s="64"/>
      <c r="FI328" s="64"/>
    </row>
    <row r="329" spans="158:165" ht="15" customHeight="1" x14ac:dyDescent="0.15">
      <c r="FB329" s="63"/>
      <c r="FC329" s="64"/>
      <c r="FD329" s="64"/>
      <c r="FE329" s="64"/>
      <c r="FF329" s="64"/>
      <c r="FG329" s="64"/>
      <c r="FH329" s="64"/>
      <c r="FI329" s="64"/>
    </row>
    <row r="330" spans="158:165" ht="15" customHeight="1" x14ac:dyDescent="0.15">
      <c r="FB330" s="63"/>
      <c r="FC330" s="64"/>
      <c r="FD330" s="64"/>
      <c r="FE330" s="64"/>
      <c r="FF330" s="64"/>
      <c r="FG330" s="64"/>
      <c r="FH330" s="64"/>
      <c r="FI330" s="64"/>
    </row>
    <row r="331" spans="158:165" ht="15" customHeight="1" x14ac:dyDescent="0.15">
      <c r="FB331" s="63"/>
      <c r="FC331" s="64"/>
      <c r="FD331" s="64"/>
      <c r="FE331" s="64"/>
      <c r="FF331" s="64"/>
      <c r="FG331" s="64"/>
      <c r="FH331" s="64"/>
      <c r="FI331" s="64"/>
    </row>
    <row r="332" spans="158:165" ht="15" customHeight="1" x14ac:dyDescent="0.15">
      <c r="FB332" s="63"/>
      <c r="FC332" s="64"/>
      <c r="FD332" s="64"/>
      <c r="FE332" s="64"/>
      <c r="FF332" s="64"/>
      <c r="FG332" s="64"/>
      <c r="FH332" s="64"/>
      <c r="FI332" s="64"/>
    </row>
    <row r="333" spans="158:165" ht="15" customHeight="1" x14ac:dyDescent="0.15">
      <c r="FB333" s="63"/>
      <c r="FC333" s="64"/>
      <c r="FD333" s="64"/>
      <c r="FE333" s="64"/>
      <c r="FF333" s="64"/>
      <c r="FG333" s="64"/>
      <c r="FH333" s="64"/>
      <c r="FI333" s="64"/>
    </row>
    <row r="334" spans="158:165" ht="15" customHeight="1" x14ac:dyDescent="0.15">
      <c r="FB334" s="63"/>
      <c r="FC334" s="64"/>
      <c r="FD334" s="64"/>
      <c r="FE334" s="64"/>
      <c r="FF334" s="64"/>
      <c r="FG334" s="64"/>
      <c r="FH334" s="64"/>
      <c r="FI334" s="64"/>
    </row>
    <row r="335" spans="158:165" ht="15" customHeight="1" x14ac:dyDescent="0.15">
      <c r="FB335" s="63"/>
      <c r="FC335" s="64"/>
      <c r="FD335" s="64"/>
      <c r="FE335" s="64"/>
      <c r="FF335" s="64"/>
      <c r="FG335" s="64"/>
      <c r="FH335" s="64"/>
      <c r="FI335" s="64"/>
    </row>
    <row r="336" spans="158:165" ht="15" customHeight="1" x14ac:dyDescent="0.15">
      <c r="FB336" s="63"/>
      <c r="FC336" s="64"/>
      <c r="FD336" s="64"/>
      <c r="FE336" s="64"/>
      <c r="FF336" s="64"/>
      <c r="FG336" s="64"/>
      <c r="FH336" s="64"/>
      <c r="FI336" s="64"/>
    </row>
    <row r="337" spans="158:165" ht="15" customHeight="1" x14ac:dyDescent="0.15">
      <c r="FB337" s="63"/>
      <c r="FC337" s="64"/>
      <c r="FD337" s="64"/>
      <c r="FE337" s="64"/>
      <c r="FF337" s="64"/>
      <c r="FG337" s="64"/>
      <c r="FH337" s="64"/>
      <c r="FI337" s="64"/>
    </row>
    <row r="338" spans="158:165" ht="15" customHeight="1" x14ac:dyDescent="0.15">
      <c r="FB338" s="63"/>
      <c r="FC338" s="64"/>
      <c r="FD338" s="64"/>
      <c r="FE338" s="64"/>
      <c r="FF338" s="64"/>
      <c r="FG338" s="64"/>
      <c r="FH338" s="64"/>
      <c r="FI338" s="64"/>
    </row>
    <row r="339" spans="158:165" ht="15" customHeight="1" x14ac:dyDescent="0.15">
      <c r="FB339" s="63"/>
      <c r="FC339" s="64"/>
      <c r="FD339" s="64"/>
      <c r="FE339" s="64"/>
      <c r="FF339" s="64"/>
      <c r="FG339" s="64"/>
      <c r="FH339" s="64"/>
      <c r="FI339" s="64"/>
    </row>
    <row r="340" spans="158:165" ht="15" customHeight="1" x14ac:dyDescent="0.15">
      <c r="FB340" s="63"/>
      <c r="FC340" s="64"/>
      <c r="FD340" s="64"/>
      <c r="FE340" s="64"/>
      <c r="FF340" s="64"/>
      <c r="FG340" s="64"/>
      <c r="FH340" s="64"/>
      <c r="FI340" s="64"/>
    </row>
    <row r="341" spans="158:165" ht="15" customHeight="1" x14ac:dyDescent="0.15">
      <c r="FB341" s="63"/>
      <c r="FC341" s="64"/>
      <c r="FD341" s="64"/>
      <c r="FE341" s="64"/>
      <c r="FF341" s="64"/>
      <c r="FG341" s="64"/>
      <c r="FH341" s="64"/>
      <c r="FI341" s="64"/>
    </row>
    <row r="342" spans="158:165" ht="15" customHeight="1" x14ac:dyDescent="0.15">
      <c r="FB342" s="63"/>
      <c r="FC342" s="64"/>
      <c r="FD342" s="64"/>
      <c r="FE342" s="64"/>
      <c r="FF342" s="64"/>
      <c r="FG342" s="64"/>
      <c r="FH342" s="64"/>
      <c r="FI342" s="64"/>
    </row>
    <row r="400" spans="158:165" ht="15" customHeight="1" x14ac:dyDescent="0.15">
      <c r="FB400" s="62" t="s">
        <v>63</v>
      </c>
      <c r="FC400" s="62" t="s">
        <v>64</v>
      </c>
      <c r="FD400" s="62" t="s">
        <v>65</v>
      </c>
      <c r="FE400" s="62" t="s">
        <v>66</v>
      </c>
      <c r="FF400" s="62" t="s">
        <v>18</v>
      </c>
      <c r="FG400" s="62" t="s">
        <v>69</v>
      </c>
      <c r="FH400" s="62" t="s">
        <v>67</v>
      </c>
      <c r="FI400" s="62" t="s">
        <v>68</v>
      </c>
    </row>
    <row r="401" spans="158:165" ht="15" customHeight="1" x14ac:dyDescent="0.15">
      <c r="FB401" s="63"/>
      <c r="FC401" s="64"/>
      <c r="FD401" s="64"/>
      <c r="FE401" s="64"/>
      <c r="FF401" s="64"/>
      <c r="FG401" s="64"/>
      <c r="FH401" s="64"/>
      <c r="FI401" s="64"/>
    </row>
    <row r="402" spans="158:165" ht="15" customHeight="1" x14ac:dyDescent="0.15">
      <c r="FB402" s="63"/>
      <c r="FC402" s="64"/>
      <c r="FD402" s="64"/>
      <c r="FE402" s="64"/>
      <c r="FF402" s="64"/>
      <c r="FG402" s="64"/>
      <c r="FH402" s="64"/>
      <c r="FI402" s="64"/>
    </row>
    <row r="403" spans="158:165" ht="15" customHeight="1" x14ac:dyDescent="0.15">
      <c r="FB403" s="63"/>
      <c r="FC403" s="64"/>
      <c r="FD403" s="64"/>
      <c r="FE403" s="64"/>
      <c r="FF403" s="64"/>
      <c r="FG403" s="64"/>
      <c r="FH403" s="64"/>
      <c r="FI403" s="64"/>
    </row>
    <row r="404" spans="158:165" ht="15" customHeight="1" x14ac:dyDescent="0.15">
      <c r="FB404" s="63"/>
      <c r="FC404" s="64"/>
      <c r="FD404" s="64"/>
      <c r="FE404" s="64"/>
      <c r="FF404" s="64"/>
      <c r="FG404" s="64"/>
      <c r="FH404" s="64"/>
      <c r="FI404" s="64"/>
    </row>
    <row r="405" spans="158:165" ht="15" customHeight="1" x14ac:dyDescent="0.15">
      <c r="FB405" s="63"/>
      <c r="FC405" s="64"/>
      <c r="FD405" s="64"/>
      <c r="FE405" s="64"/>
      <c r="FF405" s="64"/>
      <c r="FG405" s="64"/>
      <c r="FH405" s="64"/>
      <c r="FI405" s="64"/>
    </row>
    <row r="406" spans="158:165" ht="15" customHeight="1" x14ac:dyDescent="0.15">
      <c r="FB406" s="63"/>
      <c r="FC406" s="64"/>
      <c r="FD406" s="64"/>
      <c r="FE406" s="64"/>
      <c r="FF406" s="64"/>
      <c r="FG406" s="64"/>
      <c r="FH406" s="64"/>
      <c r="FI406" s="64"/>
    </row>
    <row r="407" spans="158:165" ht="15" customHeight="1" x14ac:dyDescent="0.15">
      <c r="FB407" s="63"/>
      <c r="FC407" s="64"/>
      <c r="FD407" s="64"/>
      <c r="FE407" s="64"/>
      <c r="FF407" s="64"/>
      <c r="FG407" s="64"/>
      <c r="FH407" s="64"/>
      <c r="FI407" s="64"/>
    </row>
    <row r="408" spans="158:165" ht="15" customHeight="1" x14ac:dyDescent="0.15">
      <c r="FB408" s="63"/>
      <c r="FC408" s="64"/>
      <c r="FD408" s="64"/>
      <c r="FE408" s="64"/>
      <c r="FF408" s="64"/>
      <c r="FG408" s="64"/>
      <c r="FH408" s="64"/>
      <c r="FI408" s="64"/>
    </row>
    <row r="409" spans="158:165" ht="15" customHeight="1" x14ac:dyDescent="0.15">
      <c r="FB409" s="63"/>
      <c r="FC409" s="64"/>
      <c r="FD409" s="64"/>
      <c r="FE409" s="64"/>
      <c r="FF409" s="64"/>
      <c r="FG409" s="64"/>
      <c r="FH409" s="64"/>
      <c r="FI409" s="64"/>
    </row>
    <row r="410" spans="158:165" ht="15" customHeight="1" x14ac:dyDescent="0.15">
      <c r="FB410" s="63"/>
      <c r="FC410" s="64"/>
      <c r="FD410" s="64"/>
      <c r="FE410" s="64"/>
      <c r="FF410" s="64"/>
      <c r="FG410" s="64"/>
      <c r="FH410" s="64"/>
      <c r="FI410" s="64"/>
    </row>
    <row r="411" spans="158:165" ht="15" customHeight="1" x14ac:dyDescent="0.15">
      <c r="FB411" s="63"/>
      <c r="FC411" s="64"/>
      <c r="FD411" s="64"/>
      <c r="FE411" s="64"/>
      <c r="FF411" s="64"/>
      <c r="FG411" s="64"/>
      <c r="FH411" s="64"/>
      <c r="FI411" s="64"/>
    </row>
    <row r="412" spans="158:165" ht="15" customHeight="1" x14ac:dyDescent="0.15">
      <c r="FB412" s="63"/>
      <c r="FC412" s="64"/>
      <c r="FD412" s="64"/>
      <c r="FE412" s="64"/>
      <c r="FF412" s="64"/>
      <c r="FG412" s="64"/>
      <c r="FH412" s="64"/>
      <c r="FI412" s="64"/>
    </row>
    <row r="413" spans="158:165" ht="15" customHeight="1" x14ac:dyDescent="0.15">
      <c r="FB413" s="63"/>
      <c r="FC413" s="64"/>
      <c r="FD413" s="64"/>
      <c r="FE413" s="64"/>
      <c r="FF413" s="64"/>
      <c r="FG413" s="64"/>
      <c r="FH413" s="64"/>
      <c r="FI413" s="64"/>
    </row>
    <row r="414" spans="158:165" ht="15" customHeight="1" x14ac:dyDescent="0.15">
      <c r="FB414" s="63"/>
      <c r="FC414" s="64"/>
      <c r="FD414" s="64"/>
      <c r="FE414" s="64"/>
      <c r="FF414" s="64"/>
      <c r="FG414" s="64"/>
      <c r="FH414" s="64"/>
      <c r="FI414" s="64"/>
    </row>
    <row r="415" spans="158:165" ht="15" customHeight="1" x14ac:dyDescent="0.15">
      <c r="FB415" s="63"/>
      <c r="FC415" s="64"/>
      <c r="FD415" s="64"/>
      <c r="FE415" s="64"/>
      <c r="FF415" s="64"/>
      <c r="FG415" s="64"/>
      <c r="FH415" s="64"/>
      <c r="FI415" s="64"/>
    </row>
    <row r="416" spans="158:165" ht="15" customHeight="1" x14ac:dyDescent="0.15">
      <c r="FB416" s="63"/>
      <c r="FC416" s="64"/>
      <c r="FD416" s="64"/>
      <c r="FE416" s="64"/>
      <c r="FF416" s="64"/>
      <c r="FG416" s="64"/>
      <c r="FH416" s="64"/>
      <c r="FI416" s="64"/>
    </row>
    <row r="417" spans="158:165" ht="15" customHeight="1" x14ac:dyDescent="0.15">
      <c r="FB417" s="63"/>
      <c r="FC417" s="64"/>
      <c r="FD417" s="64"/>
      <c r="FE417" s="64"/>
      <c r="FF417" s="64"/>
      <c r="FG417" s="64"/>
      <c r="FH417" s="64"/>
      <c r="FI417" s="64"/>
    </row>
    <row r="418" spans="158:165" ht="15" customHeight="1" x14ac:dyDescent="0.15">
      <c r="FB418" s="63"/>
      <c r="FC418" s="64"/>
      <c r="FD418" s="64"/>
      <c r="FE418" s="64"/>
      <c r="FF418" s="64"/>
      <c r="FG418" s="64"/>
      <c r="FH418" s="64"/>
      <c r="FI418" s="64"/>
    </row>
    <row r="419" spans="158:165" ht="15" customHeight="1" x14ac:dyDescent="0.15">
      <c r="FB419" s="63"/>
      <c r="FC419" s="64"/>
      <c r="FD419" s="64"/>
      <c r="FE419" s="64"/>
      <c r="FF419" s="64"/>
      <c r="FG419" s="64"/>
      <c r="FH419" s="64"/>
      <c r="FI419" s="64"/>
    </row>
    <row r="420" spans="158:165" ht="15" customHeight="1" x14ac:dyDescent="0.15">
      <c r="FB420" s="63"/>
      <c r="FC420" s="64"/>
      <c r="FD420" s="64"/>
      <c r="FE420" s="64"/>
      <c r="FF420" s="64"/>
      <c r="FG420" s="64"/>
      <c r="FH420" s="64"/>
      <c r="FI420" s="64"/>
    </row>
    <row r="421" spans="158:165" ht="15" customHeight="1" x14ac:dyDescent="0.15">
      <c r="FB421" s="63"/>
      <c r="FC421" s="64"/>
      <c r="FD421" s="64"/>
      <c r="FE421" s="64"/>
      <c r="FF421" s="64"/>
      <c r="FG421" s="64"/>
      <c r="FH421" s="64"/>
      <c r="FI421" s="64"/>
    </row>
    <row r="422" spans="158:165" ht="15" customHeight="1" x14ac:dyDescent="0.15">
      <c r="FB422" s="63"/>
      <c r="FC422" s="64"/>
      <c r="FD422" s="64"/>
      <c r="FE422" s="64"/>
      <c r="FF422" s="64"/>
      <c r="FG422" s="64"/>
      <c r="FH422" s="64"/>
      <c r="FI422" s="64"/>
    </row>
    <row r="423" spans="158:165" ht="15" customHeight="1" x14ac:dyDescent="0.15">
      <c r="FB423" s="63"/>
      <c r="FC423" s="64"/>
      <c r="FD423" s="64"/>
      <c r="FE423" s="64"/>
      <c r="FF423" s="64"/>
      <c r="FG423" s="64"/>
      <c r="FH423" s="64"/>
      <c r="FI423" s="64"/>
    </row>
    <row r="424" spans="158:165" ht="15" customHeight="1" x14ac:dyDescent="0.15">
      <c r="FB424" s="63"/>
      <c r="FC424" s="64"/>
      <c r="FD424" s="64"/>
      <c r="FE424" s="64"/>
      <c r="FF424" s="64"/>
      <c r="FG424" s="64"/>
      <c r="FH424" s="64"/>
      <c r="FI424" s="64"/>
    </row>
    <row r="425" spans="158:165" ht="15" customHeight="1" x14ac:dyDescent="0.15">
      <c r="FB425" s="63"/>
      <c r="FC425" s="64"/>
      <c r="FD425" s="64"/>
      <c r="FE425" s="64"/>
      <c r="FF425" s="64"/>
      <c r="FG425" s="64"/>
      <c r="FH425" s="64"/>
      <c r="FI425" s="64"/>
    </row>
    <row r="426" spans="158:165" ht="15" customHeight="1" x14ac:dyDescent="0.15">
      <c r="FB426" s="63"/>
      <c r="FC426" s="64"/>
      <c r="FD426" s="64"/>
      <c r="FE426" s="64"/>
      <c r="FF426" s="64"/>
      <c r="FG426" s="64"/>
      <c r="FH426" s="64"/>
      <c r="FI426" s="64"/>
    </row>
    <row r="427" spans="158:165" ht="15" customHeight="1" x14ac:dyDescent="0.15">
      <c r="FB427" s="63"/>
      <c r="FC427" s="64"/>
      <c r="FD427" s="64"/>
      <c r="FE427" s="64"/>
      <c r="FF427" s="64"/>
      <c r="FG427" s="64"/>
      <c r="FH427" s="64"/>
      <c r="FI427" s="64"/>
    </row>
    <row r="428" spans="158:165" ht="15" customHeight="1" x14ac:dyDescent="0.15">
      <c r="FB428" s="63"/>
      <c r="FC428" s="64"/>
      <c r="FD428" s="64"/>
      <c r="FE428" s="64"/>
      <c r="FF428" s="64"/>
      <c r="FG428" s="64"/>
      <c r="FH428" s="64"/>
      <c r="FI428" s="64"/>
    </row>
    <row r="429" spans="158:165" ht="15" customHeight="1" x14ac:dyDescent="0.15">
      <c r="FB429" s="63"/>
      <c r="FC429" s="64"/>
      <c r="FD429" s="64"/>
      <c r="FE429" s="64"/>
      <c r="FF429" s="64"/>
      <c r="FG429" s="64"/>
      <c r="FH429" s="64"/>
      <c r="FI429" s="64"/>
    </row>
    <row r="430" spans="158:165" ht="15" customHeight="1" x14ac:dyDescent="0.15">
      <c r="FB430" s="63"/>
      <c r="FC430" s="64"/>
      <c r="FD430" s="64"/>
      <c r="FE430" s="64"/>
      <c r="FF430" s="64"/>
      <c r="FG430" s="64"/>
      <c r="FH430" s="64"/>
      <c r="FI430" s="64"/>
    </row>
    <row r="431" spans="158:165" ht="15" customHeight="1" x14ac:dyDescent="0.15">
      <c r="FB431" s="63"/>
      <c r="FC431" s="64"/>
      <c r="FD431" s="64"/>
      <c r="FE431" s="64"/>
      <c r="FF431" s="64"/>
      <c r="FG431" s="64"/>
      <c r="FH431" s="64"/>
      <c r="FI431" s="64"/>
    </row>
    <row r="432" spans="158:165" ht="15" customHeight="1" x14ac:dyDescent="0.15">
      <c r="FB432" s="63"/>
      <c r="FC432" s="64"/>
      <c r="FD432" s="64"/>
      <c r="FE432" s="64"/>
      <c r="FF432" s="64"/>
      <c r="FG432" s="64"/>
      <c r="FH432" s="64"/>
      <c r="FI432" s="64"/>
    </row>
    <row r="433" spans="158:165" ht="15" customHeight="1" x14ac:dyDescent="0.15">
      <c r="FB433" s="63"/>
      <c r="FC433" s="64"/>
      <c r="FD433" s="64"/>
      <c r="FE433" s="64"/>
      <c r="FF433" s="64"/>
      <c r="FG433" s="64"/>
      <c r="FH433" s="64"/>
      <c r="FI433" s="64"/>
    </row>
    <row r="434" spans="158:165" ht="15" customHeight="1" x14ac:dyDescent="0.15">
      <c r="FB434" s="63"/>
      <c r="FC434" s="64"/>
      <c r="FD434" s="64"/>
      <c r="FE434" s="64"/>
      <c r="FF434" s="64"/>
      <c r="FG434" s="64"/>
      <c r="FH434" s="64"/>
      <c r="FI434" s="64"/>
    </row>
    <row r="435" spans="158:165" ht="15" customHeight="1" x14ac:dyDescent="0.15">
      <c r="FB435" s="63"/>
      <c r="FC435" s="64"/>
      <c r="FD435" s="64"/>
      <c r="FE435" s="64"/>
      <c r="FF435" s="64"/>
      <c r="FG435" s="64"/>
      <c r="FH435" s="64"/>
      <c r="FI435" s="64"/>
    </row>
    <row r="436" spans="158:165" ht="15" customHeight="1" x14ac:dyDescent="0.15">
      <c r="FB436" s="63"/>
      <c r="FC436" s="64"/>
      <c r="FD436" s="64"/>
      <c r="FE436" s="64"/>
      <c r="FF436" s="64"/>
      <c r="FG436" s="64"/>
      <c r="FH436" s="64"/>
      <c r="FI436" s="64"/>
    </row>
    <row r="437" spans="158:165" ht="15" customHeight="1" x14ac:dyDescent="0.15">
      <c r="FB437" s="63"/>
      <c r="FC437" s="64"/>
      <c r="FD437" s="64"/>
      <c r="FE437" s="64"/>
      <c r="FF437" s="64"/>
      <c r="FG437" s="64"/>
      <c r="FH437" s="64"/>
      <c r="FI437" s="64"/>
    </row>
    <row r="438" spans="158:165" ht="15" customHeight="1" x14ac:dyDescent="0.15">
      <c r="FB438" s="63"/>
      <c r="FC438" s="64"/>
      <c r="FD438" s="64"/>
      <c r="FE438" s="64"/>
      <c r="FF438" s="64"/>
      <c r="FG438" s="64"/>
      <c r="FH438" s="64"/>
      <c r="FI438" s="64"/>
    </row>
    <row r="439" spans="158:165" ht="15" customHeight="1" x14ac:dyDescent="0.15">
      <c r="FB439" s="63"/>
      <c r="FC439" s="64"/>
      <c r="FD439" s="64"/>
      <c r="FE439" s="64"/>
      <c r="FF439" s="64"/>
      <c r="FG439" s="64"/>
      <c r="FH439" s="64"/>
      <c r="FI439" s="64"/>
    </row>
    <row r="440" spans="158:165" ht="15" customHeight="1" x14ac:dyDescent="0.15">
      <c r="FB440" s="63"/>
      <c r="FC440" s="64"/>
      <c r="FD440" s="64"/>
      <c r="FE440" s="64"/>
      <c r="FF440" s="64"/>
      <c r="FG440" s="64"/>
      <c r="FH440" s="64"/>
      <c r="FI440" s="64"/>
    </row>
    <row r="441" spans="158:165" ht="15" customHeight="1" x14ac:dyDescent="0.15">
      <c r="FB441" s="63"/>
      <c r="FC441" s="64"/>
      <c r="FD441" s="64"/>
      <c r="FE441" s="64"/>
      <c r="FF441" s="64"/>
      <c r="FG441" s="64"/>
      <c r="FH441" s="64"/>
      <c r="FI441" s="64"/>
    </row>
    <row r="442" spans="158:165" ht="15" customHeight="1" x14ac:dyDescent="0.15">
      <c r="FB442" s="63"/>
      <c r="FC442" s="64"/>
      <c r="FD442" s="64"/>
      <c r="FE442" s="64"/>
      <c r="FF442" s="64"/>
      <c r="FG442" s="64"/>
      <c r="FH442" s="64"/>
      <c r="FI442" s="64"/>
    </row>
    <row r="443" spans="158:165" ht="15" customHeight="1" x14ac:dyDescent="0.15">
      <c r="FB443" s="63"/>
      <c r="FC443" s="64"/>
      <c r="FD443" s="64"/>
      <c r="FE443" s="64"/>
      <c r="FF443" s="64"/>
      <c r="FG443" s="64"/>
      <c r="FH443" s="64"/>
      <c r="FI443" s="64"/>
    </row>
    <row r="444" spans="158:165" ht="15" customHeight="1" x14ac:dyDescent="0.15">
      <c r="FB444" s="63"/>
      <c r="FC444" s="64"/>
      <c r="FD444" s="64"/>
      <c r="FE444" s="64"/>
      <c r="FF444" s="64"/>
      <c r="FG444" s="64"/>
      <c r="FH444" s="64"/>
      <c r="FI444" s="64"/>
    </row>
    <row r="445" spans="158:165" ht="15" customHeight="1" x14ac:dyDescent="0.15">
      <c r="FB445" s="63"/>
      <c r="FC445" s="64"/>
      <c r="FD445" s="64"/>
      <c r="FE445" s="64"/>
      <c r="FF445" s="64"/>
      <c r="FG445" s="64"/>
      <c r="FH445" s="64"/>
      <c r="FI445" s="64"/>
    </row>
    <row r="446" spans="158:165" ht="15" customHeight="1" x14ac:dyDescent="0.15">
      <c r="FB446" s="63"/>
      <c r="FC446" s="64"/>
      <c r="FD446" s="64"/>
      <c r="FE446" s="64"/>
      <c r="FF446" s="64"/>
      <c r="FG446" s="64"/>
      <c r="FH446" s="64"/>
      <c r="FI446" s="64"/>
    </row>
    <row r="447" spans="158:165" ht="15" customHeight="1" x14ac:dyDescent="0.15">
      <c r="FB447" s="63"/>
      <c r="FC447" s="64"/>
      <c r="FD447" s="64"/>
      <c r="FE447" s="64"/>
      <c r="FF447" s="64"/>
      <c r="FG447" s="64"/>
      <c r="FH447" s="64"/>
      <c r="FI447" s="64"/>
    </row>
    <row r="448" spans="158:165" ht="15" customHeight="1" x14ac:dyDescent="0.15">
      <c r="FB448" s="63"/>
      <c r="FC448" s="64"/>
      <c r="FD448" s="64"/>
      <c r="FE448" s="64"/>
      <c r="FF448" s="64"/>
      <c r="FG448" s="64"/>
      <c r="FH448" s="64"/>
      <c r="FI448" s="64"/>
    </row>
    <row r="449" spans="158:165" ht="15" customHeight="1" x14ac:dyDescent="0.15">
      <c r="FB449" s="63"/>
      <c r="FC449" s="64"/>
      <c r="FD449" s="64"/>
      <c r="FE449" s="64"/>
      <c r="FF449" s="64"/>
      <c r="FG449" s="64"/>
      <c r="FH449" s="64"/>
      <c r="FI449" s="64"/>
    </row>
    <row r="450" spans="158:165" ht="15" customHeight="1" x14ac:dyDescent="0.15">
      <c r="FB450" s="63"/>
      <c r="FC450" s="64"/>
      <c r="FD450" s="64"/>
      <c r="FE450" s="64"/>
      <c r="FF450" s="64"/>
      <c r="FG450" s="64"/>
      <c r="FH450" s="64"/>
      <c r="FI450" s="64"/>
    </row>
    <row r="451" spans="158:165" ht="15" customHeight="1" x14ac:dyDescent="0.15">
      <c r="FB451" s="63"/>
      <c r="FC451" s="64"/>
      <c r="FD451" s="64"/>
      <c r="FE451" s="64"/>
      <c r="FF451" s="64"/>
      <c r="FG451" s="64"/>
      <c r="FH451" s="64"/>
      <c r="FI451" s="64"/>
    </row>
    <row r="452" spans="158:165" ht="15" customHeight="1" x14ac:dyDescent="0.15">
      <c r="FB452" s="63"/>
      <c r="FC452" s="64"/>
      <c r="FD452" s="64"/>
      <c r="FE452" s="64"/>
      <c r="FF452" s="64"/>
      <c r="FG452" s="64"/>
      <c r="FH452" s="64"/>
      <c r="FI452" s="64"/>
    </row>
    <row r="453" spans="158:165" ht="15" customHeight="1" x14ac:dyDescent="0.15">
      <c r="FB453" s="63"/>
      <c r="FC453" s="64"/>
      <c r="FD453" s="64"/>
      <c r="FE453" s="64"/>
      <c r="FF453" s="64"/>
      <c r="FG453" s="64"/>
      <c r="FH453" s="64"/>
      <c r="FI453" s="64"/>
    </row>
    <row r="454" spans="158:165" ht="15" customHeight="1" x14ac:dyDescent="0.15">
      <c r="FB454" s="63"/>
      <c r="FC454" s="64"/>
      <c r="FD454" s="64"/>
      <c r="FE454" s="64"/>
      <c r="FF454" s="64"/>
      <c r="FG454" s="64"/>
      <c r="FH454" s="64"/>
      <c r="FI454" s="64"/>
    </row>
    <row r="455" spans="158:165" ht="15" customHeight="1" x14ac:dyDescent="0.15">
      <c r="FB455" s="63"/>
      <c r="FC455" s="64"/>
      <c r="FD455" s="64"/>
      <c r="FE455" s="64"/>
      <c r="FF455" s="64"/>
      <c r="FG455" s="64"/>
      <c r="FH455" s="64"/>
      <c r="FI455" s="64"/>
    </row>
    <row r="456" spans="158:165" ht="15" customHeight="1" x14ac:dyDescent="0.15">
      <c r="FB456" s="63"/>
      <c r="FC456" s="64"/>
      <c r="FD456" s="64"/>
      <c r="FE456" s="64"/>
      <c r="FF456" s="64"/>
      <c r="FG456" s="64"/>
      <c r="FH456" s="64"/>
      <c r="FI456" s="64"/>
    </row>
    <row r="457" spans="158:165" ht="15" customHeight="1" x14ac:dyDescent="0.15">
      <c r="FB457" s="63"/>
      <c r="FC457" s="64"/>
      <c r="FD457" s="64"/>
      <c r="FE457" s="64"/>
      <c r="FF457" s="64"/>
      <c r="FG457" s="64"/>
      <c r="FH457" s="64"/>
      <c r="FI457" s="64"/>
    </row>
    <row r="458" spans="158:165" ht="15" customHeight="1" x14ac:dyDescent="0.15">
      <c r="FB458" s="63"/>
      <c r="FC458" s="64"/>
      <c r="FD458" s="64"/>
      <c r="FE458" s="64"/>
      <c r="FF458" s="64"/>
      <c r="FG458" s="64"/>
      <c r="FH458" s="64"/>
      <c r="FI458" s="64"/>
    </row>
    <row r="459" spans="158:165" ht="15" customHeight="1" x14ac:dyDescent="0.15">
      <c r="FB459" s="63"/>
      <c r="FC459" s="64"/>
      <c r="FD459" s="64"/>
      <c r="FE459" s="64"/>
      <c r="FF459" s="64"/>
      <c r="FG459" s="64"/>
      <c r="FH459" s="64"/>
      <c r="FI459" s="64"/>
    </row>
    <row r="460" spans="158:165" ht="15" customHeight="1" x14ac:dyDescent="0.15">
      <c r="FB460" s="63"/>
      <c r="FC460" s="64"/>
      <c r="FD460" s="64"/>
      <c r="FE460" s="64"/>
      <c r="FF460" s="64"/>
      <c r="FG460" s="64"/>
      <c r="FH460" s="64"/>
      <c r="FI460" s="64"/>
    </row>
    <row r="461" spans="158:165" ht="15" customHeight="1" x14ac:dyDescent="0.15">
      <c r="FB461" s="63"/>
      <c r="FC461" s="64"/>
      <c r="FD461" s="64"/>
      <c r="FE461" s="64"/>
      <c r="FF461" s="64"/>
      <c r="FG461" s="64"/>
      <c r="FH461" s="64"/>
      <c r="FI461" s="64"/>
    </row>
    <row r="462" spans="158:165" ht="15" customHeight="1" x14ac:dyDescent="0.15">
      <c r="FB462" s="63"/>
      <c r="FC462" s="64"/>
      <c r="FD462" s="64"/>
      <c r="FE462" s="64"/>
      <c r="FF462" s="64"/>
      <c r="FG462" s="64"/>
      <c r="FH462" s="64"/>
      <c r="FI462" s="64"/>
    </row>
    <row r="463" spans="158:165" ht="15" customHeight="1" x14ac:dyDescent="0.15">
      <c r="FB463" s="63"/>
      <c r="FC463" s="64"/>
      <c r="FD463" s="64"/>
      <c r="FE463" s="64"/>
      <c r="FF463" s="64"/>
      <c r="FG463" s="64"/>
      <c r="FH463" s="64"/>
      <c r="FI463" s="64"/>
    </row>
    <row r="464" spans="158:165" ht="15" customHeight="1" x14ac:dyDescent="0.15">
      <c r="FB464" s="63"/>
      <c r="FC464" s="64"/>
      <c r="FD464" s="64"/>
      <c r="FE464" s="64"/>
      <c r="FF464" s="64"/>
      <c r="FG464" s="64"/>
      <c r="FH464" s="64"/>
      <c r="FI464" s="64"/>
    </row>
    <row r="465" spans="158:165" ht="15" customHeight="1" x14ac:dyDescent="0.15">
      <c r="FB465" s="63"/>
      <c r="FC465" s="64"/>
      <c r="FD465" s="64"/>
      <c r="FE465" s="64"/>
      <c r="FF465" s="64"/>
      <c r="FG465" s="64"/>
      <c r="FH465" s="64"/>
      <c r="FI465" s="64"/>
    </row>
    <row r="466" spans="158:165" ht="15" customHeight="1" x14ac:dyDescent="0.15">
      <c r="FB466" s="63"/>
      <c r="FC466" s="64"/>
      <c r="FD466" s="64"/>
      <c r="FE466" s="64"/>
      <c r="FF466" s="64"/>
      <c r="FG466" s="64"/>
      <c r="FH466" s="64"/>
      <c r="FI466" s="64"/>
    </row>
    <row r="467" spans="158:165" ht="15" customHeight="1" x14ac:dyDescent="0.15">
      <c r="FB467" s="63"/>
      <c r="FC467" s="64"/>
      <c r="FD467" s="64"/>
      <c r="FE467" s="64"/>
      <c r="FF467" s="64"/>
      <c r="FG467" s="64"/>
      <c r="FH467" s="64"/>
      <c r="FI467" s="64"/>
    </row>
    <row r="468" spans="158:165" ht="15" customHeight="1" x14ac:dyDescent="0.15">
      <c r="FB468" s="63"/>
      <c r="FC468" s="64"/>
      <c r="FD468" s="64"/>
      <c r="FE468" s="64"/>
      <c r="FF468" s="64"/>
      <c r="FG468" s="64"/>
      <c r="FH468" s="64"/>
      <c r="FI468" s="64"/>
    </row>
    <row r="469" spans="158:165" ht="15" customHeight="1" x14ac:dyDescent="0.15">
      <c r="FB469" s="63"/>
      <c r="FC469" s="64"/>
      <c r="FD469" s="64"/>
      <c r="FE469" s="64"/>
      <c r="FF469" s="64"/>
      <c r="FG469" s="64"/>
      <c r="FH469" s="64"/>
      <c r="FI469" s="64"/>
    </row>
    <row r="470" spans="158:165" ht="15" customHeight="1" x14ac:dyDescent="0.15">
      <c r="FB470" s="63"/>
      <c r="FC470" s="64"/>
      <c r="FD470" s="64"/>
      <c r="FE470" s="64"/>
      <c r="FF470" s="64"/>
      <c r="FG470" s="64"/>
      <c r="FH470" s="64"/>
      <c r="FI470" s="64"/>
    </row>
    <row r="471" spans="158:165" ht="15" customHeight="1" x14ac:dyDescent="0.15">
      <c r="FB471" s="63"/>
      <c r="FC471" s="64"/>
      <c r="FD471" s="64"/>
      <c r="FE471" s="64"/>
      <c r="FF471" s="64"/>
      <c r="FG471" s="64"/>
      <c r="FH471" s="64"/>
      <c r="FI471" s="64"/>
    </row>
    <row r="472" spans="158:165" ht="15" customHeight="1" x14ac:dyDescent="0.15">
      <c r="FB472" s="63"/>
      <c r="FC472" s="64"/>
      <c r="FD472" s="64"/>
      <c r="FE472" s="64"/>
      <c r="FF472" s="64"/>
      <c r="FG472" s="64"/>
      <c r="FH472" s="64"/>
      <c r="FI472" s="64"/>
    </row>
    <row r="473" spans="158:165" ht="15" customHeight="1" x14ac:dyDescent="0.15">
      <c r="FB473" s="63"/>
      <c r="FC473" s="64"/>
      <c r="FD473" s="64"/>
      <c r="FE473" s="64"/>
      <c r="FF473" s="64"/>
      <c r="FG473" s="64"/>
      <c r="FH473" s="64"/>
      <c r="FI473" s="64"/>
    </row>
    <row r="474" spans="158:165" ht="15" customHeight="1" x14ac:dyDescent="0.15">
      <c r="FB474" s="63"/>
      <c r="FC474" s="64"/>
      <c r="FD474" s="64"/>
      <c r="FE474" s="64"/>
      <c r="FF474" s="64"/>
      <c r="FG474" s="64"/>
      <c r="FH474" s="64"/>
      <c r="FI474" s="64"/>
    </row>
    <row r="475" spans="158:165" ht="15" customHeight="1" x14ac:dyDescent="0.15">
      <c r="FB475" s="63"/>
      <c r="FC475" s="64"/>
      <c r="FD475" s="64"/>
      <c r="FE475" s="64"/>
      <c r="FF475" s="64"/>
      <c r="FG475" s="64"/>
      <c r="FH475" s="64"/>
      <c r="FI475" s="64"/>
    </row>
    <row r="476" spans="158:165" ht="15" customHeight="1" x14ac:dyDescent="0.15">
      <c r="FB476" s="63"/>
      <c r="FC476" s="64"/>
      <c r="FD476" s="64"/>
      <c r="FE476" s="64"/>
      <c r="FF476" s="64"/>
      <c r="FG476" s="64"/>
      <c r="FH476" s="64"/>
      <c r="FI476" s="64"/>
    </row>
    <row r="477" spans="158:165" ht="15" customHeight="1" x14ac:dyDescent="0.15">
      <c r="FB477" s="63"/>
      <c r="FC477" s="64"/>
      <c r="FD477" s="64"/>
      <c r="FE477" s="64"/>
      <c r="FF477" s="64"/>
      <c r="FG477" s="64"/>
      <c r="FH477" s="64"/>
      <c r="FI477" s="64"/>
    </row>
    <row r="478" spans="158:165" ht="15" customHeight="1" x14ac:dyDescent="0.15">
      <c r="FB478" s="63"/>
      <c r="FC478" s="64"/>
      <c r="FD478" s="64"/>
      <c r="FE478" s="64"/>
      <c r="FF478" s="64"/>
      <c r="FG478" s="64"/>
      <c r="FH478" s="64"/>
      <c r="FI478" s="64"/>
    </row>
    <row r="479" spans="158:165" ht="15" customHeight="1" x14ac:dyDescent="0.15">
      <c r="FB479" s="63"/>
      <c r="FC479" s="64"/>
      <c r="FD479" s="64"/>
      <c r="FE479" s="64"/>
      <c r="FF479" s="64"/>
      <c r="FG479" s="64"/>
      <c r="FH479" s="64"/>
      <c r="FI479" s="64"/>
    </row>
    <row r="480" spans="158:165" ht="15" customHeight="1" x14ac:dyDescent="0.15">
      <c r="FB480" s="63"/>
      <c r="FC480" s="64"/>
      <c r="FD480" s="64"/>
      <c r="FE480" s="64"/>
      <c r="FF480" s="64"/>
      <c r="FG480" s="64"/>
      <c r="FH480" s="64"/>
      <c r="FI480" s="64"/>
    </row>
    <row r="481" spans="158:165" ht="15" customHeight="1" x14ac:dyDescent="0.15">
      <c r="FB481" s="63"/>
      <c r="FC481" s="64"/>
      <c r="FD481" s="64"/>
      <c r="FE481" s="64"/>
      <c r="FF481" s="64"/>
      <c r="FG481" s="64"/>
      <c r="FH481" s="64"/>
      <c r="FI481" s="64"/>
    </row>
    <row r="482" spans="158:165" ht="15" customHeight="1" x14ac:dyDescent="0.15">
      <c r="FB482" s="63"/>
      <c r="FC482" s="64"/>
      <c r="FD482" s="64"/>
      <c r="FE482" s="64"/>
      <c r="FF482" s="64"/>
      <c r="FG482" s="64"/>
      <c r="FH482" s="64"/>
      <c r="FI482" s="64"/>
    </row>
    <row r="483" spans="158:165" ht="15" customHeight="1" x14ac:dyDescent="0.15">
      <c r="FB483" s="63"/>
      <c r="FC483" s="64"/>
      <c r="FD483" s="64"/>
      <c r="FE483" s="64"/>
      <c r="FF483" s="64"/>
      <c r="FG483" s="64"/>
      <c r="FH483" s="64"/>
      <c r="FI483" s="64"/>
    </row>
    <row r="484" spans="158:165" ht="15" customHeight="1" x14ac:dyDescent="0.15">
      <c r="FB484" s="63"/>
      <c r="FC484" s="64"/>
      <c r="FD484" s="64"/>
      <c r="FE484" s="64"/>
      <c r="FF484" s="64"/>
      <c r="FG484" s="64"/>
      <c r="FH484" s="64"/>
      <c r="FI484" s="64"/>
    </row>
    <row r="485" spans="158:165" ht="15" customHeight="1" x14ac:dyDescent="0.15">
      <c r="FB485" s="63"/>
      <c r="FC485" s="64"/>
      <c r="FD485" s="64"/>
      <c r="FE485" s="64"/>
      <c r="FF485" s="64"/>
      <c r="FG485" s="64"/>
      <c r="FH485" s="64"/>
      <c r="FI485" s="64"/>
    </row>
    <row r="486" spans="158:165" ht="15" customHeight="1" x14ac:dyDescent="0.15">
      <c r="FB486" s="63"/>
      <c r="FC486" s="64"/>
      <c r="FD486" s="64"/>
      <c r="FE486" s="64"/>
      <c r="FF486" s="64"/>
      <c r="FG486" s="64"/>
      <c r="FH486" s="64"/>
      <c r="FI486" s="64"/>
    </row>
    <row r="487" spans="158:165" ht="15" customHeight="1" x14ac:dyDescent="0.15">
      <c r="FB487" s="63"/>
      <c r="FC487" s="64"/>
      <c r="FD487" s="64"/>
      <c r="FE487" s="64"/>
      <c r="FF487" s="64"/>
      <c r="FG487" s="64"/>
      <c r="FH487" s="64"/>
      <c r="FI487" s="64"/>
    </row>
    <row r="488" spans="158:165" ht="15" customHeight="1" x14ac:dyDescent="0.15">
      <c r="FB488" s="63"/>
      <c r="FC488" s="64"/>
      <c r="FD488" s="64"/>
      <c r="FE488" s="64"/>
      <c r="FF488" s="64"/>
      <c r="FG488" s="64"/>
      <c r="FH488" s="64"/>
      <c r="FI488" s="64"/>
    </row>
    <row r="489" spans="158:165" ht="15" customHeight="1" x14ac:dyDescent="0.15">
      <c r="FB489" s="63"/>
      <c r="FC489" s="64"/>
      <c r="FD489" s="64"/>
      <c r="FE489" s="64"/>
      <c r="FF489" s="64"/>
      <c r="FG489" s="64"/>
      <c r="FH489" s="64"/>
      <c r="FI489" s="64"/>
    </row>
    <row r="490" spans="158:165" ht="15" customHeight="1" x14ac:dyDescent="0.15">
      <c r="FB490" s="63"/>
      <c r="FC490" s="64"/>
      <c r="FD490" s="64"/>
      <c r="FE490" s="64"/>
      <c r="FF490" s="64"/>
      <c r="FG490" s="64"/>
      <c r="FH490" s="64"/>
      <c r="FI490" s="64"/>
    </row>
    <row r="491" spans="158:165" ht="15" customHeight="1" x14ac:dyDescent="0.15">
      <c r="FB491" s="63"/>
      <c r="FC491" s="64"/>
      <c r="FD491" s="64"/>
      <c r="FE491" s="64"/>
      <c r="FF491" s="64"/>
      <c r="FG491" s="64"/>
      <c r="FH491" s="64"/>
      <c r="FI491" s="64"/>
    </row>
    <row r="492" spans="158:165" ht="15" customHeight="1" x14ac:dyDescent="0.15">
      <c r="FB492" s="63"/>
      <c r="FC492" s="64"/>
      <c r="FD492" s="64"/>
      <c r="FE492" s="64"/>
      <c r="FF492" s="64"/>
      <c r="FG492" s="64"/>
      <c r="FH492" s="64"/>
      <c r="FI492" s="64"/>
    </row>
    <row r="493" spans="158:165" ht="15" customHeight="1" x14ac:dyDescent="0.15">
      <c r="FB493" s="63"/>
      <c r="FC493" s="64"/>
      <c r="FD493" s="64"/>
      <c r="FE493" s="64"/>
      <c r="FF493" s="64"/>
      <c r="FG493" s="64"/>
      <c r="FH493" s="64"/>
      <c r="FI493" s="64"/>
    </row>
    <row r="494" spans="158:165" ht="15" customHeight="1" x14ac:dyDescent="0.15">
      <c r="FB494" s="63"/>
      <c r="FC494" s="64"/>
      <c r="FD494" s="64"/>
      <c r="FE494" s="64"/>
      <c r="FF494" s="64"/>
      <c r="FG494" s="64"/>
      <c r="FH494" s="64"/>
      <c r="FI494" s="64"/>
    </row>
    <row r="495" spans="158:165" ht="15" customHeight="1" x14ac:dyDescent="0.15">
      <c r="FB495" s="63"/>
      <c r="FC495" s="64"/>
      <c r="FD495" s="64"/>
      <c r="FE495" s="64"/>
      <c r="FF495" s="64"/>
      <c r="FG495" s="64"/>
      <c r="FH495" s="64"/>
      <c r="FI495" s="64"/>
    </row>
    <row r="496" spans="158:165" ht="15" customHeight="1" x14ac:dyDescent="0.15">
      <c r="FB496" s="63"/>
      <c r="FC496" s="64"/>
      <c r="FD496" s="64"/>
      <c r="FE496" s="64"/>
      <c r="FF496" s="64"/>
      <c r="FG496" s="64"/>
      <c r="FH496" s="64"/>
      <c r="FI496" s="64"/>
    </row>
    <row r="497" spans="158:165" ht="15" customHeight="1" x14ac:dyDescent="0.15">
      <c r="FB497" s="63"/>
      <c r="FC497" s="64"/>
      <c r="FD497" s="64"/>
      <c r="FE497" s="64"/>
      <c r="FF497" s="64"/>
      <c r="FG497" s="64"/>
      <c r="FH497" s="64"/>
      <c r="FI497" s="64"/>
    </row>
    <row r="498" spans="158:165" ht="15" customHeight="1" x14ac:dyDescent="0.15">
      <c r="FB498" s="63"/>
      <c r="FC498" s="64"/>
      <c r="FD498" s="64"/>
      <c r="FE498" s="64"/>
      <c r="FF498" s="64"/>
      <c r="FG498" s="64"/>
      <c r="FH498" s="64"/>
      <c r="FI498" s="64"/>
    </row>
    <row r="499" spans="158:165" ht="15" customHeight="1" x14ac:dyDescent="0.15">
      <c r="FB499" s="63"/>
      <c r="FC499" s="64"/>
      <c r="FD499" s="64"/>
      <c r="FE499" s="64"/>
      <c r="FF499" s="64"/>
      <c r="FG499" s="64"/>
      <c r="FH499" s="64"/>
      <c r="FI499" s="64"/>
    </row>
    <row r="500" spans="158:165" ht="15" customHeight="1" x14ac:dyDescent="0.15">
      <c r="FB500" s="63"/>
      <c r="FC500" s="64"/>
      <c r="FD500" s="64"/>
      <c r="FE500" s="64"/>
      <c r="FF500" s="64"/>
      <c r="FG500" s="64"/>
      <c r="FH500" s="64"/>
      <c r="FI500" s="64"/>
    </row>
    <row r="501" spans="158:165" ht="15" customHeight="1" x14ac:dyDescent="0.15">
      <c r="FB501" s="63"/>
      <c r="FC501" s="64"/>
      <c r="FD501" s="64"/>
      <c r="FE501" s="64"/>
      <c r="FF501" s="64"/>
      <c r="FG501" s="64"/>
      <c r="FH501" s="64"/>
      <c r="FI501" s="64"/>
    </row>
    <row r="502" spans="158:165" ht="15" customHeight="1" x14ac:dyDescent="0.15">
      <c r="FB502" s="63"/>
      <c r="FC502" s="64"/>
      <c r="FD502" s="64"/>
      <c r="FE502" s="64"/>
      <c r="FF502" s="64"/>
      <c r="FG502" s="64"/>
      <c r="FH502" s="64"/>
      <c r="FI502" s="64"/>
    </row>
    <row r="503" spans="158:165" ht="15" customHeight="1" x14ac:dyDescent="0.15">
      <c r="FB503" s="63"/>
      <c r="FC503" s="64"/>
      <c r="FD503" s="64"/>
      <c r="FE503" s="64"/>
      <c r="FF503" s="64"/>
      <c r="FG503" s="64"/>
      <c r="FH503" s="64"/>
      <c r="FI503" s="64"/>
    </row>
    <row r="504" spans="158:165" ht="15" customHeight="1" x14ac:dyDescent="0.15">
      <c r="FB504" s="63"/>
      <c r="FC504" s="64"/>
      <c r="FD504" s="64"/>
      <c r="FE504" s="64"/>
      <c r="FF504" s="64"/>
      <c r="FG504" s="64"/>
      <c r="FH504" s="64"/>
      <c r="FI504" s="64"/>
    </row>
    <row r="505" spans="158:165" ht="15" customHeight="1" x14ac:dyDescent="0.15">
      <c r="FB505" s="63"/>
      <c r="FC505" s="64"/>
      <c r="FD505" s="64"/>
      <c r="FE505" s="64"/>
      <c r="FF505" s="64"/>
      <c r="FG505" s="64"/>
      <c r="FH505" s="64"/>
      <c r="FI505" s="64"/>
    </row>
    <row r="506" spans="158:165" ht="15" customHeight="1" x14ac:dyDescent="0.15">
      <c r="FB506" s="63"/>
      <c r="FC506" s="64"/>
      <c r="FD506" s="64"/>
      <c r="FE506" s="64"/>
      <c r="FF506" s="64"/>
      <c r="FG506" s="64"/>
      <c r="FH506" s="64"/>
      <c r="FI506" s="64"/>
    </row>
    <row r="507" spans="158:165" ht="15" customHeight="1" x14ac:dyDescent="0.15">
      <c r="FB507" s="63"/>
      <c r="FC507" s="64"/>
      <c r="FD507" s="64"/>
      <c r="FE507" s="64"/>
      <c r="FF507" s="64"/>
      <c r="FG507" s="64"/>
      <c r="FH507" s="64"/>
      <c r="FI507" s="64"/>
    </row>
    <row r="508" spans="158:165" ht="15" customHeight="1" x14ac:dyDescent="0.15">
      <c r="FB508" s="63"/>
      <c r="FC508" s="64"/>
      <c r="FD508" s="64"/>
      <c r="FE508" s="64"/>
      <c r="FF508" s="64"/>
      <c r="FG508" s="64"/>
      <c r="FH508" s="64"/>
      <c r="FI508" s="64"/>
    </row>
    <row r="509" spans="158:165" ht="15" customHeight="1" x14ac:dyDescent="0.15">
      <c r="FB509" s="63"/>
      <c r="FC509" s="64"/>
      <c r="FD509" s="64"/>
      <c r="FE509" s="64"/>
      <c r="FF509" s="64"/>
      <c r="FG509" s="64"/>
      <c r="FH509" s="64"/>
      <c r="FI509" s="64"/>
    </row>
    <row r="510" spans="158:165" ht="15" customHeight="1" x14ac:dyDescent="0.15">
      <c r="FB510" s="63"/>
      <c r="FC510" s="64"/>
      <c r="FD510" s="64"/>
      <c r="FE510" s="64"/>
      <c r="FF510" s="64"/>
      <c r="FG510" s="64"/>
      <c r="FH510" s="64"/>
      <c r="FI510" s="64"/>
    </row>
    <row r="511" spans="158:165" ht="15" customHeight="1" x14ac:dyDescent="0.15">
      <c r="FB511" s="63"/>
      <c r="FC511" s="64"/>
      <c r="FD511" s="64"/>
      <c r="FE511" s="64"/>
      <c r="FF511" s="64"/>
      <c r="FG511" s="64"/>
      <c r="FH511" s="64"/>
      <c r="FI511" s="64"/>
    </row>
    <row r="512" spans="158:165" ht="15" customHeight="1" x14ac:dyDescent="0.15">
      <c r="FB512" s="63"/>
      <c r="FC512" s="64"/>
      <c r="FD512" s="64"/>
      <c r="FE512" s="64"/>
      <c r="FF512" s="64"/>
      <c r="FG512" s="64"/>
      <c r="FH512" s="64"/>
      <c r="FI512" s="64"/>
    </row>
    <row r="513" spans="158:165" ht="15" customHeight="1" x14ac:dyDescent="0.15">
      <c r="FB513" s="63"/>
      <c r="FC513" s="64"/>
      <c r="FD513" s="64"/>
      <c r="FE513" s="64"/>
      <c r="FF513" s="64"/>
      <c r="FG513" s="64"/>
      <c r="FH513" s="64"/>
      <c r="FI513" s="64"/>
    </row>
    <row r="514" spans="158:165" ht="15" customHeight="1" x14ac:dyDescent="0.15">
      <c r="FB514" s="63"/>
      <c r="FC514" s="64"/>
      <c r="FD514" s="64"/>
      <c r="FE514" s="64"/>
      <c r="FF514" s="64"/>
      <c r="FG514" s="64"/>
      <c r="FH514" s="64"/>
      <c r="FI514" s="64"/>
    </row>
    <row r="515" spans="158:165" ht="15" customHeight="1" x14ac:dyDescent="0.15">
      <c r="FB515" s="63"/>
      <c r="FC515" s="64"/>
      <c r="FD515" s="64"/>
      <c r="FE515" s="64"/>
      <c r="FF515" s="64"/>
      <c r="FG515" s="64"/>
      <c r="FH515" s="64"/>
      <c r="FI515" s="64"/>
    </row>
    <row r="516" spans="158:165" ht="15" customHeight="1" x14ac:dyDescent="0.15">
      <c r="FB516" s="63"/>
      <c r="FC516" s="64"/>
      <c r="FD516" s="64"/>
      <c r="FE516" s="64"/>
      <c r="FF516" s="64"/>
      <c r="FG516" s="64"/>
      <c r="FH516" s="64"/>
      <c r="FI516" s="64"/>
    </row>
    <row r="517" spans="158:165" ht="15" customHeight="1" x14ac:dyDescent="0.15">
      <c r="FB517" s="63"/>
      <c r="FC517" s="64"/>
      <c r="FD517" s="64"/>
      <c r="FE517" s="64"/>
      <c r="FF517" s="64"/>
      <c r="FG517" s="64"/>
      <c r="FH517" s="64"/>
      <c r="FI517" s="64"/>
    </row>
    <row r="518" spans="158:165" ht="15" customHeight="1" x14ac:dyDescent="0.15">
      <c r="FB518" s="63"/>
      <c r="FC518" s="64"/>
      <c r="FD518" s="64"/>
      <c r="FE518" s="64"/>
      <c r="FF518" s="64"/>
      <c r="FG518" s="64"/>
      <c r="FH518" s="64"/>
      <c r="FI518" s="64"/>
    </row>
    <row r="519" spans="158:165" ht="15" customHeight="1" x14ac:dyDescent="0.15">
      <c r="FB519" s="63"/>
      <c r="FC519" s="64"/>
      <c r="FD519" s="64"/>
      <c r="FE519" s="64"/>
      <c r="FF519" s="64"/>
      <c r="FG519" s="64"/>
      <c r="FH519" s="64"/>
      <c r="FI519" s="64"/>
    </row>
    <row r="520" spans="158:165" ht="15" customHeight="1" x14ac:dyDescent="0.15">
      <c r="FB520" s="63"/>
      <c r="FC520" s="64"/>
      <c r="FD520" s="64"/>
      <c r="FE520" s="64"/>
      <c r="FF520" s="64"/>
      <c r="FG520" s="64"/>
      <c r="FH520" s="64"/>
      <c r="FI520" s="64"/>
    </row>
    <row r="521" spans="158:165" ht="15" customHeight="1" x14ac:dyDescent="0.15">
      <c r="FB521" s="63"/>
      <c r="FC521" s="64"/>
      <c r="FD521" s="64"/>
      <c r="FE521" s="64"/>
      <c r="FF521" s="64"/>
      <c r="FG521" s="64"/>
      <c r="FH521" s="64"/>
      <c r="FI521" s="64"/>
    </row>
    <row r="522" spans="158:165" ht="15" customHeight="1" x14ac:dyDescent="0.15">
      <c r="FB522" s="63"/>
      <c r="FC522" s="64"/>
      <c r="FD522" s="64"/>
      <c r="FE522" s="64"/>
      <c r="FF522" s="64"/>
      <c r="FG522" s="64"/>
      <c r="FH522" s="64"/>
      <c r="FI522" s="64"/>
    </row>
    <row r="523" spans="158:165" ht="15" customHeight="1" x14ac:dyDescent="0.15">
      <c r="FB523" s="63"/>
      <c r="FC523" s="64"/>
      <c r="FD523" s="64"/>
      <c r="FE523" s="64"/>
      <c r="FF523" s="64"/>
      <c r="FG523" s="64"/>
      <c r="FH523" s="64"/>
      <c r="FI523" s="64"/>
    </row>
    <row r="524" spans="158:165" ht="15" customHeight="1" x14ac:dyDescent="0.15">
      <c r="FB524" s="63"/>
      <c r="FC524" s="64"/>
      <c r="FD524" s="64"/>
      <c r="FE524" s="64"/>
      <c r="FF524" s="64"/>
      <c r="FG524" s="64"/>
      <c r="FH524" s="64"/>
      <c r="FI524" s="64"/>
    </row>
    <row r="525" spans="158:165" ht="15" customHeight="1" x14ac:dyDescent="0.15">
      <c r="FB525" s="63"/>
      <c r="FC525" s="64"/>
      <c r="FD525" s="64"/>
      <c r="FE525" s="64"/>
      <c r="FF525" s="64"/>
      <c r="FG525" s="64"/>
      <c r="FH525" s="64"/>
      <c r="FI525" s="64"/>
    </row>
    <row r="526" spans="158:165" ht="15" customHeight="1" x14ac:dyDescent="0.15">
      <c r="FB526" s="63"/>
      <c r="FC526" s="64"/>
      <c r="FD526" s="64"/>
      <c r="FE526" s="64"/>
      <c r="FF526" s="64"/>
      <c r="FG526" s="64"/>
      <c r="FH526" s="64"/>
      <c r="FI526" s="64"/>
    </row>
    <row r="527" spans="158:165" ht="15" customHeight="1" x14ac:dyDescent="0.15">
      <c r="FB527" s="63"/>
      <c r="FC527" s="64"/>
      <c r="FD527" s="64"/>
      <c r="FE527" s="64"/>
      <c r="FF527" s="64"/>
      <c r="FG527" s="64"/>
      <c r="FH527" s="64"/>
      <c r="FI527" s="64"/>
    </row>
    <row r="528" spans="158:165" ht="15" customHeight="1" x14ac:dyDescent="0.15">
      <c r="FB528" s="63"/>
      <c r="FC528" s="64"/>
      <c r="FD528" s="64"/>
      <c r="FE528" s="64"/>
      <c r="FF528" s="64"/>
      <c r="FG528" s="64"/>
      <c r="FH528" s="64"/>
      <c r="FI528" s="64"/>
    </row>
    <row r="529" spans="158:165" ht="15" customHeight="1" x14ac:dyDescent="0.15">
      <c r="FB529" s="63"/>
      <c r="FC529" s="64"/>
      <c r="FD529" s="64"/>
      <c r="FE529" s="64"/>
      <c r="FF529" s="64"/>
      <c r="FG529" s="64"/>
      <c r="FH529" s="64"/>
      <c r="FI529" s="64"/>
    </row>
    <row r="530" spans="158:165" ht="15" customHeight="1" x14ac:dyDescent="0.15">
      <c r="FB530" s="63"/>
      <c r="FC530" s="64"/>
      <c r="FD530" s="64"/>
      <c r="FE530" s="64"/>
      <c r="FF530" s="64"/>
      <c r="FG530" s="64"/>
      <c r="FH530" s="64"/>
      <c r="FI530" s="64"/>
    </row>
    <row r="531" spans="158:165" ht="15" customHeight="1" x14ac:dyDescent="0.15">
      <c r="FB531" s="63"/>
      <c r="FC531" s="64"/>
      <c r="FD531" s="64"/>
      <c r="FE531" s="64"/>
      <c r="FF531" s="64"/>
      <c r="FG531" s="64"/>
      <c r="FH531" s="64"/>
      <c r="FI531" s="64"/>
    </row>
    <row r="532" spans="158:165" ht="15" customHeight="1" x14ac:dyDescent="0.15">
      <c r="FB532" s="63"/>
      <c r="FC532" s="64"/>
      <c r="FD532" s="64"/>
      <c r="FE532" s="64"/>
      <c r="FF532" s="64"/>
      <c r="FG532" s="64"/>
      <c r="FH532" s="64"/>
      <c r="FI532" s="64"/>
    </row>
    <row r="533" spans="158:165" ht="15" customHeight="1" x14ac:dyDescent="0.15">
      <c r="FB533" s="63"/>
      <c r="FC533" s="64"/>
      <c r="FD533" s="64"/>
      <c r="FE533" s="64"/>
      <c r="FF533" s="64"/>
      <c r="FG533" s="64"/>
      <c r="FH533" s="64"/>
      <c r="FI533" s="64"/>
    </row>
    <row r="534" spans="158:165" ht="15" customHeight="1" x14ac:dyDescent="0.15">
      <c r="FB534" s="63"/>
      <c r="FC534" s="64"/>
      <c r="FD534" s="64"/>
      <c r="FE534" s="64"/>
      <c r="FF534" s="64"/>
      <c r="FG534" s="64"/>
      <c r="FH534" s="64"/>
      <c r="FI534" s="64"/>
    </row>
    <row r="535" spans="158:165" ht="15" customHeight="1" x14ac:dyDescent="0.15">
      <c r="FB535" s="63"/>
      <c r="FC535" s="64"/>
      <c r="FD535" s="64"/>
      <c r="FE535" s="64"/>
      <c r="FF535" s="64"/>
      <c r="FG535" s="64"/>
      <c r="FH535" s="64"/>
      <c r="FI535" s="64"/>
    </row>
    <row r="536" spans="158:165" ht="15" customHeight="1" x14ac:dyDescent="0.15">
      <c r="FB536" s="63"/>
      <c r="FC536" s="64"/>
      <c r="FD536" s="64"/>
      <c r="FE536" s="64"/>
      <c r="FF536" s="64"/>
      <c r="FG536" s="64"/>
      <c r="FH536" s="64"/>
      <c r="FI536" s="64"/>
    </row>
    <row r="537" spans="158:165" ht="15" customHeight="1" x14ac:dyDescent="0.15">
      <c r="FB537" s="63"/>
      <c r="FC537" s="64"/>
      <c r="FD537" s="64"/>
      <c r="FE537" s="64"/>
      <c r="FF537" s="64"/>
      <c r="FG537" s="64"/>
      <c r="FH537" s="64"/>
      <c r="FI537" s="64"/>
    </row>
    <row r="538" spans="158:165" ht="15" customHeight="1" x14ac:dyDescent="0.15">
      <c r="FB538" s="63"/>
      <c r="FC538" s="64"/>
      <c r="FD538" s="64"/>
      <c r="FE538" s="64"/>
      <c r="FF538" s="64"/>
      <c r="FG538" s="64"/>
      <c r="FH538" s="64"/>
      <c r="FI538" s="64"/>
    </row>
    <row r="539" spans="158:165" ht="15" customHeight="1" x14ac:dyDescent="0.15">
      <c r="FB539" s="63"/>
      <c r="FC539" s="64"/>
      <c r="FD539" s="64"/>
      <c r="FE539" s="64"/>
      <c r="FF539" s="64"/>
      <c r="FG539" s="64"/>
      <c r="FH539" s="64"/>
      <c r="FI539" s="64"/>
    </row>
    <row r="540" spans="158:165" ht="15" customHeight="1" x14ac:dyDescent="0.15">
      <c r="FB540" s="63"/>
      <c r="FC540" s="64"/>
      <c r="FD540" s="64"/>
      <c r="FE540" s="64"/>
      <c r="FF540" s="64"/>
      <c r="FG540" s="64"/>
      <c r="FH540" s="64"/>
      <c r="FI540" s="64"/>
    </row>
    <row r="541" spans="158:165" ht="15" customHeight="1" x14ac:dyDescent="0.15">
      <c r="FB541" s="63"/>
      <c r="FC541" s="64"/>
      <c r="FD541" s="64"/>
      <c r="FE541" s="64"/>
      <c r="FF541" s="64"/>
      <c r="FG541" s="64"/>
      <c r="FH541" s="64"/>
      <c r="FI541" s="64"/>
    </row>
    <row r="542" spans="158:165" ht="15" customHeight="1" x14ac:dyDescent="0.15">
      <c r="FB542" s="63"/>
      <c r="FC542" s="64"/>
      <c r="FD542" s="64"/>
      <c r="FE542" s="64"/>
      <c r="FF542" s="64"/>
      <c r="FG542" s="64"/>
      <c r="FH542" s="64"/>
      <c r="FI542" s="64"/>
    </row>
    <row r="543" spans="158:165" ht="15" customHeight="1" x14ac:dyDescent="0.15">
      <c r="FB543" s="63"/>
      <c r="FC543" s="64"/>
      <c r="FD543" s="64"/>
      <c r="FE543" s="64"/>
      <c r="FF543" s="64"/>
      <c r="FG543" s="64"/>
      <c r="FH543" s="64"/>
      <c r="FI543" s="64"/>
    </row>
    <row r="544" spans="158:165" ht="15" customHeight="1" x14ac:dyDescent="0.15">
      <c r="FB544" s="63"/>
      <c r="FC544" s="64"/>
      <c r="FD544" s="64"/>
      <c r="FE544" s="64"/>
      <c r="FF544" s="64"/>
      <c r="FG544" s="64"/>
      <c r="FH544" s="64"/>
      <c r="FI544" s="64"/>
    </row>
    <row r="545" spans="158:165" ht="15" customHeight="1" x14ac:dyDescent="0.15">
      <c r="FB545" s="63"/>
      <c r="FC545" s="64"/>
      <c r="FD545" s="64"/>
      <c r="FE545" s="64"/>
      <c r="FF545" s="64"/>
      <c r="FG545" s="64"/>
      <c r="FH545" s="64"/>
      <c r="FI545" s="64"/>
    </row>
    <row r="546" spans="158:165" ht="15" customHeight="1" x14ac:dyDescent="0.15">
      <c r="FB546" s="63"/>
      <c r="FC546" s="64"/>
      <c r="FD546" s="64"/>
      <c r="FE546" s="64"/>
      <c r="FF546" s="64"/>
      <c r="FG546" s="64"/>
      <c r="FH546" s="64"/>
      <c r="FI546" s="64"/>
    </row>
    <row r="547" spans="158:165" ht="15" customHeight="1" x14ac:dyDescent="0.15">
      <c r="FB547" s="63"/>
      <c r="FC547" s="64"/>
      <c r="FD547" s="64"/>
      <c r="FE547" s="64"/>
      <c r="FF547" s="64"/>
      <c r="FG547" s="64"/>
      <c r="FH547" s="64"/>
      <c r="FI547" s="64"/>
    </row>
    <row r="548" spans="158:165" ht="15" customHeight="1" x14ac:dyDescent="0.15">
      <c r="FB548" s="63"/>
      <c r="FC548" s="64"/>
      <c r="FD548" s="64"/>
      <c r="FE548" s="64"/>
      <c r="FF548" s="64"/>
      <c r="FG548" s="64"/>
      <c r="FH548" s="64"/>
      <c r="FI548" s="64"/>
    </row>
    <row r="549" spans="158:165" ht="15" customHeight="1" x14ac:dyDescent="0.15">
      <c r="FB549" s="63"/>
      <c r="FC549" s="64"/>
      <c r="FD549" s="64"/>
      <c r="FE549" s="64"/>
      <c r="FF549" s="64"/>
      <c r="FG549" s="64"/>
      <c r="FH549" s="64"/>
      <c r="FI549" s="64"/>
    </row>
    <row r="550" spans="158:165" ht="15" customHeight="1" x14ac:dyDescent="0.15">
      <c r="FB550" s="63"/>
      <c r="FC550" s="64"/>
      <c r="FD550" s="64"/>
      <c r="FE550" s="64"/>
      <c r="FF550" s="64"/>
      <c r="FG550" s="64"/>
      <c r="FH550" s="64"/>
      <c r="FI550" s="64"/>
    </row>
    <row r="551" spans="158:165" ht="15" customHeight="1" x14ac:dyDescent="0.15">
      <c r="FB551" s="63"/>
      <c r="FC551" s="64"/>
      <c r="FD551" s="64"/>
      <c r="FE551" s="64"/>
      <c r="FF551" s="64"/>
      <c r="FG551" s="64"/>
      <c r="FH551" s="64"/>
      <c r="FI551" s="64"/>
    </row>
    <row r="552" spans="158:165" ht="15" customHeight="1" x14ac:dyDescent="0.15">
      <c r="FB552" s="63"/>
      <c r="FC552" s="64"/>
      <c r="FD552" s="64"/>
      <c r="FE552" s="64"/>
      <c r="FF552" s="64"/>
      <c r="FG552" s="64"/>
      <c r="FH552" s="64"/>
      <c r="FI552" s="64"/>
    </row>
    <row r="553" spans="158:165" ht="15" customHeight="1" x14ac:dyDescent="0.15">
      <c r="FB553" s="63"/>
      <c r="FC553" s="64"/>
      <c r="FD553" s="64"/>
      <c r="FE553" s="64"/>
      <c r="FF553" s="64"/>
      <c r="FG553" s="64"/>
      <c r="FH553" s="64"/>
      <c r="FI553" s="64"/>
    </row>
    <row r="554" spans="158:165" ht="15" customHeight="1" x14ac:dyDescent="0.15">
      <c r="FB554" s="63"/>
      <c r="FC554" s="64"/>
      <c r="FD554" s="64"/>
      <c r="FE554" s="64"/>
      <c r="FF554" s="64"/>
      <c r="FG554" s="64"/>
      <c r="FH554" s="64"/>
      <c r="FI554" s="64"/>
    </row>
    <row r="555" spans="158:165" ht="15" customHeight="1" x14ac:dyDescent="0.15">
      <c r="FB555" s="63"/>
      <c r="FC555" s="64"/>
      <c r="FD555" s="64"/>
      <c r="FE555" s="64"/>
      <c r="FF555" s="64"/>
      <c r="FG555" s="64"/>
      <c r="FH555" s="64"/>
      <c r="FI555" s="64"/>
    </row>
    <row r="556" spans="158:165" ht="15" customHeight="1" x14ac:dyDescent="0.15">
      <c r="FB556" s="63"/>
      <c r="FC556" s="64"/>
      <c r="FD556" s="64"/>
      <c r="FE556" s="64"/>
      <c r="FF556" s="64"/>
      <c r="FG556" s="64"/>
      <c r="FH556" s="64"/>
      <c r="FI556" s="64"/>
    </row>
    <row r="557" spans="158:165" ht="15" customHeight="1" x14ac:dyDescent="0.15">
      <c r="FB557" s="63"/>
      <c r="FC557" s="64"/>
      <c r="FD557" s="64"/>
      <c r="FE557" s="64"/>
      <c r="FF557" s="64"/>
      <c r="FG557" s="64"/>
      <c r="FH557" s="64"/>
      <c r="FI557" s="64"/>
    </row>
    <row r="558" spans="158:165" ht="15" customHeight="1" x14ac:dyDescent="0.15">
      <c r="FB558" s="63"/>
      <c r="FC558" s="64"/>
      <c r="FD558" s="64"/>
      <c r="FE558" s="64"/>
      <c r="FF558" s="64"/>
      <c r="FG558" s="64"/>
      <c r="FH558" s="64"/>
      <c r="FI558" s="64"/>
    </row>
    <row r="559" spans="158:165" ht="15" customHeight="1" x14ac:dyDescent="0.15">
      <c r="FB559" s="63"/>
      <c r="FC559" s="64"/>
      <c r="FD559" s="64"/>
      <c r="FE559" s="64"/>
      <c r="FF559" s="64"/>
      <c r="FG559" s="64"/>
      <c r="FH559" s="64"/>
      <c r="FI559" s="64"/>
    </row>
    <row r="560" spans="158:165" ht="15" customHeight="1" x14ac:dyDescent="0.15">
      <c r="FB560" s="63"/>
      <c r="FC560" s="64"/>
      <c r="FD560" s="64"/>
      <c r="FE560" s="64"/>
      <c r="FF560" s="64"/>
      <c r="FG560" s="64"/>
      <c r="FH560" s="64"/>
      <c r="FI560" s="64"/>
    </row>
    <row r="561" spans="158:165" ht="15" customHeight="1" x14ac:dyDescent="0.15">
      <c r="FB561" s="63"/>
      <c r="FC561" s="64"/>
      <c r="FD561" s="64"/>
      <c r="FE561" s="64"/>
      <c r="FF561" s="64"/>
      <c r="FG561" s="64"/>
      <c r="FH561" s="64"/>
      <c r="FI561" s="64"/>
    </row>
    <row r="562" spans="158:165" ht="15" customHeight="1" x14ac:dyDescent="0.15">
      <c r="FB562" s="63"/>
      <c r="FC562" s="64"/>
      <c r="FD562" s="64"/>
      <c r="FE562" s="64"/>
      <c r="FF562" s="64"/>
      <c r="FG562" s="64"/>
      <c r="FH562" s="64"/>
      <c r="FI562" s="64"/>
    </row>
    <row r="563" spans="158:165" ht="15" customHeight="1" x14ac:dyDescent="0.15">
      <c r="FB563" s="63"/>
      <c r="FC563" s="64"/>
      <c r="FD563" s="64"/>
      <c r="FE563" s="64"/>
      <c r="FF563" s="64"/>
      <c r="FG563" s="64"/>
      <c r="FH563" s="64"/>
      <c r="FI563" s="64"/>
    </row>
    <row r="564" spans="158:165" ht="15" customHeight="1" x14ac:dyDescent="0.15">
      <c r="FB564" s="63"/>
      <c r="FC564" s="64"/>
      <c r="FD564" s="64"/>
      <c r="FE564" s="64"/>
      <c r="FF564" s="64"/>
      <c r="FG564" s="64"/>
      <c r="FH564" s="64"/>
      <c r="FI564" s="64"/>
    </row>
    <row r="565" spans="158:165" ht="15" customHeight="1" x14ac:dyDescent="0.15">
      <c r="FB565" s="63"/>
      <c r="FC565" s="64"/>
      <c r="FD565" s="64"/>
      <c r="FE565" s="64"/>
      <c r="FF565" s="64"/>
      <c r="FG565" s="64"/>
      <c r="FH565" s="64"/>
      <c r="FI565" s="64"/>
    </row>
    <row r="566" spans="158:165" ht="15" customHeight="1" x14ac:dyDescent="0.15">
      <c r="FB566" s="63"/>
      <c r="FC566" s="64"/>
      <c r="FD566" s="64"/>
      <c r="FE566" s="64"/>
      <c r="FF566" s="64"/>
      <c r="FG566" s="64"/>
      <c r="FH566" s="64"/>
      <c r="FI566" s="64"/>
    </row>
    <row r="567" spans="158:165" ht="15" customHeight="1" x14ac:dyDescent="0.15">
      <c r="FB567" s="63"/>
      <c r="FC567" s="64"/>
      <c r="FD567" s="64"/>
      <c r="FE567" s="64"/>
      <c r="FF567" s="64"/>
      <c r="FG567" s="64"/>
      <c r="FH567" s="64"/>
      <c r="FI567" s="64"/>
    </row>
    <row r="568" spans="158:165" ht="15" customHeight="1" x14ac:dyDescent="0.15">
      <c r="FB568" s="63"/>
      <c r="FC568" s="64"/>
      <c r="FD568" s="64"/>
      <c r="FE568" s="64"/>
      <c r="FF568" s="64"/>
      <c r="FG568" s="64"/>
      <c r="FH568" s="64"/>
      <c r="FI568" s="64"/>
    </row>
    <row r="569" spans="158:165" ht="15" customHeight="1" x14ac:dyDescent="0.15">
      <c r="FB569" s="63"/>
      <c r="FC569" s="64"/>
      <c r="FD569" s="64"/>
      <c r="FE569" s="64"/>
      <c r="FF569" s="64"/>
      <c r="FG569" s="64"/>
      <c r="FH569" s="64"/>
      <c r="FI569" s="64"/>
    </row>
    <row r="570" spans="158:165" ht="15" customHeight="1" x14ac:dyDescent="0.15">
      <c r="FB570" s="63"/>
      <c r="FC570" s="64"/>
      <c r="FD570" s="64"/>
      <c r="FE570" s="64"/>
      <c r="FF570" s="64"/>
      <c r="FG570" s="64"/>
      <c r="FH570" s="64"/>
      <c r="FI570" s="64"/>
    </row>
    <row r="571" spans="158:165" ht="15" customHeight="1" x14ac:dyDescent="0.15">
      <c r="FB571" s="63"/>
      <c r="FC571" s="64"/>
      <c r="FD571" s="64"/>
      <c r="FE571" s="64"/>
      <c r="FF571" s="64"/>
      <c r="FG571" s="64"/>
      <c r="FH571" s="64"/>
      <c r="FI571" s="64"/>
    </row>
    <row r="572" spans="158:165" ht="15" customHeight="1" x14ac:dyDescent="0.15">
      <c r="FB572" s="63"/>
      <c r="FC572" s="64"/>
      <c r="FD572" s="64"/>
      <c r="FE572" s="64"/>
      <c r="FF572" s="64"/>
      <c r="FG572" s="64"/>
      <c r="FH572" s="64"/>
      <c r="FI572" s="64"/>
    </row>
    <row r="573" spans="158:165" ht="15" customHeight="1" x14ac:dyDescent="0.15">
      <c r="FB573" s="63"/>
      <c r="FC573" s="64"/>
      <c r="FD573" s="64"/>
      <c r="FE573" s="64"/>
      <c r="FF573" s="64"/>
      <c r="FG573" s="64"/>
      <c r="FH573" s="64"/>
      <c r="FI573" s="64"/>
    </row>
    <row r="574" spans="158:165" ht="15" customHeight="1" x14ac:dyDescent="0.15">
      <c r="FB574" s="63"/>
      <c r="FC574" s="64"/>
      <c r="FD574" s="64"/>
      <c r="FE574" s="64"/>
      <c r="FF574" s="64"/>
      <c r="FG574" s="64"/>
      <c r="FH574" s="64"/>
      <c r="FI574" s="64"/>
    </row>
    <row r="575" spans="158:165" ht="15" customHeight="1" x14ac:dyDescent="0.15">
      <c r="FB575" s="63"/>
      <c r="FC575" s="64"/>
      <c r="FD575" s="64"/>
      <c r="FE575" s="64"/>
      <c r="FF575" s="64"/>
      <c r="FG575" s="64"/>
      <c r="FH575" s="64"/>
      <c r="FI575" s="64"/>
    </row>
    <row r="576" spans="158:165" ht="15" customHeight="1" x14ac:dyDescent="0.15">
      <c r="FB576" s="63"/>
      <c r="FC576" s="64"/>
      <c r="FD576" s="64"/>
      <c r="FE576" s="64"/>
      <c r="FF576" s="64"/>
      <c r="FG576" s="64"/>
      <c r="FH576" s="64"/>
      <c r="FI576" s="64"/>
    </row>
    <row r="577" spans="158:165" ht="15" customHeight="1" x14ac:dyDescent="0.15">
      <c r="FB577" s="63"/>
      <c r="FC577" s="64"/>
      <c r="FD577" s="64"/>
      <c r="FE577" s="64"/>
      <c r="FF577" s="64"/>
      <c r="FG577" s="64"/>
      <c r="FH577" s="64"/>
      <c r="FI577" s="64"/>
    </row>
    <row r="578" spans="158:165" ht="15" customHeight="1" x14ac:dyDescent="0.15">
      <c r="FB578" s="63"/>
      <c r="FC578" s="64"/>
      <c r="FD578" s="64"/>
      <c r="FE578" s="64"/>
      <c r="FF578" s="64"/>
      <c r="FG578" s="64"/>
      <c r="FH578" s="64"/>
      <c r="FI578" s="64"/>
    </row>
    <row r="579" spans="158:165" ht="15" customHeight="1" x14ac:dyDescent="0.15">
      <c r="FB579" s="63"/>
      <c r="FC579" s="64"/>
      <c r="FD579" s="64"/>
      <c r="FE579" s="64"/>
      <c r="FF579" s="64"/>
      <c r="FG579" s="64"/>
      <c r="FH579" s="64"/>
      <c r="FI579" s="64"/>
    </row>
    <row r="580" spans="158:165" ht="15" customHeight="1" x14ac:dyDescent="0.15">
      <c r="FB580" s="63"/>
      <c r="FC580" s="64"/>
      <c r="FD580" s="64"/>
      <c r="FE580" s="64"/>
      <c r="FF580" s="64"/>
      <c r="FG580" s="64"/>
      <c r="FH580" s="64"/>
      <c r="FI580" s="64"/>
    </row>
    <row r="581" spans="158:165" ht="15" customHeight="1" x14ac:dyDescent="0.15">
      <c r="FB581" s="63"/>
      <c r="FC581" s="64"/>
      <c r="FD581" s="64"/>
      <c r="FE581" s="64"/>
      <c r="FF581" s="64"/>
      <c r="FG581" s="64"/>
      <c r="FH581" s="64"/>
      <c r="FI581" s="64"/>
    </row>
    <row r="582" spans="158:165" ht="15" customHeight="1" x14ac:dyDescent="0.15">
      <c r="FB582" s="63"/>
      <c r="FC582" s="64"/>
      <c r="FD582" s="64"/>
      <c r="FE582" s="64"/>
      <c r="FF582" s="64"/>
      <c r="FG582" s="64"/>
      <c r="FH582" s="64"/>
      <c r="FI582" s="64"/>
    </row>
    <row r="583" spans="158:165" ht="15" customHeight="1" x14ac:dyDescent="0.15">
      <c r="FB583" s="63"/>
      <c r="FC583" s="64"/>
      <c r="FD583" s="64"/>
      <c r="FE583" s="64"/>
      <c r="FF583" s="64"/>
      <c r="FG583" s="64"/>
      <c r="FH583" s="64"/>
      <c r="FI583" s="64"/>
    </row>
    <row r="584" spans="158:165" ht="15" customHeight="1" x14ac:dyDescent="0.15">
      <c r="FB584" s="63"/>
      <c r="FC584" s="64"/>
      <c r="FD584" s="64"/>
      <c r="FE584" s="64"/>
      <c r="FF584" s="64"/>
      <c r="FG584" s="64"/>
      <c r="FH584" s="64"/>
      <c r="FI584" s="64"/>
    </row>
    <row r="585" spans="158:165" ht="15" customHeight="1" x14ac:dyDescent="0.15">
      <c r="FB585" s="63"/>
      <c r="FC585" s="64"/>
      <c r="FD585" s="64"/>
      <c r="FE585" s="64"/>
      <c r="FF585" s="64"/>
      <c r="FG585" s="64"/>
      <c r="FH585" s="64"/>
      <c r="FI585" s="64"/>
    </row>
    <row r="586" spans="158:165" ht="15" customHeight="1" x14ac:dyDescent="0.15">
      <c r="FB586" s="63"/>
      <c r="FC586" s="64"/>
      <c r="FD586" s="64"/>
      <c r="FE586" s="64"/>
      <c r="FF586" s="64"/>
      <c r="FG586" s="64"/>
      <c r="FH586" s="64"/>
      <c r="FI586" s="64"/>
    </row>
    <row r="587" spans="158:165" ht="15" customHeight="1" x14ac:dyDescent="0.15">
      <c r="FB587" s="63"/>
      <c r="FC587" s="64"/>
      <c r="FD587" s="64"/>
      <c r="FE587" s="64"/>
      <c r="FF587" s="64"/>
      <c r="FG587" s="64"/>
      <c r="FH587" s="64"/>
      <c r="FI587" s="64"/>
    </row>
    <row r="588" spans="158:165" ht="15" customHeight="1" x14ac:dyDescent="0.15">
      <c r="FB588" s="63"/>
      <c r="FC588" s="64"/>
      <c r="FD588" s="64"/>
      <c r="FE588" s="64"/>
      <c r="FF588" s="64"/>
      <c r="FG588" s="64"/>
      <c r="FH588" s="64"/>
      <c r="FI588" s="64"/>
    </row>
    <row r="589" spans="158:165" ht="15" customHeight="1" x14ac:dyDescent="0.15">
      <c r="FB589" s="63"/>
      <c r="FC589" s="64"/>
      <c r="FD589" s="64"/>
      <c r="FE589" s="64"/>
      <c r="FF589" s="64"/>
      <c r="FG589" s="64"/>
      <c r="FH589" s="64"/>
      <c r="FI589" s="64"/>
    </row>
    <row r="590" spans="158:165" ht="15" customHeight="1" x14ac:dyDescent="0.15">
      <c r="FB590" s="63"/>
      <c r="FC590" s="64"/>
      <c r="FD590" s="64"/>
      <c r="FE590" s="64"/>
      <c r="FF590" s="64"/>
      <c r="FG590" s="64"/>
      <c r="FH590" s="64"/>
      <c r="FI590" s="64"/>
    </row>
    <row r="591" spans="158:165" ht="15" customHeight="1" x14ac:dyDescent="0.15">
      <c r="FB591" s="63"/>
      <c r="FC591" s="64"/>
      <c r="FD591" s="64"/>
      <c r="FE591" s="64"/>
      <c r="FF591" s="64"/>
      <c r="FG591" s="64"/>
      <c r="FH591" s="64"/>
      <c r="FI591" s="64"/>
    </row>
    <row r="592" spans="158:165" ht="15" customHeight="1" x14ac:dyDescent="0.15">
      <c r="FB592" s="63"/>
      <c r="FC592" s="64"/>
      <c r="FD592" s="64"/>
      <c r="FE592" s="64"/>
      <c r="FF592" s="64"/>
      <c r="FG592" s="64"/>
      <c r="FH592" s="64"/>
      <c r="FI592" s="64"/>
    </row>
    <row r="593" spans="158:165" ht="15" customHeight="1" x14ac:dyDescent="0.15">
      <c r="FB593" s="63"/>
      <c r="FC593" s="64"/>
      <c r="FD593" s="64"/>
      <c r="FE593" s="64"/>
      <c r="FF593" s="64"/>
      <c r="FG593" s="64"/>
      <c r="FH593" s="64"/>
      <c r="FI593" s="64"/>
    </row>
    <row r="594" spans="158:165" ht="15" customHeight="1" x14ac:dyDescent="0.15">
      <c r="FB594" s="63"/>
      <c r="FC594" s="64"/>
      <c r="FD594" s="64"/>
      <c r="FE594" s="64"/>
      <c r="FF594" s="64"/>
      <c r="FG594" s="64"/>
      <c r="FH594" s="64"/>
      <c r="FI594" s="64"/>
    </row>
    <row r="595" spans="158:165" ht="15" customHeight="1" x14ac:dyDescent="0.15">
      <c r="FB595" s="63"/>
      <c r="FC595" s="64"/>
      <c r="FD595" s="64"/>
      <c r="FE595" s="64"/>
      <c r="FF595" s="64"/>
      <c r="FG595" s="64"/>
      <c r="FH595" s="64"/>
      <c r="FI595" s="64"/>
    </row>
    <row r="596" spans="158:165" ht="15" customHeight="1" x14ac:dyDescent="0.15">
      <c r="FB596" s="63"/>
      <c r="FC596" s="64"/>
      <c r="FD596" s="64"/>
      <c r="FE596" s="64"/>
      <c r="FF596" s="64"/>
      <c r="FG596" s="64"/>
      <c r="FH596" s="64"/>
      <c r="FI596" s="64"/>
    </row>
    <row r="597" spans="158:165" ht="15" customHeight="1" x14ac:dyDescent="0.15">
      <c r="FB597" s="63"/>
      <c r="FC597" s="64"/>
      <c r="FD597" s="64"/>
      <c r="FE597" s="64"/>
      <c r="FF597" s="64"/>
      <c r="FG597" s="64"/>
      <c r="FH597" s="64"/>
      <c r="FI597" s="64"/>
    </row>
    <row r="598" spans="158:165" ht="15" customHeight="1" x14ac:dyDescent="0.15">
      <c r="FB598" s="63"/>
      <c r="FC598" s="64"/>
      <c r="FD598" s="64"/>
      <c r="FE598" s="64"/>
      <c r="FF598" s="64"/>
      <c r="FG598" s="64"/>
      <c r="FH598" s="64"/>
      <c r="FI598" s="64"/>
    </row>
    <row r="599" spans="158:165" ht="15" customHeight="1" x14ac:dyDescent="0.15">
      <c r="FB599" s="63"/>
      <c r="FC599" s="64"/>
      <c r="FD599" s="64"/>
      <c r="FE599" s="64"/>
      <c r="FF599" s="64"/>
      <c r="FG599" s="64"/>
      <c r="FH599" s="64"/>
      <c r="FI599" s="64"/>
    </row>
    <row r="600" spans="158:165" ht="15" customHeight="1" x14ac:dyDescent="0.15">
      <c r="FB600" s="63"/>
      <c r="FC600" s="64"/>
      <c r="FD600" s="64"/>
      <c r="FE600" s="64"/>
      <c r="FF600" s="64"/>
      <c r="FG600" s="64"/>
      <c r="FH600" s="64"/>
      <c r="FI600" s="64"/>
    </row>
    <row r="601" spans="158:165" ht="15" customHeight="1" x14ac:dyDescent="0.15">
      <c r="FB601" s="63"/>
      <c r="FC601" s="64"/>
      <c r="FD601" s="64"/>
      <c r="FE601" s="64"/>
      <c r="FF601" s="64"/>
      <c r="FG601" s="64"/>
      <c r="FH601" s="64"/>
      <c r="FI601" s="64"/>
    </row>
    <row r="602" spans="158:165" ht="15" customHeight="1" x14ac:dyDescent="0.15">
      <c r="FB602" s="63"/>
      <c r="FC602" s="64"/>
      <c r="FD602" s="64"/>
      <c r="FE602" s="64"/>
      <c r="FF602" s="64"/>
      <c r="FG602" s="64"/>
      <c r="FH602" s="64"/>
      <c r="FI602" s="64"/>
    </row>
    <row r="603" spans="158:165" ht="15" customHeight="1" x14ac:dyDescent="0.15">
      <c r="FB603" s="63"/>
      <c r="FC603" s="64"/>
      <c r="FD603" s="64"/>
      <c r="FE603" s="64"/>
      <c r="FF603" s="64"/>
      <c r="FG603" s="64"/>
      <c r="FH603" s="64"/>
      <c r="FI603" s="64"/>
    </row>
    <row r="604" spans="158:165" ht="15" customHeight="1" x14ac:dyDescent="0.15">
      <c r="FB604" s="63"/>
      <c r="FC604" s="64"/>
      <c r="FD604" s="64"/>
      <c r="FE604" s="64"/>
      <c r="FF604" s="64"/>
      <c r="FG604" s="64"/>
      <c r="FH604" s="64"/>
      <c r="FI604" s="64"/>
    </row>
    <row r="605" spans="158:165" ht="15" customHeight="1" x14ac:dyDescent="0.15">
      <c r="FB605" s="63"/>
      <c r="FC605" s="64"/>
      <c r="FD605" s="64"/>
      <c r="FE605" s="64"/>
      <c r="FF605" s="64"/>
      <c r="FG605" s="64"/>
      <c r="FH605" s="64"/>
      <c r="FI605" s="64"/>
    </row>
    <row r="606" spans="158:165" ht="15" customHeight="1" x14ac:dyDescent="0.15">
      <c r="FB606" s="63"/>
      <c r="FC606" s="64"/>
      <c r="FD606" s="64"/>
      <c r="FE606" s="64"/>
      <c r="FF606" s="64"/>
      <c r="FG606" s="64"/>
      <c r="FH606" s="64"/>
      <c r="FI606" s="64"/>
    </row>
    <row r="607" spans="158:165" ht="15" customHeight="1" x14ac:dyDescent="0.15">
      <c r="FB607" s="63"/>
      <c r="FC607" s="64"/>
      <c r="FD607" s="64"/>
      <c r="FE607" s="64"/>
      <c r="FF607" s="64"/>
      <c r="FG607" s="64"/>
      <c r="FH607" s="64"/>
      <c r="FI607" s="64"/>
    </row>
    <row r="608" spans="158:165" ht="15" customHeight="1" x14ac:dyDescent="0.15">
      <c r="FB608" s="63"/>
      <c r="FC608" s="64"/>
      <c r="FD608" s="64"/>
      <c r="FE608" s="64"/>
      <c r="FF608" s="64"/>
      <c r="FG608" s="64"/>
      <c r="FH608" s="64"/>
      <c r="FI608" s="64"/>
    </row>
    <row r="609" spans="158:165" ht="15" customHeight="1" x14ac:dyDescent="0.15">
      <c r="FB609" s="63"/>
      <c r="FC609" s="64"/>
      <c r="FD609" s="64"/>
      <c r="FE609" s="64"/>
      <c r="FF609" s="64"/>
      <c r="FG609" s="64"/>
      <c r="FH609" s="64"/>
      <c r="FI609" s="64"/>
    </row>
    <row r="610" spans="158:165" ht="15" customHeight="1" x14ac:dyDescent="0.15">
      <c r="FB610" s="63"/>
      <c r="FC610" s="64"/>
      <c r="FD610" s="64"/>
      <c r="FE610" s="64"/>
      <c r="FF610" s="64"/>
      <c r="FG610" s="64"/>
      <c r="FH610" s="64"/>
      <c r="FI610" s="64"/>
    </row>
    <row r="611" spans="158:165" ht="15" customHeight="1" x14ac:dyDescent="0.15">
      <c r="FB611" s="63"/>
      <c r="FC611" s="64"/>
      <c r="FD611" s="64"/>
      <c r="FE611" s="64"/>
      <c r="FF611" s="64"/>
      <c r="FG611" s="64"/>
      <c r="FH611" s="64"/>
      <c r="FI611" s="64"/>
    </row>
    <row r="612" spans="158:165" ht="15" customHeight="1" x14ac:dyDescent="0.15">
      <c r="FB612" s="63"/>
      <c r="FC612" s="64"/>
      <c r="FD612" s="64"/>
      <c r="FE612" s="64"/>
      <c r="FF612" s="64"/>
      <c r="FG612" s="64"/>
      <c r="FH612" s="64"/>
      <c r="FI612" s="64"/>
    </row>
    <row r="613" spans="158:165" ht="15" customHeight="1" x14ac:dyDescent="0.15">
      <c r="FB613" s="63"/>
      <c r="FC613" s="64"/>
      <c r="FD613" s="64"/>
      <c r="FE613" s="64"/>
      <c r="FF613" s="64"/>
      <c r="FG613" s="64"/>
      <c r="FH613" s="64"/>
      <c r="FI613" s="64"/>
    </row>
    <row r="614" spans="158:165" ht="15" customHeight="1" x14ac:dyDescent="0.15">
      <c r="FB614" s="63"/>
      <c r="FC614" s="64"/>
      <c r="FD614" s="64"/>
      <c r="FE614" s="64"/>
      <c r="FF614" s="64"/>
      <c r="FG614" s="64"/>
      <c r="FH614" s="64"/>
      <c r="FI614" s="64"/>
    </row>
    <row r="615" spans="158:165" ht="15" customHeight="1" x14ac:dyDescent="0.15">
      <c r="FB615" s="63"/>
      <c r="FC615" s="64"/>
      <c r="FD615" s="64"/>
      <c r="FE615" s="64"/>
      <c r="FF615" s="64"/>
      <c r="FG615" s="64"/>
      <c r="FH615" s="64"/>
      <c r="FI615" s="64"/>
    </row>
    <row r="616" spans="158:165" ht="15" customHeight="1" x14ac:dyDescent="0.15">
      <c r="FB616" s="63"/>
      <c r="FC616" s="64"/>
      <c r="FD616" s="64"/>
      <c r="FE616" s="64"/>
      <c r="FF616" s="64"/>
      <c r="FG616" s="64"/>
      <c r="FH616" s="64"/>
      <c r="FI616" s="64"/>
    </row>
    <row r="617" spans="158:165" ht="15" customHeight="1" x14ac:dyDescent="0.15">
      <c r="FB617" s="63"/>
      <c r="FC617" s="64"/>
      <c r="FD617" s="64"/>
      <c r="FE617" s="64"/>
      <c r="FF617" s="64"/>
      <c r="FG617" s="64"/>
      <c r="FH617" s="64"/>
      <c r="FI617" s="64"/>
    </row>
    <row r="618" spans="158:165" ht="15" customHeight="1" x14ac:dyDescent="0.15">
      <c r="FB618" s="63"/>
      <c r="FC618" s="64"/>
      <c r="FD618" s="64"/>
      <c r="FE618" s="64"/>
      <c r="FF618" s="64"/>
      <c r="FG618" s="64"/>
      <c r="FH618" s="64"/>
      <c r="FI618" s="64"/>
    </row>
    <row r="619" spans="158:165" ht="15" customHeight="1" x14ac:dyDescent="0.15">
      <c r="FB619" s="63"/>
      <c r="FC619" s="64"/>
      <c r="FD619" s="64"/>
      <c r="FE619" s="64"/>
      <c r="FF619" s="64"/>
      <c r="FG619" s="64"/>
      <c r="FH619" s="64"/>
      <c r="FI619" s="64"/>
    </row>
    <row r="620" spans="158:165" ht="15" customHeight="1" x14ac:dyDescent="0.15">
      <c r="FB620" s="63"/>
      <c r="FC620" s="64"/>
      <c r="FD620" s="64"/>
      <c r="FE620" s="64"/>
      <c r="FF620" s="64"/>
      <c r="FG620" s="64"/>
      <c r="FH620" s="64"/>
      <c r="FI620" s="64"/>
    </row>
    <row r="621" spans="158:165" ht="15" customHeight="1" x14ac:dyDescent="0.15">
      <c r="FB621" s="63"/>
      <c r="FC621" s="64"/>
      <c r="FD621" s="64"/>
      <c r="FE621" s="64"/>
      <c r="FF621" s="64"/>
      <c r="FG621" s="64"/>
      <c r="FH621" s="64"/>
      <c r="FI621" s="64"/>
    </row>
    <row r="622" spans="158:165" ht="15" customHeight="1" x14ac:dyDescent="0.15">
      <c r="FB622" s="63"/>
      <c r="FC622" s="64"/>
      <c r="FD622" s="64"/>
      <c r="FE622" s="64"/>
      <c r="FF622" s="64"/>
      <c r="FG622" s="64"/>
      <c r="FH622" s="64"/>
      <c r="FI622" s="64"/>
    </row>
    <row r="623" spans="158:165" ht="15" customHeight="1" x14ac:dyDescent="0.15">
      <c r="FB623" s="63"/>
      <c r="FC623" s="64"/>
      <c r="FD623" s="64"/>
      <c r="FE623" s="64"/>
      <c r="FF623" s="64"/>
      <c r="FG623" s="64"/>
      <c r="FH623" s="64"/>
      <c r="FI623" s="64"/>
    </row>
    <row r="624" spans="158:165" ht="15" customHeight="1" x14ac:dyDescent="0.15">
      <c r="FB624" s="63"/>
      <c r="FC624" s="64"/>
      <c r="FD624" s="64"/>
      <c r="FE624" s="64"/>
      <c r="FF624" s="64"/>
      <c r="FG624" s="64"/>
      <c r="FH624" s="64"/>
      <c r="FI624" s="64"/>
    </row>
    <row r="625" spans="158:165" ht="15" customHeight="1" x14ac:dyDescent="0.15">
      <c r="FB625" s="63"/>
      <c r="FC625" s="64"/>
      <c r="FD625" s="64"/>
      <c r="FE625" s="64"/>
      <c r="FF625" s="64"/>
      <c r="FG625" s="64"/>
      <c r="FH625" s="64"/>
      <c r="FI625" s="64"/>
    </row>
    <row r="626" spans="158:165" ht="15" customHeight="1" x14ac:dyDescent="0.15">
      <c r="FB626" s="63"/>
      <c r="FC626" s="64"/>
      <c r="FD626" s="64"/>
      <c r="FE626" s="64"/>
      <c r="FF626" s="64"/>
      <c r="FG626" s="64"/>
      <c r="FH626" s="64"/>
      <c r="FI626" s="64"/>
    </row>
    <row r="627" spans="158:165" ht="15" customHeight="1" x14ac:dyDescent="0.15">
      <c r="FB627" s="63"/>
      <c r="FC627" s="64"/>
      <c r="FD627" s="64"/>
      <c r="FE627" s="64"/>
      <c r="FF627" s="64"/>
      <c r="FG627" s="64"/>
      <c r="FH627" s="64"/>
      <c r="FI627" s="64"/>
    </row>
    <row r="628" spans="158:165" ht="15" customHeight="1" x14ac:dyDescent="0.15">
      <c r="FB628" s="63"/>
      <c r="FC628" s="64"/>
      <c r="FD628" s="64"/>
      <c r="FE628" s="64"/>
      <c r="FF628" s="64"/>
      <c r="FG628" s="64"/>
      <c r="FH628" s="64"/>
      <c r="FI628" s="64"/>
    </row>
    <row r="629" spans="158:165" ht="15" customHeight="1" x14ac:dyDescent="0.15">
      <c r="FB629" s="63"/>
      <c r="FC629" s="64"/>
      <c r="FD629" s="64"/>
      <c r="FE629" s="64"/>
      <c r="FF629" s="64"/>
      <c r="FG629" s="64"/>
      <c r="FH629" s="64"/>
      <c r="FI629" s="64"/>
    </row>
    <row r="630" spans="158:165" ht="15" customHeight="1" x14ac:dyDescent="0.15">
      <c r="FB630" s="63"/>
      <c r="FC630" s="64"/>
      <c r="FD630" s="64"/>
      <c r="FE630" s="64"/>
      <c r="FF630" s="64"/>
      <c r="FG630" s="64"/>
      <c r="FH630" s="64"/>
      <c r="FI630" s="64"/>
    </row>
    <row r="631" spans="158:165" ht="15" customHeight="1" x14ac:dyDescent="0.15">
      <c r="FB631" s="63"/>
      <c r="FC631" s="64"/>
      <c r="FD631" s="64"/>
      <c r="FE631" s="64"/>
      <c r="FF631" s="64"/>
      <c r="FG631" s="64"/>
      <c r="FH631" s="64"/>
      <c r="FI631" s="64"/>
    </row>
    <row r="632" spans="158:165" ht="15" customHeight="1" x14ac:dyDescent="0.15">
      <c r="FB632" s="63"/>
      <c r="FC632" s="64"/>
      <c r="FD632" s="64"/>
      <c r="FE632" s="64"/>
      <c r="FF632" s="64"/>
      <c r="FG632" s="64"/>
      <c r="FH632" s="64"/>
      <c r="FI632" s="64"/>
    </row>
    <row r="633" spans="158:165" ht="15" customHeight="1" x14ac:dyDescent="0.15">
      <c r="FB633" s="63"/>
      <c r="FC633" s="64"/>
      <c r="FD633" s="64"/>
      <c r="FE633" s="64"/>
      <c r="FF633" s="64"/>
      <c r="FG633" s="64"/>
      <c r="FH633" s="64"/>
      <c r="FI633" s="64"/>
    </row>
    <row r="634" spans="158:165" ht="15" customHeight="1" x14ac:dyDescent="0.15">
      <c r="FB634" s="63"/>
      <c r="FC634" s="64"/>
      <c r="FD634" s="64"/>
      <c r="FE634" s="64"/>
      <c r="FF634" s="64"/>
      <c r="FG634" s="64"/>
      <c r="FH634" s="64"/>
      <c r="FI634" s="64"/>
    </row>
    <row r="635" spans="158:165" ht="15" customHeight="1" x14ac:dyDescent="0.15">
      <c r="FB635" s="63"/>
      <c r="FC635" s="64"/>
      <c r="FD635" s="64"/>
      <c r="FE635" s="64"/>
      <c r="FF635" s="64"/>
      <c r="FG635" s="64"/>
      <c r="FH635" s="64"/>
      <c r="FI635" s="64"/>
    </row>
    <row r="636" spans="158:165" ht="15" customHeight="1" x14ac:dyDescent="0.15">
      <c r="FB636" s="63"/>
      <c r="FC636" s="64"/>
      <c r="FD636" s="64"/>
      <c r="FE636" s="64"/>
      <c r="FF636" s="64"/>
      <c r="FG636" s="64"/>
      <c r="FH636" s="64"/>
      <c r="FI636" s="64"/>
    </row>
    <row r="637" spans="158:165" ht="15" customHeight="1" x14ac:dyDescent="0.15">
      <c r="FB637" s="63"/>
      <c r="FC637" s="64"/>
      <c r="FD637" s="64"/>
      <c r="FE637" s="64"/>
      <c r="FF637" s="64"/>
      <c r="FG637" s="64"/>
      <c r="FH637" s="64"/>
      <c r="FI637" s="64"/>
    </row>
    <row r="638" spans="158:165" ht="15" customHeight="1" x14ac:dyDescent="0.15">
      <c r="FB638" s="63"/>
      <c r="FC638" s="64"/>
      <c r="FD638" s="64"/>
      <c r="FE638" s="64"/>
      <c r="FF638" s="64"/>
      <c r="FG638" s="64"/>
      <c r="FH638" s="64"/>
      <c r="FI638" s="64"/>
    </row>
    <row r="639" spans="158:165" ht="15" customHeight="1" x14ac:dyDescent="0.15">
      <c r="FB639" s="63"/>
      <c r="FC639" s="64"/>
      <c r="FD639" s="64"/>
      <c r="FE639" s="64"/>
      <c r="FF639" s="64"/>
      <c r="FG639" s="64"/>
      <c r="FH639" s="64"/>
      <c r="FI639" s="64"/>
    </row>
    <row r="640" spans="158:165" ht="15" customHeight="1" x14ac:dyDescent="0.15">
      <c r="FB640" s="63"/>
      <c r="FC640" s="64"/>
      <c r="FD640" s="64"/>
      <c r="FE640" s="64"/>
      <c r="FF640" s="64"/>
      <c r="FG640" s="64"/>
      <c r="FH640" s="64"/>
      <c r="FI640" s="64"/>
    </row>
    <row r="641" spans="158:165" ht="15" customHeight="1" x14ac:dyDescent="0.15">
      <c r="FB641" s="63"/>
      <c r="FC641" s="64"/>
      <c r="FD641" s="64"/>
      <c r="FE641" s="64"/>
      <c r="FF641" s="64"/>
      <c r="FG641" s="64"/>
      <c r="FH641" s="64"/>
      <c r="FI641" s="64"/>
    </row>
    <row r="642" spans="158:165" ht="15" customHeight="1" x14ac:dyDescent="0.15">
      <c r="FB642" s="63"/>
      <c r="FC642" s="63"/>
      <c r="FD642" s="63"/>
      <c r="FE642" s="63"/>
      <c r="FF642" s="63"/>
      <c r="FG642" s="63"/>
      <c r="FH642" s="63"/>
      <c r="FI642" s="63"/>
    </row>
  </sheetData>
  <mergeCells count="229">
    <mergeCell ref="DM119:DN119"/>
    <mergeCell ref="DO119:DU119"/>
    <mergeCell ref="DR112:EC112"/>
    <mergeCell ref="DR115:EC115"/>
    <mergeCell ref="CI119:CL119"/>
    <mergeCell ref="CM119:DK119"/>
    <mergeCell ref="CW113:DD113"/>
    <mergeCell ref="DE113:DK113"/>
    <mergeCell ref="DE114:DK114"/>
    <mergeCell ref="CI115:CJ115"/>
    <mergeCell ref="CK113:CQ113"/>
    <mergeCell ref="CW114:DD114"/>
    <mergeCell ref="CW115:DD115"/>
    <mergeCell ref="CI112:CJ112"/>
    <mergeCell ref="DE115:DK115"/>
    <mergeCell ref="CI113:CJ113"/>
    <mergeCell ref="CK112:CQ112"/>
    <mergeCell ref="CW112:DD112"/>
    <mergeCell ref="CK115:CQ115"/>
    <mergeCell ref="CI114:CJ114"/>
    <mergeCell ref="CK114:CQ114"/>
    <mergeCell ref="DE112:DK112"/>
    <mergeCell ref="CW107:CY107"/>
    <mergeCell ref="CW111:DD111"/>
    <mergeCell ref="DE111:DK111"/>
    <mergeCell ref="CV110:DD110"/>
    <mergeCell ref="DR113:EC113"/>
    <mergeCell ref="DR114:EC114"/>
    <mergeCell ref="DM107:DR107"/>
    <mergeCell ref="DM108:DR108"/>
    <mergeCell ref="DE110:DK110"/>
    <mergeCell ref="CI111:CJ111"/>
    <mergeCell ref="CK111:CQ111"/>
    <mergeCell ref="P55:V55"/>
    <mergeCell ref="CI104:CJ104"/>
    <mergeCell ref="CK104:CQ104"/>
    <mergeCell ref="CK105:CQ105"/>
    <mergeCell ref="DM103:DR103"/>
    <mergeCell ref="DM104:DR104"/>
    <mergeCell ref="DR111:EC111"/>
    <mergeCell ref="CI110:CJ110"/>
    <mergeCell ref="CK110:CQ110"/>
    <mergeCell ref="DM109:DR109"/>
    <mergeCell ref="CI109:CJ109"/>
    <mergeCell ref="CK109:CQ109"/>
    <mergeCell ref="CI107:CJ107"/>
    <mergeCell ref="CK107:CQ107"/>
    <mergeCell ref="CI106:CJ106"/>
    <mergeCell ref="CK106:CQ106"/>
    <mergeCell ref="CV106:CZ106"/>
    <mergeCell ref="CK108:CQ108"/>
    <mergeCell ref="CW108:CY108"/>
    <mergeCell ref="CI108:CJ108"/>
    <mergeCell ref="DM106:DR106"/>
    <mergeCell ref="DR110:EC110"/>
    <mergeCell ref="AW56:BH56"/>
    <mergeCell ref="N56:O56"/>
    <mergeCell ref="P56:V56"/>
    <mergeCell ref="AB56:AI56"/>
    <mergeCell ref="AJ56:AP56"/>
    <mergeCell ref="AW57:BH57"/>
    <mergeCell ref="N55:O55"/>
    <mergeCell ref="CW104:CX104"/>
    <mergeCell ref="CI105:CJ105"/>
    <mergeCell ref="AR60:AS60"/>
    <mergeCell ref="CI103:CQ103"/>
    <mergeCell ref="CW103:CY103"/>
    <mergeCell ref="AB55:AI55"/>
    <mergeCell ref="AJ55:AP55"/>
    <mergeCell ref="R60:AP60"/>
    <mergeCell ref="N60:Q60"/>
    <mergeCell ref="AB54:AI54"/>
    <mergeCell ref="AJ54:AP54"/>
    <mergeCell ref="AW55:BH55"/>
    <mergeCell ref="N53:O53"/>
    <mergeCell ref="P53:V53"/>
    <mergeCell ref="AB49:AD49"/>
    <mergeCell ref="N50:O50"/>
    <mergeCell ref="P50:V50"/>
    <mergeCell ref="AW52:BH52"/>
    <mergeCell ref="AB53:AI53"/>
    <mergeCell ref="N51:O51"/>
    <mergeCell ref="P51:V51"/>
    <mergeCell ref="N52:O52"/>
    <mergeCell ref="P52:V52"/>
    <mergeCell ref="AB52:AI52"/>
    <mergeCell ref="AJ52:AP52"/>
    <mergeCell ref="N54:O54"/>
    <mergeCell ref="P54:V54"/>
    <mergeCell ref="AJ51:AP51"/>
    <mergeCell ref="N49:O49"/>
    <mergeCell ref="P49:V49"/>
    <mergeCell ref="N45:O45"/>
    <mergeCell ref="P45:V45"/>
    <mergeCell ref="AB45:AC45"/>
    <mergeCell ref="N47:O47"/>
    <mergeCell ref="P47:V47"/>
    <mergeCell ref="AA47:AE47"/>
    <mergeCell ref="N48:O48"/>
    <mergeCell ref="P48:V48"/>
    <mergeCell ref="N44:V44"/>
    <mergeCell ref="AB44:AD44"/>
    <mergeCell ref="N46:O46"/>
    <mergeCell ref="P46:V46"/>
    <mergeCell ref="AB48:AD48"/>
    <mergeCell ref="B39:G39"/>
    <mergeCell ref="H39:AL39"/>
    <mergeCell ref="B40:D40"/>
    <mergeCell ref="E40:AS40"/>
    <mergeCell ref="B42:AS42"/>
    <mergeCell ref="B41:AS41"/>
    <mergeCell ref="B38:G38"/>
    <mergeCell ref="H38:S38"/>
    <mergeCell ref="T38:Z38"/>
    <mergeCell ref="AA38:AL38"/>
    <mergeCell ref="B34:S34"/>
    <mergeCell ref="T34:W34"/>
    <mergeCell ref="X34:Z34"/>
    <mergeCell ref="AA34:AE34"/>
    <mergeCell ref="AM36:AS36"/>
    <mergeCell ref="B35:S35"/>
    <mergeCell ref="AF35:AL35"/>
    <mergeCell ref="AF36:AL36"/>
    <mergeCell ref="AA36:AE36"/>
    <mergeCell ref="B37:S37"/>
    <mergeCell ref="T37:W37"/>
    <mergeCell ref="X37:Z37"/>
    <mergeCell ref="AF37:AL37"/>
    <mergeCell ref="X35:Z35"/>
    <mergeCell ref="AA35:AE35"/>
    <mergeCell ref="B36:S36"/>
    <mergeCell ref="T36:W36"/>
    <mergeCell ref="X36:Z36"/>
    <mergeCell ref="T35:W35"/>
    <mergeCell ref="B33:S33"/>
    <mergeCell ref="AF33:AL33"/>
    <mergeCell ref="AF32:AL32"/>
    <mergeCell ref="T32:W32"/>
    <mergeCell ref="X32:Z32"/>
    <mergeCell ref="AA33:AE33"/>
    <mergeCell ref="T33:W33"/>
    <mergeCell ref="B32:S32"/>
    <mergeCell ref="X33:Z33"/>
    <mergeCell ref="X29:Z29"/>
    <mergeCell ref="T31:W31"/>
    <mergeCell ref="T30:W30"/>
    <mergeCell ref="B30:S30"/>
    <mergeCell ref="X31:Z31"/>
    <mergeCell ref="AM29:AS29"/>
    <mergeCell ref="AM30:AS30"/>
    <mergeCell ref="AF30:AL30"/>
    <mergeCell ref="AA29:AE29"/>
    <mergeCell ref="X30:Z30"/>
    <mergeCell ref="AA30:AE30"/>
    <mergeCell ref="AF29:AL29"/>
    <mergeCell ref="AF31:AL31"/>
    <mergeCell ref="AM31:AS31"/>
    <mergeCell ref="AA31:AE31"/>
    <mergeCell ref="B31:S31"/>
    <mergeCell ref="AA24:AE25"/>
    <mergeCell ref="CI120:CL120"/>
    <mergeCell ref="B26:S26"/>
    <mergeCell ref="T26:W26"/>
    <mergeCell ref="X26:Z26"/>
    <mergeCell ref="AF28:AL28"/>
    <mergeCell ref="AM28:AS28"/>
    <mergeCell ref="B27:S27"/>
    <mergeCell ref="T27:W27"/>
    <mergeCell ref="AA28:AE28"/>
    <mergeCell ref="AM24:AS25"/>
    <mergeCell ref="AF26:AL26"/>
    <mergeCell ref="AM26:AS26"/>
    <mergeCell ref="AF27:AL27"/>
    <mergeCell ref="AM27:AS27"/>
    <mergeCell ref="AF24:AL25"/>
    <mergeCell ref="AA26:AE26"/>
    <mergeCell ref="B28:S28"/>
    <mergeCell ref="T28:W28"/>
    <mergeCell ref="X28:Z28"/>
    <mergeCell ref="X27:Z27"/>
    <mergeCell ref="B29:S29"/>
    <mergeCell ref="B24:S25"/>
    <mergeCell ref="T29:W29"/>
    <mergeCell ref="CM120:DK120"/>
    <mergeCell ref="AA2:AJ3"/>
    <mergeCell ref="AB19:AF22"/>
    <mergeCell ref="AG19:AK22"/>
    <mergeCell ref="AF17:AL17"/>
    <mergeCell ref="AB13:AD13"/>
    <mergeCell ref="AE13:AT13"/>
    <mergeCell ref="AE15:AT15"/>
    <mergeCell ref="AB15:AD15"/>
    <mergeCell ref="AM32:AS32"/>
    <mergeCell ref="AA37:AE37"/>
    <mergeCell ref="AM33:AS33"/>
    <mergeCell ref="AM35:AS35"/>
    <mergeCell ref="AA32:AE32"/>
    <mergeCell ref="AM34:AS34"/>
    <mergeCell ref="AF34:AL34"/>
    <mergeCell ref="AM37:AS37"/>
    <mergeCell ref="AA27:AE27"/>
    <mergeCell ref="AM39:AS39"/>
    <mergeCell ref="AJ53:AP53"/>
    <mergeCell ref="AW53:BH53"/>
    <mergeCell ref="AW54:BH54"/>
    <mergeCell ref="AA51:AI51"/>
    <mergeCell ref="AM38:AS38"/>
    <mergeCell ref="AN3:AR3"/>
    <mergeCell ref="AL19:AP22"/>
    <mergeCell ref="D20:I21"/>
    <mergeCell ref="D4:U4"/>
    <mergeCell ref="F6:Q6"/>
    <mergeCell ref="T7:V8"/>
    <mergeCell ref="D7:S8"/>
    <mergeCell ref="AM6:AN6"/>
    <mergeCell ref="AP6:AQ6"/>
    <mergeCell ref="AI6:AK6"/>
    <mergeCell ref="N17:O17"/>
    <mergeCell ref="Q17:R17"/>
    <mergeCell ref="B22:U22"/>
    <mergeCell ref="T24:Z25"/>
    <mergeCell ref="J17:L17"/>
    <mergeCell ref="J20:U21"/>
    <mergeCell ref="P2:R2"/>
    <mergeCell ref="M2:O2"/>
    <mergeCell ref="D5:R5"/>
    <mergeCell ref="E3:H3"/>
    <mergeCell ref="H13:T13"/>
    <mergeCell ref="H11:S11"/>
  </mergeCells>
  <phoneticPr fontId="4"/>
  <dataValidations xWindow="452" yWindow="935" count="23">
    <dataValidation imeMode="off" allowBlank="1" showInputMessage="1" showErrorMessage="1" prompt="年を入力  西暦表示の場合、平成を消してください" sqref="AI6:AK6" xr:uid="{00000000-0002-0000-0000-000000000000}"/>
    <dataValidation imeMode="off" allowBlank="1" showInputMessage="1" showErrorMessage="1" prompt="月を入力" sqref="AM6:AN6 N17:O17" xr:uid="{00000000-0002-0000-0000-000001000000}"/>
    <dataValidation imeMode="off" allowBlank="1" showInputMessage="1" showErrorMessage="1" prompt="日を入力" sqref="AP6:AQ6 Q17:R17" xr:uid="{00000000-0002-0000-0000-000002000000}"/>
    <dataValidation imeMode="off" allowBlank="1" showInputMessage="1" showErrorMessage="1" prompt="お客様の郵便番号を入力" sqref="E3:H3" xr:uid="{00000000-0002-0000-0000-000003000000}"/>
    <dataValidation imeMode="hiragana" allowBlank="1" showInputMessage="1" showErrorMessage="1" prompt="お客様の住所を入力" sqref="D4" xr:uid="{00000000-0002-0000-0000-000004000000}"/>
    <dataValidation imeMode="hiragana" allowBlank="1" showInputMessage="1" showErrorMessage="1" prompt="お客様の住所でビル名番地など入力" sqref="D5:R5" xr:uid="{00000000-0002-0000-0000-000005000000}"/>
    <dataValidation imeMode="hiragana" allowBlank="1" showInputMessage="1" showErrorMessage="1" prompt="お客様名を入力" sqref="D7:S8" xr:uid="{00000000-0002-0000-0000-000006000000}"/>
    <dataValidation allowBlank="1" showInputMessage="1" showErrorMessage="1" prompt="見積書NOを入力" sqref="AN3:AR3" xr:uid="{00000000-0002-0000-0000-000007000000}"/>
    <dataValidation imeMode="hiragana" allowBlank="1" showInputMessage="1" showErrorMessage="1" sqref="AB9:AS9 B41:AS42 E40:AS40" xr:uid="{00000000-0002-0000-0000-000008000000}"/>
    <dataValidation imeMode="off" allowBlank="1" showInputMessage="1" showErrorMessage="1" prompt="年を入力" sqref="J17:L17" xr:uid="{00000000-0002-0000-0000-000009000000}"/>
    <dataValidation imeMode="hiragana" allowBlank="1" showInputMessage="1" showErrorMessage="1" prompt="受渡場所を入力_x000a_例：貴社指定場所" sqref="H13:T13" xr:uid="{00000000-0002-0000-0000-00000A000000}"/>
    <dataValidation imeMode="hiragana" allowBlank="1" showInputMessage="1" showErrorMessage="1" prompt="担当者を入力" sqref="AF17:AL17" xr:uid="{00000000-0002-0000-0000-00000B000000}"/>
    <dataValidation imeMode="hiragana" allowBlank="1" showInputMessage="1" showErrorMessage="1" prompt="品名を入力" sqref="B26:S37" xr:uid="{00000000-0002-0000-0000-00000C000000}"/>
    <dataValidation imeMode="off" allowBlank="1" showInputMessage="1" showErrorMessage="1" prompt="数量を入力" sqref="T26:W37" xr:uid="{00000000-0002-0000-0000-00000D000000}"/>
    <dataValidation imeMode="off" allowBlank="1" showInputMessage="1" showErrorMessage="1" prompt="単価を入力" sqref="AA26:AE37" xr:uid="{00000000-0002-0000-0000-00000E000000}"/>
    <dataValidation imeMode="hiragana" allowBlank="1" showInputMessage="1" showErrorMessage="1" prompt="備考があれば入力" sqref="AN34:AS37 AM26:AM37" xr:uid="{00000000-0002-0000-0000-00000F000000}"/>
    <dataValidation type="list" allowBlank="1" showInputMessage="1" showErrorMessage="1" sqref="AA2:AJ3" xr:uid="{00000000-0002-0000-0000-000010000000}">
      <formula1>$DD$104:$DD$108</formula1>
    </dataValidation>
    <dataValidation type="list" imeMode="hiragana" allowBlank="1" showInputMessage="1" showErrorMessage="1" prompt="ボタンを押し単位を入力" sqref="X26:Z37" xr:uid="{00000000-0002-0000-0000-000011000000}">
      <formula1>$CS$104:$CS$116</formula1>
    </dataValidation>
    <dataValidation type="list" allowBlank="1" showInputMessage="1" showErrorMessage="1" sqref="T7:V8" xr:uid="{00000000-0002-0000-0000-000012000000}">
      <formula1>$CE$109:$CE$111</formula1>
    </dataValidation>
    <dataValidation type="list" allowBlank="1" showInputMessage="1" showErrorMessage="1" sqref="DM104:DR104" xr:uid="{00000000-0002-0000-0000-000013000000}">
      <formula1>$EM$102:$EM$103</formula1>
    </dataValidation>
    <dataValidation allowBlank="1" showInputMessage="1" showErrorMessage="1" promptTitle="シート数を入力" prompt="明細書が出ていない状態でシート枚数を表示" sqref="CE106" xr:uid="{00000000-0002-0000-0000-000014000000}"/>
    <dataValidation allowBlank="1" showInputMessage="1" showErrorMessage="1" promptTitle="明細書01の状態" prompt="明細書01が表示されているときは 0_x000a_明細書01が非表示のときは 1" sqref="CE107" xr:uid="{00000000-0002-0000-0000-000015000000}"/>
    <dataValidation imeMode="hiragana" allowBlank="1" showInputMessage="1" showErrorMessage="1" prompt="取引方法を入力_x000a_例：従来通り" sqref="I15:T15" xr:uid="{00000000-0002-0000-0000-000016000000}"/>
  </dataValidations>
  <pageMargins left="0.43307086614173229" right="0.47244094488188981" top="0.39370078740157483" bottom="0.47244094488188981" header="0.39370078740157483" footer="0.31496062992125984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表示1">
              <controlPr defaultSize="0" print="0" autoFill="0" autoPict="0" macro="[0]!ThisWorkbook.表示11">
                <anchor moveWithCells="1" sizeWithCells="1">
                  <from>
                    <xdr:col>22</xdr:col>
                    <xdr:colOff>133350</xdr:colOff>
                    <xdr:row>0</xdr:row>
                    <xdr:rowOff>76200</xdr:rowOff>
                  </from>
                  <to>
                    <xdr:col>27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表示2">
              <controlPr defaultSize="0" print="0" autoFill="0" autoPict="0" macro="[0]!ThisWorkbook.表示12">
                <anchor moveWithCells="1" sizeWithCells="1">
                  <from>
                    <xdr:col>27</xdr:col>
                    <xdr:colOff>114300</xdr:colOff>
                    <xdr:row>0</xdr:row>
                    <xdr:rowOff>76200</xdr:rowOff>
                  </from>
                  <to>
                    <xdr:col>31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呼出">
              <controlPr defaultSize="0" print="0" autoFill="0" autoPict="0" macro="[0]!ThisWorkbook.呼出">
                <anchor moveWithCells="1" sizeWithCells="1">
                  <from>
                    <xdr:col>1</xdr:col>
                    <xdr:colOff>57150</xdr:colOff>
                    <xdr:row>0</xdr:row>
                    <xdr:rowOff>390525</xdr:rowOff>
                  </from>
                  <to>
                    <xdr:col>4</xdr:col>
                    <xdr:colOff>200025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保存">
              <controlPr defaultSize="0" print="0" autoFill="0" autoPict="0" macro="[0]!ThisWorkbook.保存">
                <anchor moveWithCells="1" sizeWithCells="1">
                  <from>
                    <xdr:col>4</xdr:col>
                    <xdr:colOff>266700</xdr:colOff>
                    <xdr:row>0</xdr:row>
                    <xdr:rowOff>390525</xdr:rowOff>
                  </from>
                  <to>
                    <xdr:col>8</xdr:col>
                    <xdr:colOff>123825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終了">
              <controlPr defaultSize="0" print="0" autoFill="0" autoPict="0" macro="[0]!ThisWorkbook.終了">
                <anchor moveWithCells="1" sizeWithCells="1">
                  <from>
                    <xdr:col>41</xdr:col>
                    <xdr:colOff>19050</xdr:colOff>
                    <xdr:row>0</xdr:row>
                    <xdr:rowOff>390525</xdr:rowOff>
                  </from>
                  <to>
                    <xdr:col>44</xdr:col>
                    <xdr:colOff>142875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印刷">
              <controlPr defaultSize="0" print="0" autoFill="0" autoPict="0" macro="[0]!ThisWorkbook.印刷">
                <anchor moveWithCells="1" sizeWithCells="1">
                  <from>
                    <xdr:col>9</xdr:col>
                    <xdr:colOff>28575</xdr:colOff>
                    <xdr:row>0</xdr:row>
                    <xdr:rowOff>76200</xdr:rowOff>
                  </from>
                  <to>
                    <xdr:col>13</xdr:col>
                    <xdr:colOff>114300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入力">
              <controlPr defaultSize="0" print="0" autoFill="0" autoPict="0" macro="[0]!ThisWorkbook.入力">
                <anchor moveWithCells="1" sizeWithCells="1">
                  <from>
                    <xdr:col>1</xdr:col>
                    <xdr:colOff>57150</xdr:colOff>
                    <xdr:row>0</xdr:row>
                    <xdr:rowOff>76200</xdr:rowOff>
                  </from>
                  <to>
                    <xdr:col>4</xdr:col>
                    <xdr:colOff>200025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削除">
              <controlPr defaultSize="0" print="0" autoFill="0" autoPict="0" macro="[0]!ThisWorkbook.削除">
                <anchor moveWithCells="1" sizeWithCells="1">
                  <from>
                    <xdr:col>18</xdr:col>
                    <xdr:colOff>85725</xdr:colOff>
                    <xdr:row>0</xdr:row>
                    <xdr:rowOff>76200</xdr:rowOff>
                  </from>
                  <to>
                    <xdr:col>22</xdr:col>
                    <xdr:colOff>66675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合計無">
              <controlPr defaultSize="0" print="0" autoFill="0" autoPict="0" macro="[0]!ThisWorkbook.合計無">
                <anchor moveWithCells="1" sizeWithCells="1">
                  <from>
                    <xdr:col>31</xdr:col>
                    <xdr:colOff>152400</xdr:colOff>
                    <xdr:row>0</xdr:row>
                    <xdr:rowOff>76200</xdr:rowOff>
                  </from>
                  <to>
                    <xdr:col>35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ヘルプ">
              <controlPr defaultSize="0" print="0" autoFill="0" autoPict="0" macro="[0]!ThisWorkbook.ヘルプ">
                <anchor moveWithCells="1" sizeWithCells="1">
                  <from>
                    <xdr:col>41</xdr:col>
                    <xdr:colOff>19050</xdr:colOff>
                    <xdr:row>0</xdr:row>
                    <xdr:rowOff>76200</xdr:rowOff>
                  </from>
                  <to>
                    <xdr:col>44</xdr:col>
                    <xdr:colOff>142875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4" name="税無">
              <controlPr defaultSize="0" print="0" autoFill="0" autoPict="0" macro="[0]!ThisWorkbook.税無">
                <anchor moveWithCells="1" sizeWithCells="1">
                  <from>
                    <xdr:col>31</xdr:col>
                    <xdr:colOff>152400</xdr:colOff>
                    <xdr:row>0</xdr:row>
                    <xdr:rowOff>400050</xdr:rowOff>
                  </from>
                  <to>
                    <xdr:col>35</xdr:col>
                    <xdr:colOff>47625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5" name="画像">
              <controlPr defaultSize="0" print="0" autoFill="0" autoPict="0" macro="[0]!ThisWorkbook.画像">
                <anchor moveWithCells="1" sizeWithCells="1">
                  <from>
                    <xdr:col>9</xdr:col>
                    <xdr:colOff>28575</xdr:colOff>
                    <xdr:row>0</xdr:row>
                    <xdr:rowOff>390525</xdr:rowOff>
                  </from>
                  <to>
                    <xdr:col>13</xdr:col>
                    <xdr:colOff>114300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6" name="画像PW">
              <controlPr defaultSize="0" print="0" autoFill="0" autoPict="0" macro="[0]!ThisWorkbook.画像PW">
                <anchor moveWithCells="1" sizeWithCells="1">
                  <from>
                    <xdr:col>14</xdr:col>
                    <xdr:colOff>28575</xdr:colOff>
                    <xdr:row>0</xdr:row>
                    <xdr:rowOff>390525</xdr:rowOff>
                  </from>
                  <to>
                    <xdr:col>18</xdr:col>
                    <xdr:colOff>9525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7" name="明細入力">
              <controlPr defaultSize="0" print="0" autoFill="0" autoPict="0" macro="[0]!ThisWorkbook.明細入力">
                <anchor moveWithCells="1" sizeWithCells="1">
                  <from>
                    <xdr:col>4</xdr:col>
                    <xdr:colOff>266700</xdr:colOff>
                    <xdr:row>0</xdr:row>
                    <xdr:rowOff>76200</xdr:rowOff>
                  </from>
                  <to>
                    <xdr:col>8</xdr:col>
                    <xdr:colOff>123825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8" name="明細書">
              <controlPr defaultSize="0" print="0" autoFill="0" autoPict="0" macro="[0]!ThisWorkbook.明細追加">
                <anchor moveWithCells="1" sizeWithCells="1">
                  <from>
                    <xdr:col>22</xdr:col>
                    <xdr:colOff>133350</xdr:colOff>
                    <xdr:row>0</xdr:row>
                    <xdr:rowOff>390525</xdr:rowOff>
                  </from>
                  <to>
                    <xdr:col>27</xdr:col>
                    <xdr:colOff>47625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19" name="客呼">
              <controlPr defaultSize="0" print="0" autoFill="0" autoPict="0" macro="[0]!ThisWorkbook.得意先呼出">
                <anchor moveWithCells="1" sizeWithCells="1">
                  <from>
                    <xdr:col>0</xdr:col>
                    <xdr:colOff>66675</xdr:colOff>
                    <xdr:row>5</xdr:row>
                    <xdr:rowOff>180975</xdr:rowOff>
                  </from>
                  <to>
                    <xdr:col>0</xdr:col>
                    <xdr:colOff>476250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20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76200</xdr:rowOff>
                  </from>
                  <to>
                    <xdr:col>0</xdr:col>
                    <xdr:colOff>476250</xdr:colOff>
                    <xdr:row>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21" name="担当呼出">
              <controlPr defaultSize="0" print="0" autoFill="0" autoPict="0" macro="[0]!ThisWorkbook.担当者呼出">
                <anchor moveWithCells="1" sizeWithCells="1">
                  <from>
                    <xdr:col>0</xdr:col>
                    <xdr:colOff>66675</xdr:colOff>
                    <xdr:row>7</xdr:row>
                    <xdr:rowOff>95250</xdr:rowOff>
                  </from>
                  <to>
                    <xdr:col>0</xdr:col>
                    <xdr:colOff>476250</xdr:colOff>
                    <xdr:row>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22" name="品名呼出0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25</xdr:row>
                    <xdr:rowOff>95250</xdr:rowOff>
                  </from>
                  <to>
                    <xdr:col>0</xdr:col>
                    <xdr:colOff>476250</xdr:colOff>
                    <xdr:row>25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23" name="品名呼出0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26</xdr:row>
                    <xdr:rowOff>85725</xdr:rowOff>
                  </from>
                  <to>
                    <xdr:col>0</xdr:col>
                    <xdr:colOff>476250</xdr:colOff>
                    <xdr:row>26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24" name="品名呼出03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27</xdr:row>
                    <xdr:rowOff>95250</xdr:rowOff>
                  </from>
                  <to>
                    <xdr:col>0</xdr:col>
                    <xdr:colOff>476250</xdr:colOff>
                    <xdr:row>27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25" name="品名呼出04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26" name="品名呼出05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29</xdr:row>
                    <xdr:rowOff>95250</xdr:rowOff>
                  </from>
                  <to>
                    <xdr:col>0</xdr:col>
                    <xdr:colOff>476250</xdr:colOff>
                    <xdr:row>29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27" name="品名呼出06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30</xdr:row>
                    <xdr:rowOff>95250</xdr:rowOff>
                  </from>
                  <to>
                    <xdr:col>0</xdr:col>
                    <xdr:colOff>476250</xdr:colOff>
                    <xdr:row>30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28" name="品名呼出07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31</xdr:row>
                    <xdr:rowOff>95250</xdr:rowOff>
                  </from>
                  <to>
                    <xdr:col>0</xdr:col>
                    <xdr:colOff>476250</xdr:colOff>
                    <xdr:row>31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29" name="品名呼出08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32</xdr:row>
                    <xdr:rowOff>95250</xdr:rowOff>
                  </from>
                  <to>
                    <xdr:col>0</xdr:col>
                    <xdr:colOff>476250</xdr:colOff>
                    <xdr:row>32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30" name="品名呼出09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33</xdr:row>
                    <xdr:rowOff>95250</xdr:rowOff>
                  </from>
                  <to>
                    <xdr:col>0</xdr:col>
                    <xdr:colOff>476250</xdr:colOff>
                    <xdr:row>33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31" name="品名呼出10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34</xdr:row>
                    <xdr:rowOff>95250</xdr:rowOff>
                  </from>
                  <to>
                    <xdr:col>0</xdr:col>
                    <xdr:colOff>476250</xdr:colOff>
                    <xdr:row>34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32" name="品名呼出1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35</xdr:row>
                    <xdr:rowOff>95250</xdr:rowOff>
                  </from>
                  <to>
                    <xdr:col>0</xdr:col>
                    <xdr:colOff>476250</xdr:colOff>
                    <xdr:row>35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33" name="品名呼出1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36</xdr:row>
                    <xdr:rowOff>95250</xdr:rowOff>
                  </from>
                  <to>
                    <xdr:col>0</xdr:col>
                    <xdr:colOff>476250</xdr:colOff>
                    <xdr:row>36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34" name="更新">
              <controlPr defaultSize="0" print="0" autoFill="0" autoPict="0" macro="[0]!ThisWorkbook.更新">
                <anchor moveWithCells="1" sizeWithCells="1">
                  <from>
                    <xdr:col>0</xdr:col>
                    <xdr:colOff>66675</xdr:colOff>
                    <xdr:row>2</xdr:row>
                    <xdr:rowOff>161925</xdr:rowOff>
                  </from>
                  <to>
                    <xdr:col>0</xdr:col>
                    <xdr:colOff>476250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35" name="プレビュー">
              <controlPr defaultSize="0" print="0" autoFill="0" autoPict="0" macro="[0]!ThisWorkbook.プレビュー">
                <anchor moveWithCells="1" sizeWithCells="1">
                  <from>
                    <xdr:col>14</xdr:col>
                    <xdr:colOff>28575</xdr:colOff>
                    <xdr:row>0</xdr:row>
                    <xdr:rowOff>76200</xdr:rowOff>
                  </from>
                  <to>
                    <xdr:col>18</xdr:col>
                    <xdr:colOff>9525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36" name="環境設定">
              <controlPr defaultSize="0" print="0" autoFill="0" autoPict="0" macro="[0]!ThisWorkbook.設定">
                <anchor moveWithCells="1" sizeWithCells="1">
                  <from>
                    <xdr:col>27</xdr:col>
                    <xdr:colOff>114300</xdr:colOff>
                    <xdr:row>0</xdr:row>
                    <xdr:rowOff>400050</xdr:rowOff>
                  </from>
                  <to>
                    <xdr:col>31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37" name="詳細無">
              <controlPr defaultSize="0" print="0" autoFill="0" autoPict="0" macro="[0]!ThisWorkbook.戻る">
                <anchor moveWithCells="1" sizeWithCells="1">
                  <from>
                    <xdr:col>78</xdr:col>
                    <xdr:colOff>76200</xdr:colOff>
                    <xdr:row>98</xdr:row>
                    <xdr:rowOff>66675</xdr:rowOff>
                  </from>
                  <to>
                    <xdr:col>82</xdr:col>
                    <xdr:colOff>57150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38" name="電卓">
              <controlPr defaultSize="0" print="0" autoFill="0" autoPict="0" macro="[0]!calc">
                <anchor moveWithCells="1" sizeWithCells="1">
                  <from>
                    <xdr:col>18</xdr:col>
                    <xdr:colOff>85725</xdr:colOff>
                    <xdr:row>0</xdr:row>
                    <xdr:rowOff>390525</xdr:rowOff>
                  </from>
                  <to>
                    <xdr:col>22</xdr:col>
                    <xdr:colOff>66675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39" name="データ更新">
              <controlPr defaultSize="0" print="0" autoFill="0" autoPict="0" macro="[0]!ThisWorkbook.getdata">
                <anchor moveWithCells="1" sizeWithCells="1">
                  <from>
                    <xdr:col>151</xdr:col>
                    <xdr:colOff>123825</xdr:colOff>
                    <xdr:row>400</xdr:row>
                    <xdr:rowOff>104775</xdr:rowOff>
                  </from>
                  <to>
                    <xdr:col>156</xdr:col>
                    <xdr:colOff>38100</xdr:colOff>
                    <xdr:row>401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40" name="並替">
              <controlPr defaultSize="0" print="0" autoFill="0" autoPict="0" macro="[0]!ThisWorkbook.並替">
                <anchor moveWithCells="1" sizeWithCells="1">
                  <from>
                    <xdr:col>36</xdr:col>
                    <xdr:colOff>19050</xdr:colOff>
                    <xdr:row>0</xdr:row>
                    <xdr:rowOff>76200</xdr:rowOff>
                  </from>
                  <to>
                    <xdr:col>40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41" name="戻る2">
              <controlPr defaultSize="0" print="0" autoFill="0" autoPict="0" macro="[0]!ThisWorkbook.戻る">
                <anchor moveWithCells="1" sizeWithCells="1">
                  <from>
                    <xdr:col>151</xdr:col>
                    <xdr:colOff>123825</xdr:colOff>
                    <xdr:row>403</xdr:row>
                    <xdr:rowOff>104775</xdr:rowOff>
                  </from>
                  <to>
                    <xdr:col>156</xdr:col>
                    <xdr:colOff>38100</xdr:colOff>
                    <xdr:row>404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42" name="環境設定2">
              <controlPr defaultSize="0" print="0" autoFill="0" autoPict="0" macro="[0]!ThisWorkbook.設定">
                <anchor moveWithCells="1" sizeWithCells="1">
                  <from>
                    <xdr:col>151</xdr:col>
                    <xdr:colOff>123825</xdr:colOff>
                    <xdr:row>402</xdr:row>
                    <xdr:rowOff>19050</xdr:rowOff>
                  </from>
                  <to>
                    <xdr:col>156</xdr:col>
                    <xdr:colOff>38100</xdr:colOff>
                    <xdr:row>403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43" name="再選択">
              <controlPr defaultSize="0" print="0" autoFill="0" autoPict="0" macro="[0]!ThisWorkbook.並替2">
                <anchor moveWithCells="1" sizeWithCells="1">
                  <from>
                    <xdr:col>151</xdr:col>
                    <xdr:colOff>123825</xdr:colOff>
                    <xdr:row>399</xdr:row>
                    <xdr:rowOff>0</xdr:rowOff>
                  </from>
                  <to>
                    <xdr:col>156</xdr:col>
                    <xdr:colOff>38100</xdr:colOff>
                    <xdr:row>400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" r:id="rId44" name="ﾃﾞｰﾀ処理">
              <controlPr defaultSize="0" print="0" autoFill="0" autoPict="0" macro="[0]!ThisWorkbook.データ処理">
                <anchor moveWithCells="1" sizeWithCells="1">
                  <from>
                    <xdr:col>36</xdr:col>
                    <xdr:colOff>19050</xdr:colOff>
                    <xdr:row>0</xdr:row>
                    <xdr:rowOff>400050</xdr:rowOff>
                  </from>
                  <to>
                    <xdr:col>40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45" name="詳細無">
              <controlPr defaultSize="0" print="0" autoFill="0" autoPict="0" macro="[0]!ThisWorkbook.自社">
                <anchor moveWithCells="1" sizeWithCells="1">
                  <from>
                    <xdr:col>82</xdr:col>
                    <xdr:colOff>142875</xdr:colOff>
                    <xdr:row>98</xdr:row>
                    <xdr:rowOff>66675</xdr:rowOff>
                  </from>
                  <to>
                    <xdr:col>88</xdr:col>
                    <xdr:colOff>133350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46" name="参照1">
              <controlPr defaultSize="0" print="0" autoFill="0" autoPict="0" macro="[0]!ThisWorkbook.参照1">
                <anchor moveWithCells="1" sizeWithCells="1">
                  <from>
                    <xdr:col>115</xdr:col>
                    <xdr:colOff>57150</xdr:colOff>
                    <xdr:row>118</xdr:row>
                    <xdr:rowOff>9525</xdr:rowOff>
                  </from>
                  <to>
                    <xdr:col>115</xdr:col>
                    <xdr:colOff>447675</xdr:colOff>
                    <xdr:row>118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47" name="参照2">
              <controlPr defaultSize="0" print="0" autoFill="0" autoPict="0" macro="[0]!ThisWorkbook.参照2">
                <anchor moveWithCells="1" sizeWithCells="1">
                  <from>
                    <xdr:col>115</xdr:col>
                    <xdr:colOff>57150</xdr:colOff>
                    <xdr:row>119</xdr:row>
                    <xdr:rowOff>19050</xdr:rowOff>
                  </from>
                  <to>
                    <xdr:col>115</xdr:col>
                    <xdr:colOff>447675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9" r:id="rId48" name="入力">
              <controlPr defaultSize="0" print="0" autoFill="0" autoPict="0" macro="[0]!ライセンスキー入力">
                <anchor moveWithCells="1" sizeWithCells="1">
                  <from>
                    <xdr:col>89</xdr:col>
                    <xdr:colOff>57150</xdr:colOff>
                    <xdr:row>98</xdr:row>
                    <xdr:rowOff>57150</xdr:rowOff>
                  </from>
                  <to>
                    <xdr:col>91</xdr:col>
                    <xdr:colOff>142875</xdr:colOff>
                    <xdr:row>99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1" r:id="rId49" name="入力">
              <controlPr defaultSize="0" print="0" autoFill="0" autoPict="0" macro="[0]!Sheet1.macdadress">
                <anchor moveWithCells="1" sizeWithCells="1">
                  <from>
                    <xdr:col>92</xdr:col>
                    <xdr:colOff>66675</xdr:colOff>
                    <xdr:row>98</xdr:row>
                    <xdr:rowOff>57150</xdr:rowOff>
                  </from>
                  <to>
                    <xdr:col>97</xdr:col>
                    <xdr:colOff>85725</xdr:colOff>
                    <xdr:row>99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75B76-EDD5-486D-8477-60419986A8D8}">
  <sheetPr>
    <pageSetUpPr fitToPage="1"/>
  </sheetPr>
  <dimension ref="A1:FI642"/>
  <sheetViews>
    <sheetView showGridLines="0" showRowColHeaders="0" topLeftCell="A10" workbookViewId="0">
      <selection activeCell="I15" sqref="I15"/>
    </sheetView>
  </sheetViews>
  <sheetFormatPr defaultColWidth="2.125" defaultRowHeight="15" customHeight="1" x14ac:dyDescent="0.15"/>
  <cols>
    <col min="1" max="1" width="7.25" style="25" customWidth="1"/>
    <col min="2" max="4" width="2.125" customWidth="1"/>
    <col min="5" max="5" width="3.75" customWidth="1"/>
    <col min="6" max="9" width="2.125" customWidth="1"/>
    <col min="10" max="10" width="2.375" customWidth="1"/>
    <col min="11" max="11" width="0.5" customWidth="1"/>
    <col min="12" max="25" width="2.125" customWidth="1"/>
    <col min="26" max="26" width="0.875" customWidth="1"/>
    <col min="27" max="27" width="2.125" customWidth="1"/>
    <col min="28" max="28" width="1.875" customWidth="1"/>
    <col min="29" max="30" width="2.125" customWidth="1"/>
    <col min="31" max="31" width="2.625" customWidth="1"/>
    <col min="32" max="33" width="2.125" customWidth="1"/>
    <col min="34" max="34" width="1.875" customWidth="1"/>
    <col min="35" max="35" width="3.5" customWidth="1"/>
    <col min="36" max="36" width="1.375" customWidth="1"/>
    <col min="37" max="37" width="1.625" customWidth="1"/>
    <col min="38" max="38" width="2.5" customWidth="1"/>
    <col min="39" max="39" width="2.25" customWidth="1"/>
    <col min="40" max="40" width="1.125" customWidth="1"/>
    <col min="41" max="41" width="2.125" customWidth="1"/>
    <col min="42" max="42" width="2.375" customWidth="1"/>
    <col min="43" max="45" width="2.125" customWidth="1"/>
    <col min="46" max="46" width="0.875" customWidth="1"/>
    <col min="47" max="82" width="2.125" customWidth="1"/>
    <col min="83" max="83" width="5.125" customWidth="1"/>
    <col min="84" max="103" width="2.125" customWidth="1"/>
    <col min="104" max="104" width="2.75" customWidth="1"/>
    <col min="105" max="115" width="2.125" customWidth="1"/>
    <col min="116" max="116" width="7.375" customWidth="1"/>
    <col min="117" max="121" width="2.125" customWidth="1"/>
    <col min="122" max="122" width="10.75" customWidth="1"/>
    <col min="123" max="157" width="2.125" customWidth="1"/>
    <col min="158" max="158" width="5.25" bestFit="1" customWidth="1"/>
    <col min="159" max="159" width="7.875" bestFit="1" customWidth="1"/>
    <col min="160" max="160" width="31.5" bestFit="1" customWidth="1"/>
    <col min="161" max="162" width="6" bestFit="1" customWidth="1"/>
    <col min="163" max="163" width="8.75" customWidth="1"/>
    <col min="164" max="164" width="9.75" customWidth="1"/>
    <col min="165" max="165" width="8.75" customWidth="1"/>
  </cols>
  <sheetData>
    <row r="1" spans="1:78" ht="57.75" customHeight="1" x14ac:dyDescent="0.15">
      <c r="A1" s="65"/>
      <c r="B1" s="1"/>
      <c r="C1" s="1"/>
      <c r="D1" s="1"/>
      <c r="E1" s="1"/>
      <c r="F1" s="1"/>
      <c r="G1" s="66"/>
      <c r="H1" s="1"/>
      <c r="I1" s="66"/>
      <c r="J1" s="6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66"/>
      <c r="W1" s="6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5" customHeight="1" x14ac:dyDescent="0.15">
      <c r="A2" s="26"/>
      <c r="E2" s="3"/>
      <c r="F2" s="3"/>
      <c r="G2" s="67"/>
      <c r="H2" s="3"/>
      <c r="I2" s="68"/>
      <c r="J2" s="68"/>
      <c r="L2" s="60"/>
      <c r="M2" s="93" t="s">
        <v>78</v>
      </c>
      <c r="N2" s="93"/>
      <c r="O2" s="93"/>
      <c r="P2" s="93"/>
      <c r="Q2" s="93"/>
      <c r="R2" s="93"/>
      <c r="W2" s="4"/>
      <c r="X2" s="4"/>
      <c r="Y2" s="4"/>
      <c r="Z2" s="4"/>
      <c r="AA2" s="94" t="s">
        <v>47</v>
      </c>
      <c r="AB2" s="94"/>
      <c r="AC2" s="94"/>
      <c r="AD2" s="94"/>
      <c r="AE2" s="94"/>
      <c r="AF2" s="94"/>
      <c r="AG2" s="94"/>
      <c r="AH2" s="94"/>
      <c r="AI2" s="94"/>
      <c r="AJ2" s="94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26"/>
      <c r="E3" s="88" t="s">
        <v>130</v>
      </c>
      <c r="F3" s="88"/>
      <c r="G3" s="88"/>
      <c r="H3" s="88"/>
      <c r="I3" s="68"/>
      <c r="J3" s="68"/>
      <c r="N3" s="59"/>
      <c r="O3" s="59"/>
      <c r="P3" s="59"/>
      <c r="Q3" s="59"/>
      <c r="R3" s="59"/>
      <c r="W3" s="4"/>
      <c r="X3" s="4"/>
      <c r="Y3" s="4"/>
      <c r="Z3" s="4"/>
      <c r="AA3" s="94"/>
      <c r="AB3" s="94"/>
      <c r="AC3" s="94"/>
      <c r="AD3" s="94"/>
      <c r="AE3" s="94"/>
      <c r="AF3" s="94"/>
      <c r="AG3" s="94"/>
      <c r="AH3" s="94"/>
      <c r="AI3" s="94"/>
      <c r="AJ3" s="94"/>
      <c r="AL3" s="5" t="s">
        <v>0</v>
      </c>
      <c r="AM3" s="5"/>
      <c r="AN3" s="95" t="s">
        <v>140</v>
      </c>
      <c r="AO3" s="95"/>
      <c r="AP3" s="95"/>
      <c r="AQ3" s="95"/>
      <c r="AR3" s="95"/>
      <c r="AS3" s="6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5" customHeight="1" x14ac:dyDescent="0.15">
      <c r="A4" s="26"/>
      <c r="D4" s="85" t="s">
        <v>131</v>
      </c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26"/>
      <c r="D5" s="85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G5" s="9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26"/>
      <c r="D6" s="7"/>
      <c r="E6" s="7"/>
      <c r="F6" s="87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7"/>
      <c r="T6" s="76"/>
      <c r="U6" s="76"/>
      <c r="V6" s="8"/>
      <c r="W6" s="8"/>
      <c r="X6" s="8"/>
      <c r="Y6" s="8"/>
      <c r="Z6" s="8"/>
      <c r="AA6" s="8"/>
      <c r="AB6" s="8"/>
      <c r="AC6" s="8"/>
      <c r="AG6" s="12" t="s">
        <v>101</v>
      </c>
      <c r="AH6" s="12"/>
      <c r="AI6" s="89">
        <v>7</v>
      </c>
      <c r="AJ6" s="89"/>
      <c r="AK6" s="89"/>
      <c r="AL6" s="9" t="s">
        <v>1</v>
      </c>
      <c r="AM6" s="89">
        <v>9</v>
      </c>
      <c r="AN6" s="89"/>
      <c r="AO6" s="9" t="s">
        <v>2</v>
      </c>
      <c r="AP6" s="89">
        <v>4</v>
      </c>
      <c r="AQ6" s="89"/>
      <c r="AR6" s="31" t="s">
        <v>94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15" customHeight="1" x14ac:dyDescent="0.15">
      <c r="A7" s="26"/>
      <c r="D7" s="90" t="s">
        <v>129</v>
      </c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2" t="s">
        <v>55</v>
      </c>
      <c r="U7" s="92"/>
      <c r="V7" s="92"/>
      <c r="W7" s="8"/>
      <c r="X7" s="8"/>
      <c r="Y7" s="8"/>
      <c r="Z7" s="8"/>
      <c r="AA7" s="8"/>
      <c r="AB7" s="8"/>
      <c r="AC7" s="8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15" customHeight="1" x14ac:dyDescent="0.15">
      <c r="A8" s="26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2"/>
      <c r="U8" s="92"/>
      <c r="V8" s="92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15" customHeight="1" x14ac:dyDescent="0.15">
      <c r="A9" s="2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/>
      <c r="V9" s="11"/>
      <c r="W9" s="11"/>
      <c r="X9" s="11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1.5" customHeight="1" x14ac:dyDescent="0.15">
      <c r="A10" s="26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/>
      <c r="V10" s="11"/>
      <c r="W10" s="11"/>
      <c r="X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15" customHeight="1" x14ac:dyDescent="0.15">
      <c r="A11" s="26"/>
      <c r="D11" s="73" t="s">
        <v>4</v>
      </c>
      <c r="E11" s="74"/>
      <c r="F11" s="74"/>
      <c r="G11" s="74"/>
      <c r="H11" s="106" t="s">
        <v>139</v>
      </c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73"/>
      <c r="U11" s="74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.75" customHeight="1" x14ac:dyDescent="0.15">
      <c r="A12" s="26"/>
      <c r="D12" s="32"/>
      <c r="E12" s="30"/>
      <c r="F12" s="30"/>
      <c r="G12" s="30"/>
      <c r="H12" s="32"/>
      <c r="I12" s="30"/>
      <c r="J12" s="33"/>
      <c r="K12" s="33"/>
      <c r="L12" s="33"/>
      <c r="M12" s="32"/>
      <c r="N12" s="33"/>
      <c r="O12" s="33"/>
      <c r="P12" s="32"/>
      <c r="Q12" s="33"/>
      <c r="R12" s="33"/>
      <c r="S12" s="34"/>
      <c r="T12" s="34"/>
      <c r="U12" s="30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15" customHeight="1" x14ac:dyDescent="0.15">
      <c r="A13" s="26"/>
      <c r="D13" s="73" t="s">
        <v>5</v>
      </c>
      <c r="E13" s="74"/>
      <c r="F13" s="74"/>
      <c r="G13" s="74"/>
      <c r="H13" s="96" t="s">
        <v>113</v>
      </c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74"/>
      <c r="Z13" s="78"/>
      <c r="AA13" s="78"/>
      <c r="AB13" s="108" t="s">
        <v>57</v>
      </c>
      <c r="AC13" s="108"/>
      <c r="AD13" s="108"/>
      <c r="AE13" s="109" t="s">
        <v>81</v>
      </c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  <c r="AS13" s="109"/>
      <c r="AT13" s="109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.75" customHeight="1" x14ac:dyDescent="0.15">
      <c r="A14" s="26"/>
      <c r="D14" s="32"/>
      <c r="E14" s="30"/>
      <c r="F14" s="30"/>
      <c r="G14" s="30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0"/>
      <c r="Z14" s="78"/>
      <c r="AA14" s="78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78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15" customHeight="1" x14ac:dyDescent="0.15">
      <c r="A15" s="26"/>
      <c r="D15" s="73" t="s">
        <v>6</v>
      </c>
      <c r="E15" s="74"/>
      <c r="F15" s="74"/>
      <c r="G15" s="74"/>
      <c r="I15" s="81" t="s">
        <v>142</v>
      </c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7"/>
      <c r="Z15" s="78"/>
      <c r="AA15" s="78"/>
      <c r="AB15" s="110" t="s">
        <v>58</v>
      </c>
      <c r="AC15" s="110"/>
      <c r="AD15" s="110"/>
      <c r="AE15" s="109" t="s">
        <v>82</v>
      </c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  <c r="AS15" s="109"/>
      <c r="AT15" s="109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.75" customHeight="1" x14ac:dyDescent="0.15">
      <c r="A16" s="26"/>
      <c r="D16" s="32"/>
      <c r="E16" s="30"/>
      <c r="F16" s="30"/>
      <c r="G16" s="30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0"/>
      <c r="Z16" s="78"/>
      <c r="AA16" s="78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78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15" customHeight="1" x14ac:dyDescent="0.15">
      <c r="A17" s="26"/>
      <c r="B17" s="30"/>
      <c r="D17" s="79"/>
      <c r="E17" s="5" t="s">
        <v>92</v>
      </c>
      <c r="F17" s="5"/>
      <c r="G17" s="5" t="s">
        <v>100</v>
      </c>
      <c r="H17" s="5"/>
      <c r="I17" s="5"/>
      <c r="J17" s="95" t="s">
        <v>96</v>
      </c>
      <c r="K17" s="95"/>
      <c r="L17" s="95"/>
      <c r="M17" s="5"/>
      <c r="N17" s="95" t="s">
        <v>95</v>
      </c>
      <c r="O17" s="95"/>
      <c r="P17" s="5"/>
      <c r="Q17" s="95"/>
      <c r="R17" s="95"/>
      <c r="S17" s="5"/>
      <c r="T17" s="5"/>
      <c r="U17" s="5"/>
      <c r="W17" s="78"/>
      <c r="X17" s="30"/>
      <c r="AB17" s="79" t="s">
        <v>7</v>
      </c>
      <c r="AC17" s="79"/>
      <c r="AD17" s="79"/>
      <c r="AE17" s="79"/>
      <c r="AF17" s="96" t="s">
        <v>97</v>
      </c>
      <c r="AG17" s="96"/>
      <c r="AH17" s="96"/>
      <c r="AI17" s="96"/>
      <c r="AJ17" s="96"/>
      <c r="AK17" s="96"/>
      <c r="AL17" s="96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7.5" customHeight="1" x14ac:dyDescent="0.15">
      <c r="A18" s="26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15" customHeight="1" x14ac:dyDescent="0.25">
      <c r="A19" s="26"/>
      <c r="B19" s="78"/>
      <c r="C19" s="78"/>
      <c r="D19" s="78"/>
      <c r="E19" s="78"/>
      <c r="F19" s="78"/>
      <c r="G19" s="78"/>
      <c r="H19" s="78"/>
      <c r="I19" s="78"/>
      <c r="J19" s="84">
        <f>H39</f>
        <v>13607000</v>
      </c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78"/>
      <c r="W19" s="78"/>
      <c r="AB19" s="97"/>
      <c r="AC19" s="98"/>
      <c r="AD19" s="98"/>
      <c r="AE19" s="98"/>
      <c r="AF19" s="99"/>
      <c r="AG19" s="97"/>
      <c r="AH19" s="98"/>
      <c r="AI19" s="98"/>
      <c r="AJ19" s="98"/>
      <c r="AK19" s="99"/>
      <c r="AL19" s="97"/>
      <c r="AM19" s="98"/>
      <c r="AN19" s="98"/>
      <c r="AO19" s="98"/>
      <c r="AP19" s="99"/>
      <c r="AQ19" s="13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11.25" customHeight="1" x14ac:dyDescent="0.15">
      <c r="A20" s="26"/>
      <c r="B20" s="78"/>
      <c r="C20" s="78"/>
      <c r="D20" s="130" t="s">
        <v>98</v>
      </c>
      <c r="E20" s="130"/>
      <c r="F20" s="130"/>
      <c r="G20" s="130"/>
      <c r="H20" s="130"/>
      <c r="I20" s="130"/>
      <c r="J20" s="132">
        <f>H39</f>
        <v>13607000</v>
      </c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78"/>
      <c r="W20" s="78"/>
      <c r="AB20" s="100"/>
      <c r="AC20" s="101"/>
      <c r="AD20" s="101"/>
      <c r="AE20" s="101"/>
      <c r="AF20" s="102"/>
      <c r="AG20" s="100"/>
      <c r="AH20" s="101"/>
      <c r="AI20" s="101"/>
      <c r="AJ20" s="101"/>
      <c r="AK20" s="102"/>
      <c r="AL20" s="100"/>
      <c r="AM20" s="101"/>
      <c r="AN20" s="101"/>
      <c r="AO20" s="101"/>
      <c r="AP20" s="102"/>
      <c r="AQ20" s="13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9.6" customHeight="1" thickBot="1" x14ac:dyDescent="0.2">
      <c r="A21" s="26"/>
      <c r="B21" s="78"/>
      <c r="C21" s="78"/>
      <c r="D21" s="131"/>
      <c r="E21" s="131"/>
      <c r="F21" s="131"/>
      <c r="G21" s="131"/>
      <c r="H21" s="131"/>
      <c r="I21" s="131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78"/>
      <c r="W21" s="78"/>
      <c r="AB21" s="100"/>
      <c r="AC21" s="101"/>
      <c r="AD21" s="101"/>
      <c r="AE21" s="101"/>
      <c r="AF21" s="102"/>
      <c r="AG21" s="100"/>
      <c r="AH21" s="101"/>
      <c r="AI21" s="101"/>
      <c r="AJ21" s="101"/>
      <c r="AK21" s="102"/>
      <c r="AL21" s="100"/>
      <c r="AM21" s="101"/>
      <c r="AN21" s="101"/>
      <c r="AO21" s="101"/>
      <c r="AP21" s="102"/>
      <c r="AQ21" s="13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21" customHeight="1" x14ac:dyDescent="0.15">
      <c r="A22" s="26"/>
      <c r="B22" s="134" t="s">
        <v>105</v>
      </c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78"/>
      <c r="AB22" s="103"/>
      <c r="AC22" s="104"/>
      <c r="AD22" s="104"/>
      <c r="AE22" s="104"/>
      <c r="AF22" s="105"/>
      <c r="AG22" s="103"/>
      <c r="AH22" s="104"/>
      <c r="AI22" s="104"/>
      <c r="AJ22" s="104"/>
      <c r="AK22" s="105"/>
      <c r="AL22" s="103"/>
      <c r="AM22" s="104"/>
      <c r="AN22" s="104"/>
      <c r="AO22" s="104"/>
      <c r="AP22" s="105"/>
      <c r="AQ22" s="13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7.5" customHeight="1" thickBot="1" x14ac:dyDescent="0.2">
      <c r="A23" s="26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15" customHeight="1" x14ac:dyDescent="0.15">
      <c r="A24" s="26"/>
      <c r="B24" s="135" t="s">
        <v>9</v>
      </c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7"/>
      <c r="T24" s="111" t="s">
        <v>10</v>
      </c>
      <c r="U24" s="112"/>
      <c r="V24" s="112"/>
      <c r="W24" s="112"/>
      <c r="X24" s="112"/>
      <c r="Y24" s="112"/>
      <c r="Z24" s="113"/>
      <c r="AA24" s="111" t="s">
        <v>99</v>
      </c>
      <c r="AB24" s="112"/>
      <c r="AC24" s="112"/>
      <c r="AD24" s="112"/>
      <c r="AE24" s="112"/>
      <c r="AF24" s="111" t="s">
        <v>12</v>
      </c>
      <c r="AG24" s="112"/>
      <c r="AH24" s="112"/>
      <c r="AI24" s="112"/>
      <c r="AJ24" s="112"/>
      <c r="AK24" s="112"/>
      <c r="AL24" s="113"/>
      <c r="AM24" s="111" t="s">
        <v>13</v>
      </c>
      <c r="AN24" s="112"/>
      <c r="AO24" s="112"/>
      <c r="AP24" s="112"/>
      <c r="AQ24" s="112"/>
      <c r="AR24" s="112"/>
      <c r="AS24" s="117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15" customHeight="1" x14ac:dyDescent="0.15">
      <c r="A25" s="26"/>
      <c r="B25" s="138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40"/>
      <c r="T25" s="114"/>
      <c r="U25" s="115"/>
      <c r="V25" s="115"/>
      <c r="W25" s="115"/>
      <c r="X25" s="115"/>
      <c r="Y25" s="115"/>
      <c r="Z25" s="116"/>
      <c r="AA25" s="114"/>
      <c r="AB25" s="115"/>
      <c r="AC25" s="115"/>
      <c r="AD25" s="115"/>
      <c r="AE25" s="115"/>
      <c r="AF25" s="114"/>
      <c r="AG25" s="115"/>
      <c r="AH25" s="115"/>
      <c r="AI25" s="115"/>
      <c r="AJ25" s="115"/>
      <c r="AK25" s="115"/>
      <c r="AL25" s="116"/>
      <c r="AM25" s="114"/>
      <c r="AN25" s="115"/>
      <c r="AO25" s="115"/>
      <c r="AP25" s="115"/>
      <c r="AQ25" s="115"/>
      <c r="AR25" s="115"/>
      <c r="AS25" s="118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26"/>
      <c r="B26" s="119" t="s">
        <v>115</v>
      </c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1"/>
      <c r="T26" s="122"/>
      <c r="U26" s="123"/>
      <c r="V26" s="123"/>
      <c r="W26" s="123"/>
      <c r="X26" s="124"/>
      <c r="Y26" s="124"/>
      <c r="Z26" s="125"/>
      <c r="AA26" s="122"/>
      <c r="AB26" s="123"/>
      <c r="AC26" s="123"/>
      <c r="AD26" s="123"/>
      <c r="AE26" s="126"/>
      <c r="AF26" s="122">
        <f t="shared" ref="AF26:AF37" si="0">IF(T26="",1*AA26,T26*AA26)</f>
        <v>0</v>
      </c>
      <c r="AG26" s="123"/>
      <c r="AH26" s="123"/>
      <c r="AI26" s="123"/>
      <c r="AJ26" s="123"/>
      <c r="AK26" s="123"/>
      <c r="AL26" s="126"/>
      <c r="AM26" s="127"/>
      <c r="AN26" s="128"/>
      <c r="AO26" s="128"/>
      <c r="AP26" s="128"/>
      <c r="AQ26" s="128"/>
      <c r="AR26" s="128"/>
      <c r="AS26" s="129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26"/>
      <c r="B27" s="119" t="s">
        <v>132</v>
      </c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1"/>
      <c r="T27" s="122"/>
      <c r="U27" s="123"/>
      <c r="V27" s="123"/>
      <c r="W27" s="123"/>
      <c r="X27" s="124" t="s">
        <v>22</v>
      </c>
      <c r="Y27" s="124"/>
      <c r="Z27" s="125"/>
      <c r="AA27" s="122">
        <v>1400000</v>
      </c>
      <c r="AB27" s="123"/>
      <c r="AC27" s="123"/>
      <c r="AD27" s="123"/>
      <c r="AE27" s="126"/>
      <c r="AF27" s="122">
        <f t="shared" si="0"/>
        <v>1400000</v>
      </c>
      <c r="AG27" s="123"/>
      <c r="AH27" s="123"/>
      <c r="AI27" s="123"/>
      <c r="AJ27" s="123"/>
      <c r="AK27" s="123"/>
      <c r="AL27" s="126"/>
      <c r="AM27" s="127" t="s">
        <v>108</v>
      </c>
      <c r="AN27" s="128"/>
      <c r="AO27" s="128"/>
      <c r="AP27" s="128"/>
      <c r="AQ27" s="128"/>
      <c r="AR27" s="128"/>
      <c r="AS27" s="129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26"/>
      <c r="B28" s="119" t="s">
        <v>116</v>
      </c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1"/>
      <c r="T28" s="122"/>
      <c r="U28" s="123"/>
      <c r="V28" s="123"/>
      <c r="W28" s="123"/>
      <c r="X28" s="124"/>
      <c r="Y28" s="124"/>
      <c r="Z28" s="125"/>
      <c r="AA28" s="122"/>
      <c r="AB28" s="123"/>
      <c r="AC28" s="123"/>
      <c r="AD28" s="123"/>
      <c r="AE28" s="126"/>
      <c r="AF28" s="122">
        <f>IF(T28="",1*AA28,T28*AA28)</f>
        <v>0</v>
      </c>
      <c r="AG28" s="123"/>
      <c r="AH28" s="123"/>
      <c r="AI28" s="123"/>
      <c r="AJ28" s="123"/>
      <c r="AK28" s="123"/>
      <c r="AL28" s="126"/>
      <c r="AM28" s="127"/>
      <c r="AN28" s="128"/>
      <c r="AO28" s="128"/>
      <c r="AP28" s="128"/>
      <c r="AQ28" s="128"/>
      <c r="AR28" s="128"/>
      <c r="AS28" s="129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26"/>
      <c r="B29" s="119" t="s">
        <v>132</v>
      </c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1"/>
      <c r="T29" s="122"/>
      <c r="U29" s="123"/>
      <c r="V29" s="123"/>
      <c r="W29" s="123"/>
      <c r="X29" s="124" t="s">
        <v>22</v>
      </c>
      <c r="Y29" s="124"/>
      <c r="Z29" s="125"/>
      <c r="AA29" s="122">
        <v>1350000</v>
      </c>
      <c r="AB29" s="123"/>
      <c r="AC29" s="123"/>
      <c r="AD29" s="123"/>
      <c r="AE29" s="126"/>
      <c r="AF29" s="122">
        <f t="shared" ref="AF29:AF32" si="1">IF(T29="",1*AA29,T29*AA29)</f>
        <v>1350000</v>
      </c>
      <c r="AG29" s="123"/>
      <c r="AH29" s="123"/>
      <c r="AI29" s="123"/>
      <c r="AJ29" s="123"/>
      <c r="AK29" s="123"/>
      <c r="AL29" s="126"/>
      <c r="AM29" s="127" t="s">
        <v>108</v>
      </c>
      <c r="AN29" s="128"/>
      <c r="AO29" s="128"/>
      <c r="AP29" s="128"/>
      <c r="AQ29" s="128"/>
      <c r="AR29" s="128"/>
      <c r="AS29" s="129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x14ac:dyDescent="0.15">
      <c r="A30" s="26"/>
      <c r="B30" s="119" t="s">
        <v>115</v>
      </c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1"/>
      <c r="T30" s="122"/>
      <c r="U30" s="123"/>
      <c r="V30" s="123"/>
      <c r="W30" s="123"/>
      <c r="X30" s="124"/>
      <c r="Y30" s="124"/>
      <c r="Z30" s="125"/>
      <c r="AA30" s="122"/>
      <c r="AB30" s="123"/>
      <c r="AC30" s="123"/>
      <c r="AD30" s="123"/>
      <c r="AE30" s="126"/>
      <c r="AF30" s="122">
        <f t="shared" si="1"/>
        <v>0</v>
      </c>
      <c r="AG30" s="123"/>
      <c r="AH30" s="123"/>
      <c r="AI30" s="123"/>
      <c r="AJ30" s="123"/>
      <c r="AK30" s="123"/>
      <c r="AL30" s="126"/>
      <c r="AM30" s="127"/>
      <c r="AN30" s="128"/>
      <c r="AO30" s="128"/>
      <c r="AP30" s="128"/>
      <c r="AQ30" s="128"/>
      <c r="AR30" s="128"/>
      <c r="AS30" s="129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32.1" customHeight="1" x14ac:dyDescent="0.15">
      <c r="A31" s="26"/>
      <c r="B31" s="119" t="s">
        <v>133</v>
      </c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1"/>
      <c r="T31" s="122"/>
      <c r="U31" s="123"/>
      <c r="V31" s="123"/>
      <c r="W31" s="123"/>
      <c r="X31" s="124" t="s">
        <v>22</v>
      </c>
      <c r="Y31" s="124"/>
      <c r="Z31" s="125"/>
      <c r="AA31" s="122">
        <v>1980000</v>
      </c>
      <c r="AB31" s="123"/>
      <c r="AC31" s="123"/>
      <c r="AD31" s="123"/>
      <c r="AE31" s="126"/>
      <c r="AF31" s="122">
        <f t="shared" si="1"/>
        <v>1980000</v>
      </c>
      <c r="AG31" s="123"/>
      <c r="AH31" s="123"/>
      <c r="AI31" s="123"/>
      <c r="AJ31" s="123"/>
      <c r="AK31" s="123"/>
      <c r="AL31" s="126"/>
      <c r="AM31" s="127" t="s">
        <v>137</v>
      </c>
      <c r="AN31" s="128"/>
      <c r="AO31" s="128"/>
      <c r="AP31" s="128"/>
      <c r="AQ31" s="128"/>
      <c r="AR31" s="128"/>
      <c r="AS31" s="129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32.1" customHeight="1" x14ac:dyDescent="0.15">
      <c r="A32" s="26"/>
      <c r="B32" s="119" t="s">
        <v>116</v>
      </c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1"/>
      <c r="T32" s="122"/>
      <c r="U32" s="123"/>
      <c r="V32" s="123"/>
      <c r="W32" s="123"/>
      <c r="X32" s="124"/>
      <c r="Y32" s="124"/>
      <c r="Z32" s="125"/>
      <c r="AA32" s="122"/>
      <c r="AB32" s="123"/>
      <c r="AC32" s="123"/>
      <c r="AD32" s="123"/>
      <c r="AE32" s="126"/>
      <c r="AF32" s="122">
        <f t="shared" si="1"/>
        <v>0</v>
      </c>
      <c r="AG32" s="123"/>
      <c r="AH32" s="123"/>
      <c r="AI32" s="123"/>
      <c r="AJ32" s="123"/>
      <c r="AK32" s="123"/>
      <c r="AL32" s="126"/>
      <c r="AM32" s="141"/>
      <c r="AN32" s="142"/>
      <c r="AO32" s="142"/>
      <c r="AP32" s="142"/>
      <c r="AQ32" s="142"/>
      <c r="AR32" s="142"/>
      <c r="AS32" s="143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32.1" customHeight="1" x14ac:dyDescent="0.15">
      <c r="A33" s="26"/>
      <c r="B33" s="119" t="s">
        <v>134</v>
      </c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1"/>
      <c r="T33" s="122"/>
      <c r="U33" s="123"/>
      <c r="V33" s="123"/>
      <c r="W33" s="123"/>
      <c r="X33" s="124" t="s">
        <v>22</v>
      </c>
      <c r="Y33" s="124"/>
      <c r="Z33" s="125"/>
      <c r="AA33" s="122">
        <v>1930000</v>
      </c>
      <c r="AB33" s="123"/>
      <c r="AC33" s="123"/>
      <c r="AD33" s="123"/>
      <c r="AE33" s="126"/>
      <c r="AF33" s="122">
        <f>IF(T33="",1*AA33,T33*AA33)</f>
        <v>1930000</v>
      </c>
      <c r="AG33" s="123"/>
      <c r="AH33" s="123"/>
      <c r="AI33" s="123"/>
      <c r="AJ33" s="123"/>
      <c r="AK33" s="123"/>
      <c r="AL33" s="126"/>
      <c r="AM33" s="127" t="s">
        <v>137</v>
      </c>
      <c r="AN33" s="128"/>
      <c r="AO33" s="128"/>
      <c r="AP33" s="128"/>
      <c r="AQ33" s="128"/>
      <c r="AR33" s="128"/>
      <c r="AS33" s="129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32.1" customHeight="1" x14ac:dyDescent="0.15">
      <c r="A34" s="26"/>
      <c r="B34" s="119" t="s">
        <v>115</v>
      </c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1"/>
      <c r="T34" s="122"/>
      <c r="U34" s="123"/>
      <c r="V34" s="123"/>
      <c r="W34" s="123"/>
      <c r="X34" s="124"/>
      <c r="Y34" s="124"/>
      <c r="Z34" s="125"/>
      <c r="AA34" s="122"/>
      <c r="AB34" s="123"/>
      <c r="AC34" s="123"/>
      <c r="AD34" s="123"/>
      <c r="AE34" s="126"/>
      <c r="AF34" s="122">
        <f>IF(T34="",1*AA34,T34*AA34)</f>
        <v>0</v>
      </c>
      <c r="AG34" s="123"/>
      <c r="AH34" s="123"/>
      <c r="AI34" s="123"/>
      <c r="AJ34" s="123"/>
      <c r="AK34" s="123"/>
      <c r="AL34" s="126"/>
      <c r="AM34" s="141"/>
      <c r="AN34" s="142"/>
      <c r="AO34" s="142"/>
      <c r="AP34" s="142"/>
      <c r="AQ34" s="142"/>
      <c r="AR34" s="142"/>
      <c r="AS34" s="143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32.1" customHeight="1" x14ac:dyDescent="0.15">
      <c r="A35" s="26"/>
      <c r="B35" s="119" t="s">
        <v>135</v>
      </c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1"/>
      <c r="T35" s="122"/>
      <c r="U35" s="123"/>
      <c r="V35" s="123"/>
      <c r="W35" s="123"/>
      <c r="X35" s="124" t="s">
        <v>22</v>
      </c>
      <c r="Y35" s="124"/>
      <c r="Z35" s="125"/>
      <c r="AA35" s="122">
        <v>2880000</v>
      </c>
      <c r="AB35" s="123"/>
      <c r="AC35" s="123"/>
      <c r="AD35" s="123"/>
      <c r="AE35" s="126"/>
      <c r="AF35" s="122">
        <f>IF(T35="",1*AA35,T35*AA35)</f>
        <v>2880000</v>
      </c>
      <c r="AG35" s="123"/>
      <c r="AH35" s="123"/>
      <c r="AI35" s="123"/>
      <c r="AJ35" s="123"/>
      <c r="AK35" s="123"/>
      <c r="AL35" s="126"/>
      <c r="AM35" s="127" t="s">
        <v>138</v>
      </c>
      <c r="AN35" s="128"/>
      <c r="AO35" s="128"/>
      <c r="AP35" s="128"/>
      <c r="AQ35" s="128"/>
      <c r="AR35" s="128"/>
      <c r="AS35" s="129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32.1" customHeight="1" x14ac:dyDescent="0.15">
      <c r="A36" s="26"/>
      <c r="B36" s="119" t="s">
        <v>116</v>
      </c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1"/>
      <c r="T36" s="122"/>
      <c r="U36" s="123"/>
      <c r="V36" s="123"/>
      <c r="W36" s="123"/>
      <c r="X36" s="124"/>
      <c r="Y36" s="124"/>
      <c r="Z36" s="125"/>
      <c r="AA36" s="122"/>
      <c r="AB36" s="123"/>
      <c r="AC36" s="123"/>
      <c r="AD36" s="123"/>
      <c r="AE36" s="126"/>
      <c r="AF36" s="122">
        <f t="shared" si="0"/>
        <v>0</v>
      </c>
      <c r="AG36" s="123"/>
      <c r="AH36" s="123"/>
      <c r="AI36" s="123"/>
      <c r="AJ36" s="123"/>
      <c r="AK36" s="123"/>
      <c r="AL36" s="126"/>
      <c r="AM36" s="141"/>
      <c r="AN36" s="142"/>
      <c r="AO36" s="142"/>
      <c r="AP36" s="142"/>
      <c r="AQ36" s="142"/>
      <c r="AR36" s="142"/>
      <c r="AS36" s="143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32.1" customHeight="1" x14ac:dyDescent="0.15">
      <c r="A37" s="26"/>
      <c r="B37" s="119" t="s">
        <v>136</v>
      </c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1"/>
      <c r="T37" s="122"/>
      <c r="U37" s="123"/>
      <c r="V37" s="123"/>
      <c r="W37" s="123"/>
      <c r="X37" s="124" t="s">
        <v>22</v>
      </c>
      <c r="Y37" s="124"/>
      <c r="Z37" s="125"/>
      <c r="AA37" s="122">
        <v>2830000</v>
      </c>
      <c r="AB37" s="123"/>
      <c r="AC37" s="123"/>
      <c r="AD37" s="123"/>
      <c r="AE37" s="126"/>
      <c r="AF37" s="122">
        <f t="shared" si="0"/>
        <v>2830000</v>
      </c>
      <c r="AG37" s="123"/>
      <c r="AH37" s="123"/>
      <c r="AI37" s="123"/>
      <c r="AJ37" s="123"/>
      <c r="AK37" s="123"/>
      <c r="AL37" s="126"/>
      <c r="AM37" s="127" t="s">
        <v>138</v>
      </c>
      <c r="AN37" s="128"/>
      <c r="AO37" s="128"/>
      <c r="AP37" s="128"/>
      <c r="AQ37" s="128"/>
      <c r="AR37" s="128"/>
      <c r="AS37" s="129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32.1" customHeight="1" x14ac:dyDescent="0.15">
      <c r="A38" s="26"/>
      <c r="B38" s="144" t="s">
        <v>102</v>
      </c>
      <c r="C38" s="145"/>
      <c r="D38" s="145"/>
      <c r="E38" s="145"/>
      <c r="F38" s="145"/>
      <c r="G38" s="146"/>
      <c r="H38" s="147">
        <f>AA38*0.1</f>
        <v>1237000</v>
      </c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9"/>
      <c r="T38" s="150" t="s">
        <v>15</v>
      </c>
      <c r="U38" s="145"/>
      <c r="V38" s="145"/>
      <c r="W38" s="145"/>
      <c r="X38" s="145"/>
      <c r="Y38" s="145"/>
      <c r="Z38" s="146"/>
      <c r="AA38" s="151">
        <f>SUM(AF26:AL37)</f>
        <v>12370000</v>
      </c>
      <c r="AB38" s="152"/>
      <c r="AC38" s="152"/>
      <c r="AD38" s="152"/>
      <c r="AE38" s="152"/>
      <c r="AF38" s="152"/>
      <c r="AG38" s="152"/>
      <c r="AH38" s="152"/>
      <c r="AI38" s="152"/>
      <c r="AJ38" s="152"/>
      <c r="AK38" s="152"/>
      <c r="AL38" s="153"/>
      <c r="AM38" s="154"/>
      <c r="AN38" s="155"/>
      <c r="AO38" s="155"/>
      <c r="AP38" s="155"/>
      <c r="AQ38" s="155"/>
      <c r="AR38" s="155"/>
      <c r="AS38" s="156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32.1" customHeight="1" thickBot="1" x14ac:dyDescent="0.2">
      <c r="A39" s="26"/>
      <c r="B39" s="157" t="s">
        <v>8</v>
      </c>
      <c r="C39" s="158"/>
      <c r="D39" s="158"/>
      <c r="E39" s="158"/>
      <c r="F39" s="158"/>
      <c r="G39" s="159"/>
      <c r="H39" s="160">
        <f>CK115+H38</f>
        <v>13607000</v>
      </c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1"/>
      <c r="AK39" s="161"/>
      <c r="AL39" s="162"/>
      <c r="AM39" s="163"/>
      <c r="AN39" s="164"/>
      <c r="AO39" s="164"/>
      <c r="AP39" s="164"/>
      <c r="AQ39" s="164"/>
      <c r="AR39" s="164"/>
      <c r="AS39" s="165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5" customHeight="1" x14ac:dyDescent="0.15">
      <c r="A40" s="26"/>
      <c r="B40" s="170" t="s">
        <v>16</v>
      </c>
      <c r="C40" s="171"/>
      <c r="D40" s="171"/>
      <c r="E40" s="172" t="s">
        <v>141</v>
      </c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172"/>
      <c r="AA40" s="172"/>
      <c r="AB40" s="172"/>
      <c r="AC40" s="172"/>
      <c r="AD40" s="172"/>
      <c r="AE40" s="172"/>
      <c r="AF40" s="172"/>
      <c r="AG40" s="172"/>
      <c r="AH40" s="172"/>
      <c r="AI40" s="172"/>
      <c r="AJ40" s="172"/>
      <c r="AK40" s="172"/>
      <c r="AL40" s="172"/>
      <c r="AM40" s="172"/>
      <c r="AN40" s="172"/>
      <c r="AO40" s="172"/>
      <c r="AP40" s="172"/>
      <c r="AQ40" s="172"/>
      <c r="AR40" s="172"/>
      <c r="AS40" s="173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7.100000000000001" customHeight="1" x14ac:dyDescent="0.15">
      <c r="A41" s="26"/>
      <c r="B41" s="174" t="s">
        <v>128</v>
      </c>
      <c r="C41" s="175"/>
      <c r="D41" s="175"/>
      <c r="E41" s="175"/>
      <c r="F41" s="175"/>
      <c r="G41" s="175"/>
      <c r="H41" s="175"/>
      <c r="I41" s="175"/>
      <c r="J41" s="175"/>
      <c r="K41" s="175"/>
      <c r="L41" s="175"/>
      <c r="M41" s="175"/>
      <c r="N41" s="175"/>
      <c r="O41" s="175"/>
      <c r="P41" s="175"/>
      <c r="Q41" s="175"/>
      <c r="R41" s="175"/>
      <c r="S41" s="175"/>
      <c r="T41" s="175"/>
      <c r="U41" s="175"/>
      <c r="V41" s="175"/>
      <c r="W41" s="175"/>
      <c r="X41" s="175"/>
      <c r="Y41" s="175"/>
      <c r="Z41" s="175"/>
      <c r="AA41" s="175"/>
      <c r="AB41" s="175"/>
      <c r="AC41" s="175"/>
      <c r="AD41" s="175"/>
      <c r="AE41" s="175"/>
      <c r="AF41" s="175"/>
      <c r="AG41" s="175"/>
      <c r="AH41" s="175"/>
      <c r="AI41" s="175"/>
      <c r="AJ41" s="175"/>
      <c r="AK41" s="175"/>
      <c r="AL41" s="175"/>
      <c r="AM41" s="175"/>
      <c r="AN41" s="175"/>
      <c r="AO41" s="175"/>
      <c r="AP41" s="175"/>
      <c r="AQ41" s="175"/>
      <c r="AR41" s="175"/>
      <c r="AS41" s="176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7.100000000000001" customHeight="1" thickBot="1" x14ac:dyDescent="0.2">
      <c r="A42" s="26"/>
      <c r="B42" s="177" t="s">
        <v>107</v>
      </c>
      <c r="C42" s="178"/>
      <c r="D42" s="178"/>
      <c r="E42" s="178"/>
      <c r="F42" s="178"/>
      <c r="G42" s="178"/>
      <c r="H42" s="178"/>
      <c r="I42" s="178"/>
      <c r="J42" s="178"/>
      <c r="K42" s="178"/>
      <c r="L42" s="178"/>
      <c r="M42" s="178"/>
      <c r="N42" s="178"/>
      <c r="O42" s="178"/>
      <c r="P42" s="178"/>
      <c r="Q42" s="178"/>
      <c r="R42" s="178"/>
      <c r="S42" s="178"/>
      <c r="T42" s="178"/>
      <c r="U42" s="178"/>
      <c r="V42" s="178"/>
      <c r="W42" s="178"/>
      <c r="X42" s="178"/>
      <c r="Y42" s="178"/>
      <c r="Z42" s="178"/>
      <c r="AA42" s="178"/>
      <c r="AB42" s="178"/>
      <c r="AC42" s="178"/>
      <c r="AD42" s="178"/>
      <c r="AE42" s="178"/>
      <c r="AF42" s="178"/>
      <c r="AG42" s="178"/>
      <c r="AH42" s="178"/>
      <c r="AI42" s="178"/>
      <c r="AJ42" s="178"/>
      <c r="AK42" s="178"/>
      <c r="AL42" s="178"/>
      <c r="AM42" s="178"/>
      <c r="AN42" s="178"/>
      <c r="AO42" s="178"/>
      <c r="AP42" s="178"/>
      <c r="AQ42" s="178"/>
      <c r="AR42" s="178"/>
      <c r="AS42" s="179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7.100000000000001" customHeight="1" thickTop="1" x14ac:dyDescent="0.15">
      <c r="A43" s="26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69.75" customHeight="1" x14ac:dyDescent="0.15">
      <c r="A44" s="26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80"/>
      <c r="O44" s="180"/>
      <c r="P44" s="180"/>
      <c r="Q44" s="180"/>
      <c r="R44" s="180"/>
      <c r="S44" s="180"/>
      <c r="T44" s="180"/>
      <c r="U44" s="180"/>
      <c r="V44" s="180"/>
      <c r="W44" s="1"/>
      <c r="X44" s="51"/>
      <c r="Y44" s="16"/>
      <c r="Z44" s="15"/>
      <c r="AA44" s="15"/>
      <c r="AB44" s="169"/>
      <c r="AC44" s="169"/>
      <c r="AD44" s="169"/>
      <c r="AE44" s="15"/>
      <c r="AF44" s="16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5" customHeight="1" x14ac:dyDescent="0.15">
      <c r="A45" s="26"/>
      <c r="B45" s="1"/>
      <c r="C45" s="1"/>
      <c r="D45" s="1"/>
      <c r="E45" s="1"/>
      <c r="F45" s="1"/>
      <c r="G45" s="1"/>
      <c r="H45" s="1"/>
      <c r="I45" s="1"/>
      <c r="J45" s="52"/>
      <c r="K45" s="1"/>
      <c r="L45" s="1"/>
      <c r="M45" s="1"/>
      <c r="N45" s="166"/>
      <c r="O45" s="166"/>
      <c r="P45" s="167"/>
      <c r="Q45" s="167"/>
      <c r="R45" s="167"/>
      <c r="S45" s="167"/>
      <c r="T45" s="167"/>
      <c r="U45" s="167"/>
      <c r="V45" s="167"/>
      <c r="W45" s="1"/>
      <c r="X45" s="53"/>
      <c r="Y45" s="54"/>
      <c r="Z45" s="15"/>
      <c r="AA45" s="15"/>
      <c r="AB45" s="168"/>
      <c r="AC45" s="168"/>
      <c r="AD45" s="5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5" customHeight="1" x14ac:dyDescent="0.15">
      <c r="A46" s="26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66"/>
      <c r="O46" s="166"/>
      <c r="P46" s="167"/>
      <c r="Q46" s="167"/>
      <c r="R46" s="167"/>
      <c r="S46" s="167"/>
      <c r="T46" s="167"/>
      <c r="U46" s="167"/>
      <c r="V46" s="167"/>
      <c r="W46" s="1"/>
      <c r="X46" s="53"/>
      <c r="Y46" s="54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5" customHeight="1" x14ac:dyDescent="0.15">
      <c r="A47" s="26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66"/>
      <c r="O47" s="166"/>
      <c r="P47" s="167"/>
      <c r="Q47" s="167"/>
      <c r="R47" s="167"/>
      <c r="S47" s="167"/>
      <c r="T47" s="167"/>
      <c r="U47" s="167"/>
      <c r="V47" s="167"/>
      <c r="W47" s="1"/>
      <c r="X47" s="53"/>
      <c r="Y47" s="54"/>
      <c r="Z47" s="15"/>
      <c r="AA47" s="169"/>
      <c r="AB47" s="169"/>
      <c r="AC47" s="169"/>
      <c r="AD47" s="169"/>
      <c r="AE47" s="169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5" customHeight="1" x14ac:dyDescent="0.15">
      <c r="A48" s="26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66"/>
      <c r="O48" s="166"/>
      <c r="P48" s="167"/>
      <c r="Q48" s="167"/>
      <c r="R48" s="167"/>
      <c r="S48" s="167"/>
      <c r="T48" s="167"/>
      <c r="U48" s="167"/>
      <c r="V48" s="167"/>
      <c r="W48" s="1"/>
      <c r="X48" s="53"/>
      <c r="Y48" s="54"/>
      <c r="Z48" s="15"/>
      <c r="AA48" s="56"/>
      <c r="AB48" s="168"/>
      <c r="AC48" s="168"/>
      <c r="AD48" s="168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5" customHeight="1" x14ac:dyDescent="0.15">
      <c r="A49" s="26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66"/>
      <c r="O49" s="166"/>
      <c r="P49" s="167"/>
      <c r="Q49" s="167"/>
      <c r="R49" s="167"/>
      <c r="S49" s="167"/>
      <c r="T49" s="167"/>
      <c r="U49" s="167"/>
      <c r="V49" s="167"/>
      <c r="W49" s="1"/>
      <c r="X49" s="53"/>
      <c r="Y49" s="54"/>
      <c r="Z49" s="15"/>
      <c r="AA49" s="56"/>
      <c r="AB49" s="168"/>
      <c r="AC49" s="168"/>
      <c r="AD49" s="168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5" customHeight="1" x14ac:dyDescent="0.15">
      <c r="A50" s="26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66"/>
      <c r="O50" s="166"/>
      <c r="P50" s="167"/>
      <c r="Q50" s="167"/>
      <c r="R50" s="167"/>
      <c r="S50" s="167"/>
      <c r="T50" s="167"/>
      <c r="U50" s="167"/>
      <c r="V50" s="167"/>
      <c r="W50" s="1"/>
      <c r="X50" s="53"/>
      <c r="Y50" s="53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ht="15" customHeight="1" x14ac:dyDescent="0.15">
      <c r="A51" s="26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66"/>
      <c r="O51" s="166"/>
      <c r="P51" s="167"/>
      <c r="Q51" s="167"/>
      <c r="R51" s="167"/>
      <c r="S51" s="167"/>
      <c r="T51" s="167"/>
      <c r="U51" s="167"/>
      <c r="V51" s="167"/>
      <c r="W51" s="1"/>
      <c r="X51" s="53"/>
      <c r="Y51" s="53"/>
      <c r="Z51" s="15"/>
      <c r="AA51" s="181"/>
      <c r="AB51" s="181"/>
      <c r="AC51" s="181"/>
      <c r="AD51" s="181"/>
      <c r="AE51" s="181"/>
      <c r="AF51" s="181"/>
      <c r="AG51" s="181"/>
      <c r="AH51" s="181"/>
      <c r="AI51" s="181"/>
      <c r="AJ51" s="169"/>
      <c r="AK51" s="169"/>
      <c r="AL51" s="169"/>
      <c r="AM51" s="169"/>
      <c r="AN51" s="169"/>
      <c r="AO51" s="169"/>
      <c r="AP51" s="169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ht="15" customHeight="1" x14ac:dyDescent="0.15">
      <c r="A52" s="26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66"/>
      <c r="O52" s="166"/>
      <c r="P52" s="167"/>
      <c r="Q52" s="167"/>
      <c r="R52" s="167"/>
      <c r="S52" s="167"/>
      <c r="T52" s="167"/>
      <c r="U52" s="167"/>
      <c r="V52" s="167"/>
      <c r="W52" s="1"/>
      <c r="X52" s="53"/>
      <c r="Y52" s="54"/>
      <c r="Z52" s="15"/>
      <c r="AA52" s="56"/>
      <c r="AB52" s="182"/>
      <c r="AC52" s="182"/>
      <c r="AD52" s="182"/>
      <c r="AE52" s="182"/>
      <c r="AF52" s="182"/>
      <c r="AG52" s="182"/>
      <c r="AH52" s="182"/>
      <c r="AI52" s="182"/>
      <c r="AJ52" s="182"/>
      <c r="AK52" s="182"/>
      <c r="AL52" s="182"/>
      <c r="AM52" s="182"/>
      <c r="AN52" s="182"/>
      <c r="AO52" s="182"/>
      <c r="AP52" s="182"/>
      <c r="AQ52" s="1"/>
      <c r="AR52" s="1"/>
      <c r="AS52" s="1"/>
      <c r="AT52" s="1"/>
      <c r="AU52" s="1"/>
      <c r="AV52" s="1"/>
      <c r="AW52" s="183"/>
      <c r="AX52" s="183"/>
      <c r="AY52" s="183"/>
      <c r="AZ52" s="183"/>
      <c r="BA52" s="183"/>
      <c r="BB52" s="183"/>
      <c r="BC52" s="183"/>
      <c r="BD52" s="183"/>
      <c r="BE52" s="183"/>
      <c r="BF52" s="183"/>
      <c r="BG52" s="183"/>
      <c r="BH52" s="183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ht="15" customHeight="1" x14ac:dyDescent="0.15">
      <c r="A53" s="26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66"/>
      <c r="O53" s="166"/>
      <c r="P53" s="167"/>
      <c r="Q53" s="167"/>
      <c r="R53" s="167"/>
      <c r="S53" s="167"/>
      <c r="T53" s="167"/>
      <c r="U53" s="167"/>
      <c r="V53" s="167"/>
      <c r="W53" s="1"/>
      <c r="X53" s="53"/>
      <c r="Y53" s="54"/>
      <c r="Z53" s="15"/>
      <c r="AA53" s="56"/>
      <c r="AB53" s="182"/>
      <c r="AC53" s="182"/>
      <c r="AD53" s="182"/>
      <c r="AE53" s="182"/>
      <c r="AF53" s="182"/>
      <c r="AG53" s="182"/>
      <c r="AH53" s="182"/>
      <c r="AI53" s="182"/>
      <c r="AJ53" s="182"/>
      <c r="AK53" s="182"/>
      <c r="AL53" s="182"/>
      <c r="AM53" s="182"/>
      <c r="AN53" s="182"/>
      <c r="AO53" s="182"/>
      <c r="AP53" s="182"/>
      <c r="AQ53" s="1"/>
      <c r="AR53" s="1"/>
      <c r="AS53" s="1"/>
      <c r="AT53" s="1"/>
      <c r="AU53" s="1"/>
      <c r="AV53" s="1"/>
      <c r="AW53" s="183"/>
      <c r="AX53" s="183"/>
      <c r="AY53" s="183"/>
      <c r="AZ53" s="183"/>
      <c r="BA53" s="183"/>
      <c r="BB53" s="183"/>
      <c r="BC53" s="183"/>
      <c r="BD53" s="183"/>
      <c r="BE53" s="183"/>
      <c r="BF53" s="183"/>
      <c r="BG53" s="183"/>
      <c r="BH53" s="183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ht="15" customHeight="1" x14ac:dyDescent="0.15">
      <c r="A54" s="26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66"/>
      <c r="O54" s="166"/>
      <c r="P54" s="167"/>
      <c r="Q54" s="167"/>
      <c r="R54" s="167"/>
      <c r="S54" s="167"/>
      <c r="T54" s="167"/>
      <c r="U54" s="167"/>
      <c r="V54" s="167"/>
      <c r="W54" s="1"/>
      <c r="X54" s="53"/>
      <c r="Y54" s="54"/>
      <c r="Z54" s="15"/>
      <c r="AA54" s="56"/>
      <c r="AB54" s="182"/>
      <c r="AC54" s="182"/>
      <c r="AD54" s="182"/>
      <c r="AE54" s="182"/>
      <c r="AF54" s="182"/>
      <c r="AG54" s="182"/>
      <c r="AH54" s="182"/>
      <c r="AI54" s="182"/>
      <c r="AJ54" s="182"/>
      <c r="AK54" s="182"/>
      <c r="AL54" s="182"/>
      <c r="AM54" s="182"/>
      <c r="AN54" s="182"/>
      <c r="AO54" s="182"/>
      <c r="AP54" s="182"/>
      <c r="AQ54" s="1"/>
      <c r="AR54" s="1"/>
      <c r="AS54" s="1"/>
      <c r="AT54" s="1"/>
      <c r="AU54" s="1"/>
      <c r="AV54" s="1"/>
      <c r="AW54" s="183"/>
      <c r="AX54" s="183"/>
      <c r="AY54" s="183"/>
      <c r="AZ54" s="183"/>
      <c r="BA54" s="183"/>
      <c r="BB54" s="183"/>
      <c r="BC54" s="183"/>
      <c r="BD54" s="183"/>
      <c r="BE54" s="183"/>
      <c r="BF54" s="183"/>
      <c r="BG54" s="183"/>
      <c r="BH54" s="183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ht="15" customHeight="1" x14ac:dyDescent="0.15">
      <c r="A55" s="26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66"/>
      <c r="O55" s="166"/>
      <c r="P55" s="167"/>
      <c r="Q55" s="167"/>
      <c r="R55" s="167"/>
      <c r="S55" s="167"/>
      <c r="T55" s="167"/>
      <c r="U55" s="167"/>
      <c r="V55" s="167"/>
      <c r="W55" s="1"/>
      <c r="X55" s="53"/>
      <c r="Y55" s="54"/>
      <c r="Z55" s="15"/>
      <c r="AA55" s="56"/>
      <c r="AB55" s="182"/>
      <c r="AC55" s="182"/>
      <c r="AD55" s="182"/>
      <c r="AE55" s="182"/>
      <c r="AF55" s="182"/>
      <c r="AG55" s="182"/>
      <c r="AH55" s="182"/>
      <c r="AI55" s="182"/>
      <c r="AJ55" s="182"/>
      <c r="AK55" s="182"/>
      <c r="AL55" s="182"/>
      <c r="AM55" s="182"/>
      <c r="AN55" s="182"/>
      <c r="AO55" s="182"/>
      <c r="AP55" s="182"/>
      <c r="AQ55" s="1"/>
      <c r="AR55" s="1"/>
      <c r="AS55" s="1"/>
      <c r="AT55" s="1"/>
      <c r="AU55" s="1"/>
      <c r="AV55" s="1"/>
      <c r="AW55" s="183"/>
      <c r="AX55" s="183"/>
      <c r="AY55" s="183"/>
      <c r="AZ55" s="183"/>
      <c r="BA55" s="183"/>
      <c r="BB55" s="183"/>
      <c r="BC55" s="183"/>
      <c r="BD55" s="183"/>
      <c r="BE55" s="183"/>
      <c r="BF55" s="183"/>
      <c r="BG55" s="183"/>
      <c r="BH55" s="183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ht="15" customHeight="1" x14ac:dyDescent="0.15">
      <c r="A56" s="26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80"/>
      <c r="O56" s="180"/>
      <c r="P56" s="167">
        <f>SUM(CK115:CQ115)</f>
        <v>12370000</v>
      </c>
      <c r="Q56" s="167"/>
      <c r="R56" s="167"/>
      <c r="S56" s="167"/>
      <c r="T56" s="167"/>
      <c r="U56" s="167"/>
      <c r="V56" s="167"/>
      <c r="W56" s="1"/>
      <c r="X56" s="53"/>
      <c r="Y56" s="54"/>
      <c r="Z56" s="15"/>
      <c r="AA56" s="56"/>
      <c r="AB56" s="182"/>
      <c r="AC56" s="182"/>
      <c r="AD56" s="182"/>
      <c r="AE56" s="182"/>
      <c r="AF56" s="182"/>
      <c r="AG56" s="182"/>
      <c r="AH56" s="182"/>
      <c r="AI56" s="182"/>
      <c r="AJ56" s="182"/>
      <c r="AK56" s="182"/>
      <c r="AL56" s="182"/>
      <c r="AM56" s="182"/>
      <c r="AN56" s="182"/>
      <c r="AO56" s="182"/>
      <c r="AP56" s="182"/>
      <c r="AQ56" s="1"/>
      <c r="AR56" s="1"/>
      <c r="AS56" s="1"/>
      <c r="AT56" s="1"/>
      <c r="AU56" s="1"/>
      <c r="AV56" s="1"/>
      <c r="AW56" s="183"/>
      <c r="AX56" s="183"/>
      <c r="AY56" s="183"/>
      <c r="AZ56" s="183"/>
      <c r="BA56" s="183"/>
      <c r="BB56" s="183"/>
      <c r="BC56" s="183"/>
      <c r="BD56" s="183"/>
      <c r="BE56" s="183"/>
      <c r="BF56" s="183"/>
      <c r="BG56" s="183"/>
      <c r="BH56" s="183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ht="15" customHeight="1" x14ac:dyDescent="0.15">
      <c r="A57" s="26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3"/>
      <c r="Y57" s="54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"/>
      <c r="AR57" s="1"/>
      <c r="AS57" s="1"/>
      <c r="AT57" s="1"/>
      <c r="AU57" s="1"/>
      <c r="AV57" s="1"/>
      <c r="AW57" s="183"/>
      <c r="AX57" s="183"/>
      <c r="AY57" s="183"/>
      <c r="AZ57" s="183"/>
      <c r="BA57" s="183"/>
      <c r="BB57" s="183"/>
      <c r="BC57" s="183"/>
      <c r="BD57" s="183"/>
      <c r="BE57" s="183"/>
      <c r="BF57" s="183"/>
      <c r="BG57" s="183"/>
      <c r="BH57" s="183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ht="15" customHeight="1" x14ac:dyDescent="0.15">
      <c r="A58" s="26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ht="15" customHeight="1" x14ac:dyDescent="0.15">
      <c r="A59" s="26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ht="15" customHeight="1" x14ac:dyDescent="0.15">
      <c r="A60" s="26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91"/>
      <c r="O60" s="191"/>
      <c r="P60" s="191"/>
      <c r="Q60" s="191"/>
      <c r="R60" s="192"/>
      <c r="S60" s="193"/>
      <c r="T60" s="193"/>
      <c r="U60" s="193"/>
      <c r="V60" s="193"/>
      <c r="W60" s="193"/>
      <c r="X60" s="193"/>
      <c r="Y60" s="193"/>
      <c r="Z60" s="193"/>
      <c r="AA60" s="193"/>
      <c r="AB60" s="193"/>
      <c r="AC60" s="193"/>
      <c r="AD60" s="193"/>
      <c r="AE60" s="193"/>
      <c r="AF60" s="193"/>
      <c r="AG60" s="193"/>
      <c r="AH60" s="193"/>
      <c r="AI60" s="193"/>
      <c r="AJ60" s="193"/>
      <c r="AK60" s="193"/>
      <c r="AL60" s="193"/>
      <c r="AM60" s="193"/>
      <c r="AN60" s="193"/>
      <c r="AO60" s="193"/>
      <c r="AP60" s="193"/>
      <c r="AQ60" s="1"/>
      <c r="AR60" s="180"/>
      <c r="AS60" s="180"/>
      <c r="AT60" s="80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ht="15" customHeight="1" x14ac:dyDescent="0.15">
      <c r="A61" s="26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80"/>
      <c r="AV61" s="80"/>
      <c r="AW61" s="80"/>
      <c r="AX61" s="80"/>
      <c r="AY61" s="80"/>
      <c r="AZ61" s="80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ht="15" customHeight="1" x14ac:dyDescent="0.15">
      <c r="A62" s="26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ht="15" customHeight="1" x14ac:dyDescent="0.15">
      <c r="A63" s="26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ht="15" customHeight="1" x14ac:dyDescent="0.15">
      <c r="A64" s="26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ht="15" customHeight="1" x14ac:dyDescent="0.15">
      <c r="A65" s="26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ht="15" customHeight="1" x14ac:dyDescent="0.15">
      <c r="A66" s="26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ht="15" customHeight="1" x14ac:dyDescent="0.15">
      <c r="A67" s="26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ht="15" customHeight="1" x14ac:dyDescent="0.15">
      <c r="A68" s="26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ht="15" customHeight="1" x14ac:dyDescent="0.15">
      <c r="A69" s="26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ht="15" customHeight="1" x14ac:dyDescent="0.15">
      <c r="A70" s="26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100" spans="79:165" ht="15" customHeight="1" x14ac:dyDescent="0.15">
      <c r="FB100" s="62" t="s">
        <v>63</v>
      </c>
      <c r="FC100" s="62" t="s">
        <v>64</v>
      </c>
      <c r="FD100" s="62" t="s">
        <v>65</v>
      </c>
      <c r="FE100" s="62" t="s">
        <v>66</v>
      </c>
      <c r="FF100" s="62" t="s">
        <v>18</v>
      </c>
      <c r="FG100" s="62" t="s">
        <v>18</v>
      </c>
      <c r="FH100" s="62" t="s">
        <v>67</v>
      </c>
      <c r="FI100" s="62" t="s">
        <v>68</v>
      </c>
    </row>
    <row r="101" spans="79:165" ht="15" customHeight="1" x14ac:dyDescent="0.15">
      <c r="CA101" s="41"/>
      <c r="CB101" s="42"/>
      <c r="CC101" s="42"/>
      <c r="CD101" s="42"/>
      <c r="CE101" s="42"/>
      <c r="CF101" s="42"/>
      <c r="CG101" s="42"/>
      <c r="CH101" s="42"/>
      <c r="CI101" s="42"/>
      <c r="CJ101" s="42"/>
      <c r="CK101" s="42"/>
      <c r="CL101" s="42"/>
      <c r="CM101" s="42"/>
      <c r="CN101" s="42"/>
      <c r="CO101" s="42"/>
      <c r="CP101" s="42"/>
      <c r="CQ101" s="42"/>
      <c r="CR101" s="42"/>
      <c r="CS101" s="42"/>
      <c r="CT101" s="42"/>
      <c r="CU101" s="42"/>
      <c r="CV101" s="42"/>
      <c r="CW101" s="42"/>
      <c r="CX101" s="42"/>
      <c r="CY101" s="42"/>
      <c r="CZ101" s="42"/>
      <c r="DA101" s="42"/>
      <c r="DB101" s="42"/>
      <c r="DC101" s="42"/>
      <c r="DD101" s="42"/>
      <c r="DE101" s="42"/>
      <c r="DF101" s="42"/>
      <c r="DG101" s="42"/>
      <c r="DH101" s="42"/>
      <c r="DI101" s="42"/>
      <c r="DJ101" s="42"/>
      <c r="DK101" s="42"/>
      <c r="DL101" s="42"/>
      <c r="DM101" s="42"/>
      <c r="DN101" s="42"/>
      <c r="DO101" s="42"/>
      <c r="DP101" s="42"/>
      <c r="DQ101" s="42"/>
      <c r="DR101" s="42"/>
      <c r="DS101" s="42"/>
      <c r="DT101" s="42"/>
      <c r="DU101" s="42"/>
      <c r="DV101" s="42"/>
      <c r="DW101" s="42"/>
      <c r="DX101" s="42"/>
      <c r="DY101" s="42"/>
      <c r="DZ101" s="42"/>
      <c r="EA101" s="42"/>
      <c r="EB101" s="42"/>
      <c r="EC101" s="42"/>
      <c r="ED101" s="42"/>
      <c r="EE101" s="42"/>
      <c r="EF101" s="42"/>
      <c r="EG101" s="42"/>
      <c r="EH101" s="42"/>
      <c r="EI101" s="42"/>
      <c r="EJ101" s="42"/>
      <c r="EK101" s="42"/>
      <c r="EL101" s="42"/>
      <c r="EM101" s="42"/>
      <c r="EN101" s="42"/>
      <c r="EO101" s="42"/>
      <c r="EP101" s="43"/>
      <c r="FB101" s="63">
        <v>0</v>
      </c>
      <c r="FC101" s="64">
        <v>1</v>
      </c>
      <c r="FD101" s="64" t="str">
        <f>B26</f>
        <v>1台購入時</v>
      </c>
      <c r="FE101" s="64">
        <f>T26</f>
        <v>0</v>
      </c>
      <c r="FF101" s="64">
        <f>X26</f>
        <v>0</v>
      </c>
      <c r="FG101" s="64">
        <f>AA26</f>
        <v>0</v>
      </c>
      <c r="FH101" s="64">
        <f>AF26</f>
        <v>0</v>
      </c>
      <c r="FI101" s="64">
        <f>AM26</f>
        <v>0</v>
      </c>
    </row>
    <row r="102" spans="79:165" ht="15" customHeight="1" x14ac:dyDescent="0.15">
      <c r="CA102" s="44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52" t="s">
        <v>61</v>
      </c>
      <c r="EN102" s="1"/>
      <c r="EO102" s="1"/>
      <c r="EP102" s="45"/>
      <c r="FB102" s="63">
        <v>0</v>
      </c>
      <c r="FC102" s="64">
        <v>2</v>
      </c>
      <c r="FD102" s="64" t="str">
        <f t="shared" ref="FD102:FD112" si="2">B27</f>
        <v>RSD-SUNMAX-FL-CLC 洗浄機（サビ取り・焼け取り）　1500w　剥離専用</v>
      </c>
      <c r="FE102" s="64">
        <f t="shared" ref="FE102:FE112" si="3">T27</f>
        <v>0</v>
      </c>
      <c r="FF102" s="64" t="str">
        <f t="shared" ref="FF102:FF112" si="4">X27</f>
        <v>一式</v>
      </c>
      <c r="FG102" s="64">
        <f t="shared" ref="FG102:FG112" si="5">AA27</f>
        <v>1400000</v>
      </c>
      <c r="FH102" s="64">
        <f t="shared" ref="FH102:FH112" si="6">AF27</f>
        <v>1400000</v>
      </c>
      <c r="FI102" s="64" t="str">
        <f t="shared" ref="FI102:FI112" si="7">AM27</f>
        <v>定価180万円</v>
      </c>
    </row>
    <row r="103" spans="79:165" ht="15" customHeight="1" x14ac:dyDescent="0.15">
      <c r="CA103" s="44"/>
      <c r="CB103" s="1"/>
      <c r="CC103" s="1"/>
      <c r="CD103" s="1"/>
      <c r="CE103" s="50" t="s">
        <v>53</v>
      </c>
      <c r="CF103" s="1"/>
      <c r="CG103" s="1"/>
      <c r="CH103" s="1"/>
      <c r="CI103" s="194" t="s">
        <v>17</v>
      </c>
      <c r="CJ103" s="195"/>
      <c r="CK103" s="195"/>
      <c r="CL103" s="195"/>
      <c r="CM103" s="195"/>
      <c r="CN103" s="195"/>
      <c r="CO103" s="195"/>
      <c r="CP103" s="195"/>
      <c r="CQ103" s="196"/>
      <c r="CR103" s="1"/>
      <c r="CS103" s="27" t="s">
        <v>18</v>
      </c>
      <c r="CT103" s="14"/>
      <c r="CU103" s="15"/>
      <c r="CV103" s="15"/>
      <c r="CW103" s="197" t="s">
        <v>14</v>
      </c>
      <c r="CX103" s="197"/>
      <c r="CY103" s="197"/>
      <c r="CZ103" s="15"/>
      <c r="DA103" s="16"/>
      <c r="DB103" s="16"/>
      <c r="DC103" s="16"/>
      <c r="DD103" s="36" t="s">
        <v>52</v>
      </c>
      <c r="DE103" s="37"/>
      <c r="DF103" s="37"/>
      <c r="DG103" s="37"/>
      <c r="DH103" s="37"/>
      <c r="DI103" s="37"/>
      <c r="DJ103" s="38"/>
      <c r="DK103" s="15"/>
      <c r="DL103" s="1"/>
      <c r="DM103" s="198" t="s">
        <v>59</v>
      </c>
      <c r="DN103" s="198"/>
      <c r="DO103" s="198"/>
      <c r="DP103" s="198"/>
      <c r="DQ103" s="198"/>
      <c r="DR103" s="198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52" t="s">
        <v>62</v>
      </c>
      <c r="EN103" s="1"/>
      <c r="EO103" s="1"/>
      <c r="EP103" s="45"/>
      <c r="FB103" s="63">
        <v>0</v>
      </c>
      <c r="FC103" s="64">
        <v>3</v>
      </c>
      <c r="FD103" s="64" t="str">
        <f t="shared" si="2"/>
        <v>3台購入時</v>
      </c>
      <c r="FE103" s="64">
        <f t="shared" si="3"/>
        <v>0</v>
      </c>
      <c r="FF103" s="64">
        <f t="shared" si="4"/>
        <v>0</v>
      </c>
      <c r="FG103" s="64">
        <f t="shared" si="5"/>
        <v>0</v>
      </c>
      <c r="FH103" s="64">
        <f t="shared" si="6"/>
        <v>0</v>
      </c>
      <c r="FI103" s="64">
        <f t="shared" si="7"/>
        <v>0</v>
      </c>
    </row>
    <row r="104" spans="79:165" ht="15" customHeight="1" x14ac:dyDescent="0.15">
      <c r="CA104" s="44"/>
      <c r="CB104" s="1"/>
      <c r="CC104" s="1"/>
      <c r="CD104" s="1"/>
      <c r="CE104" s="49">
        <v>3</v>
      </c>
      <c r="CF104" s="1"/>
      <c r="CG104" s="1"/>
      <c r="CH104" s="1"/>
      <c r="CI104" s="184">
        <v>0</v>
      </c>
      <c r="CJ104" s="184"/>
      <c r="CK104" s="185">
        <f>AA38</f>
        <v>12370000</v>
      </c>
      <c r="CL104" s="185"/>
      <c r="CM104" s="185"/>
      <c r="CN104" s="185"/>
      <c r="CO104" s="185"/>
      <c r="CP104" s="185"/>
      <c r="CQ104" s="185"/>
      <c r="CR104" s="1"/>
      <c r="CS104" s="17" t="s">
        <v>19</v>
      </c>
      <c r="CT104" s="18"/>
      <c r="CU104" s="15"/>
      <c r="CV104" s="15"/>
      <c r="CW104" s="186">
        <v>5</v>
      </c>
      <c r="CX104" s="187"/>
      <c r="CY104" s="19" t="s">
        <v>20</v>
      </c>
      <c r="CZ104" s="15"/>
      <c r="DA104" s="15"/>
      <c r="DB104" s="15"/>
      <c r="DC104" s="15"/>
      <c r="DD104" s="39" t="s">
        <v>47</v>
      </c>
      <c r="DE104" s="40"/>
      <c r="DF104" s="40"/>
      <c r="DG104" s="40"/>
      <c r="DH104" s="40"/>
      <c r="DI104" s="40"/>
      <c r="DJ104" s="22"/>
      <c r="DK104" s="15"/>
      <c r="DL104" s="1"/>
      <c r="DM104" s="188" t="s">
        <v>60</v>
      </c>
      <c r="DN104" s="189"/>
      <c r="DO104" s="189"/>
      <c r="DP104" s="189"/>
      <c r="DQ104" s="189"/>
      <c r="DR104" s="190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45"/>
      <c r="FB104" s="63">
        <v>0</v>
      </c>
      <c r="FC104" s="64">
        <v>4</v>
      </c>
      <c r="FD104" s="64" t="str">
        <f>B29</f>
        <v>RSD-SUNMAX-FL-CLC 洗浄機（サビ取り・焼け取り）　1500w　剥離専用</v>
      </c>
      <c r="FE104" s="64">
        <f t="shared" si="3"/>
        <v>0</v>
      </c>
      <c r="FF104" s="64" t="str">
        <f t="shared" si="4"/>
        <v>一式</v>
      </c>
      <c r="FG104" s="64">
        <f t="shared" si="5"/>
        <v>1350000</v>
      </c>
      <c r="FH104" s="64">
        <f t="shared" si="6"/>
        <v>1350000</v>
      </c>
      <c r="FI104" s="64" t="str">
        <f t="shared" si="7"/>
        <v>定価180万円</v>
      </c>
    </row>
    <row r="105" spans="79:165" ht="15" customHeight="1" x14ac:dyDescent="0.15">
      <c r="CA105" s="44"/>
      <c r="CB105" s="1"/>
      <c r="CC105" s="1"/>
      <c r="CD105" s="1"/>
      <c r="CE105" s="49">
        <f>MAX(FB401:FB642)</f>
        <v>0</v>
      </c>
      <c r="CF105" s="1"/>
      <c r="CG105" s="1"/>
      <c r="CH105" s="1"/>
      <c r="CI105" s="184">
        <v>1</v>
      </c>
      <c r="CJ105" s="184"/>
      <c r="CK105" s="185">
        <f>IF(ISERROR(購入おすすめ品!AB30),0,購入おすすめ品!AB30)</f>
        <v>0</v>
      </c>
      <c r="CL105" s="185"/>
      <c r="CM105" s="185"/>
      <c r="CN105" s="185"/>
      <c r="CO105" s="185"/>
      <c r="CP105" s="185"/>
      <c r="CQ105" s="185"/>
      <c r="CR105" s="1"/>
      <c r="CS105" s="17" t="s">
        <v>21</v>
      </c>
      <c r="CT105" s="18"/>
      <c r="CU105" s="15"/>
      <c r="CV105" s="15"/>
      <c r="CW105" s="15"/>
      <c r="CX105" s="15"/>
      <c r="CY105" s="15"/>
      <c r="CZ105" s="15"/>
      <c r="DA105" s="15"/>
      <c r="DB105" s="15"/>
      <c r="DC105" s="15"/>
      <c r="DD105" s="39" t="s">
        <v>48</v>
      </c>
      <c r="DE105" s="40"/>
      <c r="DF105" s="40"/>
      <c r="DG105" s="40"/>
      <c r="DH105" s="40"/>
      <c r="DI105" s="40"/>
      <c r="DJ105" s="22"/>
      <c r="DK105" s="15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45"/>
      <c r="FB105" s="63">
        <v>0</v>
      </c>
      <c r="FC105" s="64">
        <v>5</v>
      </c>
      <c r="FD105" s="64" t="e">
        <f>#REF!</f>
        <v>#REF!</v>
      </c>
      <c r="FE105" s="64">
        <f t="shared" si="3"/>
        <v>0</v>
      </c>
      <c r="FF105" s="64">
        <f t="shared" si="4"/>
        <v>0</v>
      </c>
      <c r="FG105" s="64">
        <f t="shared" si="5"/>
        <v>0</v>
      </c>
      <c r="FH105" s="64">
        <f t="shared" si="6"/>
        <v>0</v>
      </c>
      <c r="FI105" s="64">
        <f t="shared" si="7"/>
        <v>0</v>
      </c>
    </row>
    <row r="106" spans="79:165" ht="15" customHeight="1" x14ac:dyDescent="0.15">
      <c r="CA106" s="44"/>
      <c r="CB106" s="1"/>
      <c r="CC106" s="1"/>
      <c r="CD106" s="1"/>
      <c r="CE106" s="49">
        <v>1</v>
      </c>
      <c r="CF106" s="1"/>
      <c r="CG106" s="1"/>
      <c r="CH106" s="1"/>
      <c r="CI106" s="184">
        <v>2</v>
      </c>
      <c r="CJ106" s="184"/>
      <c r="CK106" s="185">
        <f>IF(ISERROR(#REF!),0,#REF!)</f>
        <v>0</v>
      </c>
      <c r="CL106" s="185"/>
      <c r="CM106" s="185"/>
      <c r="CN106" s="185"/>
      <c r="CO106" s="185"/>
      <c r="CP106" s="185"/>
      <c r="CQ106" s="185"/>
      <c r="CR106" s="1"/>
      <c r="CS106" s="20" t="s">
        <v>22</v>
      </c>
      <c r="CT106" s="21"/>
      <c r="CU106" s="15"/>
      <c r="CV106" s="197" t="s">
        <v>23</v>
      </c>
      <c r="CW106" s="197"/>
      <c r="CX106" s="197"/>
      <c r="CY106" s="197"/>
      <c r="CZ106" s="197"/>
      <c r="DA106" s="15"/>
      <c r="DB106" s="15"/>
      <c r="DC106" s="15"/>
      <c r="DD106" s="39" t="s">
        <v>49</v>
      </c>
      <c r="DE106" s="40"/>
      <c r="DF106" s="40"/>
      <c r="DG106" s="40"/>
      <c r="DH106" s="40"/>
      <c r="DI106" s="40"/>
      <c r="DJ106" s="22"/>
      <c r="DK106" s="15"/>
      <c r="DL106" s="1"/>
      <c r="DM106" s="198" t="s">
        <v>70</v>
      </c>
      <c r="DN106" s="198"/>
      <c r="DO106" s="198"/>
      <c r="DP106" s="198"/>
      <c r="DQ106" s="198"/>
      <c r="DR106" s="198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45"/>
      <c r="FB106" s="63">
        <v>0</v>
      </c>
      <c r="FC106" s="64">
        <v>6</v>
      </c>
      <c r="FD106" s="64" t="e">
        <f>#REF!</f>
        <v>#REF!</v>
      </c>
      <c r="FE106" s="64">
        <f t="shared" si="3"/>
        <v>0</v>
      </c>
      <c r="FF106" s="64" t="str">
        <f t="shared" si="4"/>
        <v>一式</v>
      </c>
      <c r="FG106" s="64">
        <f t="shared" si="5"/>
        <v>1980000</v>
      </c>
      <c r="FH106" s="64">
        <f t="shared" si="6"/>
        <v>1980000</v>
      </c>
      <c r="FI106" s="64" t="str">
        <f t="shared" si="7"/>
        <v>定価248万円</v>
      </c>
    </row>
    <row r="107" spans="79:165" ht="15" customHeight="1" x14ac:dyDescent="0.15">
      <c r="CA107" s="44"/>
      <c r="CB107" s="1"/>
      <c r="CC107" s="1"/>
      <c r="CD107" s="1"/>
      <c r="CE107" s="49">
        <v>0</v>
      </c>
      <c r="CF107" s="1"/>
      <c r="CG107" s="1"/>
      <c r="CH107" s="1"/>
      <c r="CI107" s="184">
        <v>3</v>
      </c>
      <c r="CJ107" s="184"/>
      <c r="CK107" s="185">
        <f>IF(ISERROR(#REF!),0,#REF!)</f>
        <v>0</v>
      </c>
      <c r="CL107" s="185"/>
      <c r="CM107" s="185"/>
      <c r="CN107" s="185"/>
      <c r="CO107" s="185"/>
      <c r="CP107" s="185"/>
      <c r="CQ107" s="185"/>
      <c r="CR107" s="1"/>
      <c r="CS107" s="17" t="s">
        <v>24</v>
      </c>
      <c r="CT107" s="18"/>
      <c r="CU107" s="15"/>
      <c r="CV107" s="28" t="s">
        <v>25</v>
      </c>
      <c r="CW107" s="186">
        <v>100</v>
      </c>
      <c r="CX107" s="186"/>
      <c r="CY107" s="187"/>
      <c r="CZ107" s="22" t="s">
        <v>20</v>
      </c>
      <c r="DA107" s="15"/>
      <c r="DB107" s="15"/>
      <c r="DC107" s="15"/>
      <c r="DD107" s="39" t="s">
        <v>50</v>
      </c>
      <c r="DE107" s="40"/>
      <c r="DF107" s="40"/>
      <c r="DG107" s="40"/>
      <c r="DH107" s="40"/>
      <c r="DI107" s="40"/>
      <c r="DJ107" s="22"/>
      <c r="DK107" s="15"/>
      <c r="DL107" s="1"/>
      <c r="DM107" s="199" t="s">
        <v>79</v>
      </c>
      <c r="DN107" s="200"/>
      <c r="DO107" s="200"/>
      <c r="DP107" s="200"/>
      <c r="DQ107" s="200"/>
      <c r="DR107" s="20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45"/>
      <c r="FB107" s="63">
        <v>0</v>
      </c>
      <c r="FC107" s="64">
        <v>7</v>
      </c>
      <c r="FD107" s="64" t="e">
        <f>#REF!</f>
        <v>#REF!</v>
      </c>
      <c r="FE107" s="64">
        <f t="shared" si="3"/>
        <v>0</v>
      </c>
      <c r="FF107" s="64">
        <f t="shared" si="4"/>
        <v>0</v>
      </c>
      <c r="FG107" s="64">
        <f t="shared" si="5"/>
        <v>0</v>
      </c>
      <c r="FH107" s="64">
        <f t="shared" si="6"/>
        <v>0</v>
      </c>
      <c r="FI107" s="64">
        <f t="shared" si="7"/>
        <v>0</v>
      </c>
    </row>
    <row r="108" spans="79:165" ht="15" customHeight="1" x14ac:dyDescent="0.15">
      <c r="CA108" s="44"/>
      <c r="CB108" s="1"/>
      <c r="CC108" s="1"/>
      <c r="CD108" s="1"/>
      <c r="CE108" s="50" t="s">
        <v>54</v>
      </c>
      <c r="CF108" s="1"/>
      <c r="CG108" s="1"/>
      <c r="CH108" s="1"/>
      <c r="CI108" s="184">
        <v>4</v>
      </c>
      <c r="CJ108" s="184"/>
      <c r="CK108" s="185"/>
      <c r="CL108" s="185"/>
      <c r="CM108" s="185"/>
      <c r="CN108" s="185"/>
      <c r="CO108" s="185"/>
      <c r="CP108" s="185"/>
      <c r="CQ108" s="185"/>
      <c r="CR108" s="1"/>
      <c r="CS108" s="17" t="s">
        <v>26</v>
      </c>
      <c r="CT108" s="18"/>
      <c r="CU108" s="15"/>
      <c r="CV108" s="28" t="s">
        <v>27</v>
      </c>
      <c r="CW108" s="186">
        <v>80</v>
      </c>
      <c r="CX108" s="186"/>
      <c r="CY108" s="187"/>
      <c r="CZ108" s="22" t="s">
        <v>20</v>
      </c>
      <c r="DA108" s="15"/>
      <c r="DB108" s="15"/>
      <c r="DC108" s="15"/>
      <c r="DD108" s="39" t="s">
        <v>51</v>
      </c>
      <c r="DE108" s="40"/>
      <c r="DF108" s="40"/>
      <c r="DG108" s="40"/>
      <c r="DH108" s="40"/>
      <c r="DI108" s="40"/>
      <c r="DJ108" s="22"/>
      <c r="DK108" s="15"/>
      <c r="DL108" s="1"/>
      <c r="DM108" s="188" t="s">
        <v>71</v>
      </c>
      <c r="DN108" s="189"/>
      <c r="DO108" s="189"/>
      <c r="DP108" s="189"/>
      <c r="DQ108" s="189"/>
      <c r="DR108" s="190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45"/>
      <c r="FB108" s="63">
        <v>0</v>
      </c>
      <c r="FC108" s="64">
        <v>8</v>
      </c>
      <c r="FD108" s="64" t="str">
        <f>B31</f>
        <v>RSD-SUNMAX-FL-CLC 洗浄機（サビ取り・焼け取り）2000w　剥離専用</v>
      </c>
      <c r="FE108" s="64">
        <f t="shared" si="3"/>
        <v>0</v>
      </c>
      <c r="FF108" s="64" t="str">
        <f t="shared" si="4"/>
        <v>一式</v>
      </c>
      <c r="FG108" s="64">
        <f t="shared" si="5"/>
        <v>1930000</v>
      </c>
      <c r="FH108" s="64">
        <f t="shared" si="6"/>
        <v>1930000</v>
      </c>
      <c r="FI108" s="64" t="str">
        <f t="shared" si="7"/>
        <v>定価248万円</v>
      </c>
    </row>
    <row r="109" spans="79:165" ht="15" customHeight="1" x14ac:dyDescent="0.15">
      <c r="CA109" s="44"/>
      <c r="CB109" s="1"/>
      <c r="CC109" s="1"/>
      <c r="CD109" s="1"/>
      <c r="CE109" s="49" t="s">
        <v>3</v>
      </c>
      <c r="CF109" s="1"/>
      <c r="CG109" s="1"/>
      <c r="CH109" s="1"/>
      <c r="CI109" s="184">
        <v>5</v>
      </c>
      <c r="CJ109" s="184"/>
      <c r="CK109" s="185"/>
      <c r="CL109" s="185"/>
      <c r="CM109" s="185"/>
      <c r="CN109" s="185"/>
      <c r="CO109" s="185"/>
      <c r="CP109" s="185"/>
      <c r="CQ109" s="185"/>
      <c r="CR109" s="1"/>
      <c r="CS109" s="20" t="s">
        <v>28</v>
      </c>
      <c r="CT109" s="20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"/>
      <c r="DM109" s="188" t="s">
        <v>72</v>
      </c>
      <c r="DN109" s="189"/>
      <c r="DO109" s="189"/>
      <c r="DP109" s="189"/>
      <c r="DQ109" s="189"/>
      <c r="DR109" s="190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45"/>
      <c r="FB109" s="63">
        <v>0</v>
      </c>
      <c r="FC109" s="64">
        <v>9</v>
      </c>
      <c r="FD109" s="64" t="str">
        <f t="shared" si="2"/>
        <v>1台購入時</v>
      </c>
      <c r="FE109" s="64">
        <f t="shared" si="3"/>
        <v>0</v>
      </c>
      <c r="FF109" s="64">
        <f t="shared" si="4"/>
        <v>0</v>
      </c>
      <c r="FG109" s="64">
        <f t="shared" si="5"/>
        <v>0</v>
      </c>
      <c r="FH109" s="64">
        <f t="shared" si="6"/>
        <v>0</v>
      </c>
      <c r="FI109" s="64">
        <f t="shared" si="7"/>
        <v>0</v>
      </c>
    </row>
    <row r="110" spans="79:165" ht="15" customHeight="1" x14ac:dyDescent="0.15">
      <c r="CA110" s="44"/>
      <c r="CB110" s="1"/>
      <c r="CC110" s="1"/>
      <c r="CD110" s="1"/>
      <c r="CE110" s="49" t="s">
        <v>55</v>
      </c>
      <c r="CF110" s="1"/>
      <c r="CG110" s="1"/>
      <c r="CH110" s="1"/>
      <c r="CI110" s="184">
        <v>6</v>
      </c>
      <c r="CJ110" s="184"/>
      <c r="CK110" s="185"/>
      <c r="CL110" s="185"/>
      <c r="CM110" s="185"/>
      <c r="CN110" s="185"/>
      <c r="CO110" s="185"/>
      <c r="CP110" s="185"/>
      <c r="CQ110" s="185"/>
      <c r="CR110" s="1"/>
      <c r="CS110" s="20" t="s">
        <v>29</v>
      </c>
      <c r="CT110" s="20"/>
      <c r="CU110" s="15"/>
      <c r="CV110" s="202" t="s">
        <v>30</v>
      </c>
      <c r="CW110" s="202"/>
      <c r="CX110" s="202"/>
      <c r="CY110" s="202"/>
      <c r="CZ110" s="202"/>
      <c r="DA110" s="202"/>
      <c r="DB110" s="202"/>
      <c r="DC110" s="202"/>
      <c r="DD110" s="202"/>
      <c r="DE110" s="197" t="s">
        <v>31</v>
      </c>
      <c r="DF110" s="197"/>
      <c r="DG110" s="197"/>
      <c r="DH110" s="197"/>
      <c r="DI110" s="197"/>
      <c r="DJ110" s="197"/>
      <c r="DK110" s="197"/>
      <c r="DL110" s="1"/>
      <c r="DM110" s="1"/>
      <c r="DN110" s="1"/>
      <c r="DO110" s="1"/>
      <c r="DP110" s="1"/>
      <c r="DQ110" s="1"/>
      <c r="DR110" s="183"/>
      <c r="DS110" s="183"/>
      <c r="DT110" s="183"/>
      <c r="DU110" s="183"/>
      <c r="DV110" s="183"/>
      <c r="DW110" s="183"/>
      <c r="DX110" s="183"/>
      <c r="DY110" s="183"/>
      <c r="DZ110" s="183"/>
      <c r="EA110" s="183"/>
      <c r="EB110" s="183"/>
      <c r="EC110" s="183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45"/>
      <c r="FB110" s="63">
        <v>0</v>
      </c>
      <c r="FC110" s="64">
        <v>10</v>
      </c>
      <c r="FD110" s="64" t="str">
        <f t="shared" si="2"/>
        <v>RSD-SUNMAX-FL-CLC 洗浄機（サビ取り・焼け取り）　3000w　剥離専用</v>
      </c>
      <c r="FE110" s="64">
        <f t="shared" si="3"/>
        <v>0</v>
      </c>
      <c r="FF110" s="64" t="str">
        <f t="shared" si="4"/>
        <v>一式</v>
      </c>
      <c r="FG110" s="64">
        <f t="shared" si="5"/>
        <v>2880000</v>
      </c>
      <c r="FH110" s="64">
        <f t="shared" si="6"/>
        <v>2880000</v>
      </c>
      <c r="FI110" s="64" t="str">
        <f t="shared" si="7"/>
        <v>定価348万円</v>
      </c>
    </row>
    <row r="111" spans="79:165" ht="15" customHeight="1" x14ac:dyDescent="0.15">
      <c r="CA111" s="44"/>
      <c r="CB111" s="1"/>
      <c r="CC111" s="1"/>
      <c r="CD111" s="1"/>
      <c r="CE111" s="49" t="s">
        <v>56</v>
      </c>
      <c r="CF111" s="1"/>
      <c r="CG111" s="1"/>
      <c r="CH111" s="1"/>
      <c r="CI111" s="184">
        <v>7</v>
      </c>
      <c r="CJ111" s="184"/>
      <c r="CK111" s="185"/>
      <c r="CL111" s="185"/>
      <c r="CM111" s="185"/>
      <c r="CN111" s="185"/>
      <c r="CO111" s="185"/>
      <c r="CP111" s="185"/>
      <c r="CQ111" s="185"/>
      <c r="CR111" s="1"/>
      <c r="CS111" s="17" t="s">
        <v>32</v>
      </c>
      <c r="CT111" s="18"/>
      <c r="CU111" s="15"/>
      <c r="CV111" s="28" t="s">
        <v>25</v>
      </c>
      <c r="CW111" s="203" t="s">
        <v>75</v>
      </c>
      <c r="CX111" s="203"/>
      <c r="CY111" s="203"/>
      <c r="CZ111" s="203"/>
      <c r="DA111" s="203"/>
      <c r="DB111" s="203"/>
      <c r="DC111" s="203"/>
      <c r="DD111" s="203"/>
      <c r="DE111" s="203" t="s">
        <v>33</v>
      </c>
      <c r="DF111" s="203"/>
      <c r="DG111" s="203"/>
      <c r="DH111" s="203"/>
      <c r="DI111" s="203"/>
      <c r="DJ111" s="203"/>
      <c r="DK111" s="203"/>
      <c r="DL111" s="1"/>
      <c r="DM111" s="1"/>
      <c r="DN111" s="1"/>
      <c r="DO111" s="1"/>
      <c r="DP111" s="1"/>
      <c r="DQ111" s="1"/>
      <c r="DR111" s="183"/>
      <c r="DS111" s="183"/>
      <c r="DT111" s="183"/>
      <c r="DU111" s="183"/>
      <c r="DV111" s="183"/>
      <c r="DW111" s="183"/>
      <c r="DX111" s="183"/>
      <c r="DY111" s="183"/>
      <c r="DZ111" s="183"/>
      <c r="EA111" s="183"/>
      <c r="EB111" s="183"/>
      <c r="EC111" s="183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45"/>
      <c r="FB111" s="63">
        <v>0</v>
      </c>
      <c r="FC111" s="64">
        <v>11</v>
      </c>
      <c r="FD111" s="64" t="str">
        <f t="shared" si="2"/>
        <v>3台購入時</v>
      </c>
      <c r="FE111" s="64">
        <f t="shared" si="3"/>
        <v>0</v>
      </c>
      <c r="FF111" s="64">
        <f t="shared" si="4"/>
        <v>0</v>
      </c>
      <c r="FG111" s="64">
        <f t="shared" si="5"/>
        <v>0</v>
      </c>
      <c r="FH111" s="64">
        <f t="shared" si="6"/>
        <v>0</v>
      </c>
      <c r="FI111" s="64">
        <f t="shared" si="7"/>
        <v>0</v>
      </c>
    </row>
    <row r="112" spans="79:165" ht="15" customHeight="1" x14ac:dyDescent="0.15">
      <c r="CA112" s="44"/>
      <c r="CB112" s="1"/>
      <c r="CC112" s="1"/>
      <c r="CD112" s="1"/>
      <c r="CE112" s="1"/>
      <c r="CF112" s="1"/>
      <c r="CG112" s="1"/>
      <c r="CH112" s="1"/>
      <c r="CI112" s="184">
        <v>8</v>
      </c>
      <c r="CJ112" s="184"/>
      <c r="CK112" s="185"/>
      <c r="CL112" s="185"/>
      <c r="CM112" s="185"/>
      <c r="CN112" s="185"/>
      <c r="CO112" s="185"/>
      <c r="CP112" s="185"/>
      <c r="CQ112" s="185"/>
      <c r="CR112" s="1"/>
      <c r="CS112" s="17" t="s">
        <v>34</v>
      </c>
      <c r="CT112" s="18"/>
      <c r="CU112" s="15"/>
      <c r="CV112" s="28" t="s">
        <v>27</v>
      </c>
      <c r="CW112" s="203" t="s">
        <v>83</v>
      </c>
      <c r="CX112" s="203"/>
      <c r="CY112" s="203"/>
      <c r="CZ112" s="203"/>
      <c r="DA112" s="203"/>
      <c r="DB112" s="203"/>
      <c r="DC112" s="203"/>
      <c r="DD112" s="203"/>
      <c r="DE112" s="203" t="s">
        <v>84</v>
      </c>
      <c r="DF112" s="203"/>
      <c r="DG112" s="203"/>
      <c r="DH112" s="203"/>
      <c r="DI112" s="203"/>
      <c r="DJ112" s="203"/>
      <c r="DK112" s="203"/>
      <c r="DL112" s="1"/>
      <c r="DM112" s="1"/>
      <c r="DN112" s="1"/>
      <c r="DO112" s="1"/>
      <c r="DP112" s="1"/>
      <c r="DQ112" s="1"/>
      <c r="DR112" s="183"/>
      <c r="DS112" s="183"/>
      <c r="DT112" s="183"/>
      <c r="DU112" s="183"/>
      <c r="DV112" s="183"/>
      <c r="DW112" s="183"/>
      <c r="DX112" s="183"/>
      <c r="DY112" s="183"/>
      <c r="DZ112" s="183"/>
      <c r="EA112" s="183"/>
      <c r="EB112" s="183"/>
      <c r="EC112" s="183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45"/>
      <c r="FB112" s="63">
        <v>0</v>
      </c>
      <c r="FC112" s="64">
        <v>12</v>
      </c>
      <c r="FD112" s="64" t="str">
        <f t="shared" si="2"/>
        <v>RSD-SUNMAX-FL-CLC 洗浄機（サビ取り・焼け取り）　3000w　剥離専用　　変圧器付属</v>
      </c>
      <c r="FE112" s="64">
        <f t="shared" si="3"/>
        <v>0</v>
      </c>
      <c r="FF112" s="64" t="str">
        <f t="shared" si="4"/>
        <v>一式</v>
      </c>
      <c r="FG112" s="64">
        <f t="shared" si="5"/>
        <v>2830000</v>
      </c>
      <c r="FH112" s="64">
        <f t="shared" si="6"/>
        <v>2830000</v>
      </c>
      <c r="FI112" s="64" t="str">
        <f t="shared" si="7"/>
        <v>定価348万円</v>
      </c>
    </row>
    <row r="113" spans="79:165" ht="15" customHeight="1" x14ac:dyDescent="0.15">
      <c r="CA113" s="44"/>
      <c r="CB113" s="1"/>
      <c r="CC113" s="1"/>
      <c r="CD113" s="1"/>
      <c r="CE113" s="1"/>
      <c r="CF113" s="1"/>
      <c r="CG113" s="1"/>
      <c r="CH113" s="1"/>
      <c r="CI113" s="184">
        <v>9</v>
      </c>
      <c r="CJ113" s="184"/>
      <c r="CK113" s="185"/>
      <c r="CL113" s="185"/>
      <c r="CM113" s="185"/>
      <c r="CN113" s="185"/>
      <c r="CO113" s="185"/>
      <c r="CP113" s="185"/>
      <c r="CQ113" s="185"/>
      <c r="CR113" s="1"/>
      <c r="CS113" s="17" t="s">
        <v>35</v>
      </c>
      <c r="CT113" s="18"/>
      <c r="CU113" s="15"/>
      <c r="CV113" s="28" t="s">
        <v>36</v>
      </c>
      <c r="CW113" s="203" t="s">
        <v>86</v>
      </c>
      <c r="CX113" s="203"/>
      <c r="CY113" s="203"/>
      <c r="CZ113" s="203"/>
      <c r="DA113" s="203"/>
      <c r="DB113" s="203"/>
      <c r="DC113" s="203"/>
      <c r="DD113" s="203"/>
      <c r="DE113" s="203" t="s">
        <v>85</v>
      </c>
      <c r="DF113" s="203"/>
      <c r="DG113" s="203"/>
      <c r="DH113" s="203"/>
      <c r="DI113" s="203"/>
      <c r="DJ113" s="203"/>
      <c r="DK113" s="203"/>
      <c r="DL113" s="1"/>
      <c r="DM113" s="1"/>
      <c r="DN113" s="1"/>
      <c r="DO113" s="1"/>
      <c r="DP113" s="1"/>
      <c r="DQ113" s="1"/>
      <c r="DR113" s="183"/>
      <c r="DS113" s="183"/>
      <c r="DT113" s="183"/>
      <c r="DU113" s="183"/>
      <c r="DV113" s="183"/>
      <c r="DW113" s="183"/>
      <c r="DX113" s="183"/>
      <c r="DY113" s="183"/>
      <c r="DZ113" s="183"/>
      <c r="EA113" s="183"/>
      <c r="EB113" s="183"/>
      <c r="EC113" s="183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45"/>
      <c r="FB113" s="63">
        <v>1</v>
      </c>
      <c r="FC113" s="64">
        <v>1</v>
      </c>
      <c r="FD113" s="64">
        <f>購入おすすめ品!$C$7</f>
        <v>0</v>
      </c>
      <c r="FE113" s="64">
        <f>購入おすすめ品!$U$7</f>
        <v>0</v>
      </c>
      <c r="FF113" s="64">
        <f>購入おすすめ品!$Y$7</f>
        <v>0</v>
      </c>
      <c r="FG113" s="64">
        <f>購入おすすめ品!$AB$7</f>
        <v>0</v>
      </c>
      <c r="FH113" s="64">
        <f>購入おすすめ品!$AG$7</f>
        <v>0</v>
      </c>
      <c r="FI113" s="64">
        <f>購入おすすめ品!$AN$7</f>
        <v>0</v>
      </c>
    </row>
    <row r="114" spans="79:165" ht="15" customHeight="1" x14ac:dyDescent="0.15">
      <c r="CA114" s="44"/>
      <c r="CB114" s="1"/>
      <c r="CC114" s="1"/>
      <c r="CD114" s="1"/>
      <c r="CE114" s="1"/>
      <c r="CF114" s="1"/>
      <c r="CG114" s="1"/>
      <c r="CH114" s="1"/>
      <c r="CI114" s="184">
        <v>10</v>
      </c>
      <c r="CJ114" s="184"/>
      <c r="CK114" s="185"/>
      <c r="CL114" s="185"/>
      <c r="CM114" s="185"/>
      <c r="CN114" s="185"/>
      <c r="CO114" s="185"/>
      <c r="CP114" s="185"/>
      <c r="CQ114" s="185"/>
      <c r="CR114" s="1"/>
      <c r="CS114" s="20" t="s">
        <v>37</v>
      </c>
      <c r="CT114" s="21"/>
      <c r="CU114" s="15"/>
      <c r="CV114" s="28" t="s">
        <v>38</v>
      </c>
      <c r="CW114" s="203" t="s">
        <v>76</v>
      </c>
      <c r="CX114" s="203"/>
      <c r="CY114" s="203"/>
      <c r="CZ114" s="203"/>
      <c r="DA114" s="203"/>
      <c r="DB114" s="203"/>
      <c r="DC114" s="203"/>
      <c r="DD114" s="203"/>
      <c r="DE114" s="203" t="s">
        <v>39</v>
      </c>
      <c r="DF114" s="203"/>
      <c r="DG114" s="203"/>
      <c r="DH114" s="203"/>
      <c r="DI114" s="203"/>
      <c r="DJ114" s="203"/>
      <c r="DK114" s="203"/>
      <c r="DL114" s="1"/>
      <c r="DM114" s="1"/>
      <c r="DN114" s="1"/>
      <c r="DO114" s="1"/>
      <c r="DP114" s="1"/>
      <c r="DQ114" s="1"/>
      <c r="DR114" s="183"/>
      <c r="DS114" s="183"/>
      <c r="DT114" s="183"/>
      <c r="DU114" s="183"/>
      <c r="DV114" s="183"/>
      <c r="DW114" s="183"/>
      <c r="DX114" s="183"/>
      <c r="DY114" s="183"/>
      <c r="DZ114" s="183"/>
      <c r="EA114" s="183"/>
      <c r="EB114" s="183"/>
      <c r="EC114" s="183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45"/>
      <c r="FB114" s="63">
        <v>1</v>
      </c>
      <c r="FC114" s="64">
        <v>2</v>
      </c>
      <c r="FD114" s="64">
        <f>購入おすすめ品!$C$8</f>
        <v>0</v>
      </c>
      <c r="FE114" s="64">
        <f>購入おすすめ品!$U$8</f>
        <v>0</v>
      </c>
      <c r="FF114" s="64">
        <f>購入おすすめ品!$Y$8</f>
        <v>0</v>
      </c>
      <c r="FG114" s="64">
        <f>購入おすすめ品!$AB$8</f>
        <v>0</v>
      </c>
      <c r="FH114" s="64">
        <f>購入おすすめ品!$AG$8</f>
        <v>0</v>
      </c>
      <c r="FI114" s="64">
        <f>購入おすすめ品!$AN$8</f>
        <v>0</v>
      </c>
    </row>
    <row r="115" spans="79:165" ht="15" customHeight="1" x14ac:dyDescent="0.15">
      <c r="CA115" s="44"/>
      <c r="CB115" s="1"/>
      <c r="CC115" s="1"/>
      <c r="CD115" s="1"/>
      <c r="CE115" s="1"/>
      <c r="CF115" s="1"/>
      <c r="CG115" s="1"/>
      <c r="CH115" s="1"/>
      <c r="CI115" s="207" t="s">
        <v>40</v>
      </c>
      <c r="CJ115" s="207"/>
      <c r="CK115" s="185">
        <f>SUM(CK104:CQ114)</f>
        <v>12370000</v>
      </c>
      <c r="CL115" s="185"/>
      <c r="CM115" s="185"/>
      <c r="CN115" s="185"/>
      <c r="CO115" s="185"/>
      <c r="CP115" s="185"/>
      <c r="CQ115" s="185"/>
      <c r="CR115" s="1"/>
      <c r="CS115" s="17" t="s">
        <v>46</v>
      </c>
      <c r="CT115" s="18"/>
      <c r="CU115" s="15"/>
      <c r="CV115" s="28" t="s">
        <v>41</v>
      </c>
      <c r="CW115" s="203" t="s">
        <v>77</v>
      </c>
      <c r="CX115" s="203"/>
      <c r="CY115" s="203"/>
      <c r="CZ115" s="203"/>
      <c r="DA115" s="203"/>
      <c r="DB115" s="203"/>
      <c r="DC115" s="203"/>
      <c r="DD115" s="203"/>
      <c r="DE115" s="203" t="s">
        <v>42</v>
      </c>
      <c r="DF115" s="203"/>
      <c r="DG115" s="203"/>
      <c r="DH115" s="203"/>
      <c r="DI115" s="203"/>
      <c r="DJ115" s="203"/>
      <c r="DK115" s="203"/>
      <c r="DL115" s="1"/>
      <c r="DM115" s="1"/>
      <c r="DN115" s="1"/>
      <c r="DO115" s="1"/>
      <c r="DP115" s="1"/>
      <c r="DQ115" s="1"/>
      <c r="DR115" s="183"/>
      <c r="DS115" s="183"/>
      <c r="DT115" s="183"/>
      <c r="DU115" s="183"/>
      <c r="DV115" s="183"/>
      <c r="DW115" s="183"/>
      <c r="DX115" s="183"/>
      <c r="DY115" s="183"/>
      <c r="DZ115" s="183"/>
      <c r="EA115" s="183"/>
      <c r="EB115" s="183"/>
      <c r="EC115" s="183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45"/>
      <c r="FB115" s="63">
        <v>1</v>
      </c>
      <c r="FC115" s="64">
        <v>3</v>
      </c>
      <c r="FD115" s="64">
        <f>購入おすすめ品!$C$9</f>
        <v>0</v>
      </c>
      <c r="FE115" s="64">
        <f>購入おすすめ品!$U$9</f>
        <v>0</v>
      </c>
      <c r="FF115" s="64">
        <f>購入おすすめ品!$Y$9</f>
        <v>0</v>
      </c>
      <c r="FG115" s="64">
        <f>購入おすすめ品!$AB$9</f>
        <v>0</v>
      </c>
      <c r="FH115" s="64">
        <f>購入おすすめ品!$AG$9</f>
        <v>0</v>
      </c>
      <c r="FI115" s="64">
        <f>購入おすすめ品!$AN$9</f>
        <v>0</v>
      </c>
    </row>
    <row r="116" spans="79:165" ht="15" customHeight="1" x14ac:dyDescent="0.15">
      <c r="CA116" s="44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7"/>
      <c r="CT116" s="18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45"/>
      <c r="FB116" s="63">
        <v>1</v>
      </c>
      <c r="FC116" s="64">
        <v>4</v>
      </c>
      <c r="FD116" s="64">
        <f>購入おすすめ品!$C$10</f>
        <v>0</v>
      </c>
      <c r="FE116" s="64">
        <f>購入おすすめ品!$U$10</f>
        <v>0</v>
      </c>
      <c r="FF116" s="64">
        <f>購入おすすめ品!$Y$10</f>
        <v>0</v>
      </c>
      <c r="FG116" s="64">
        <f>購入おすすめ品!$AB$10</f>
        <v>0</v>
      </c>
      <c r="FH116" s="64">
        <f>購入おすすめ品!$AG$10</f>
        <v>0</v>
      </c>
      <c r="FI116" s="64">
        <f>購入おすすめ品!$AN$10</f>
        <v>0</v>
      </c>
    </row>
    <row r="117" spans="79:165" ht="15" customHeight="1" x14ac:dyDescent="0.15">
      <c r="CA117" s="44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45"/>
      <c r="FB117" s="63">
        <v>1</v>
      </c>
      <c r="FC117" s="64">
        <v>5</v>
      </c>
      <c r="FD117" s="64">
        <f>購入おすすめ品!$C$11</f>
        <v>0</v>
      </c>
      <c r="FE117" s="64">
        <f>購入おすすめ品!$U$11</f>
        <v>0</v>
      </c>
      <c r="FF117" s="64">
        <f>購入おすすめ品!$Y$11</f>
        <v>0</v>
      </c>
      <c r="FG117" s="64">
        <f>購入おすすめ品!$AB$11</f>
        <v>0</v>
      </c>
      <c r="FH117" s="64">
        <f>購入おすすめ品!$AG$11</f>
        <v>0</v>
      </c>
      <c r="FI117" s="64">
        <f>購入おすすめ品!$AN$11</f>
        <v>0</v>
      </c>
    </row>
    <row r="118" spans="79:165" ht="15" customHeight="1" x14ac:dyDescent="0.15">
      <c r="CA118" s="44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45"/>
      <c r="FB118" s="63">
        <v>1</v>
      </c>
      <c r="FC118" s="64">
        <v>6</v>
      </c>
      <c r="FD118" s="64">
        <f>購入おすすめ品!$C$12</f>
        <v>0</v>
      </c>
      <c r="FE118" s="64">
        <f>購入おすすめ品!$U$12</f>
        <v>0</v>
      </c>
      <c r="FF118" s="64">
        <f>購入おすすめ品!$Y$12</f>
        <v>0</v>
      </c>
      <c r="FG118" s="64">
        <f>購入おすすめ品!$AB$12</f>
        <v>0</v>
      </c>
      <c r="FH118" s="64">
        <f>購入おすすめ品!$AG$12</f>
        <v>0</v>
      </c>
      <c r="FI118" s="64">
        <f>購入おすすめ品!$AN$12</f>
        <v>0</v>
      </c>
    </row>
    <row r="119" spans="79:165" ht="15" customHeight="1" x14ac:dyDescent="0.15">
      <c r="CA119" s="44"/>
      <c r="CB119" s="1"/>
      <c r="CC119" s="1"/>
      <c r="CD119" s="1"/>
      <c r="CE119" s="1"/>
      <c r="CF119" s="1"/>
      <c r="CG119" s="1"/>
      <c r="CH119" s="1"/>
      <c r="CI119" s="204" t="s">
        <v>43</v>
      </c>
      <c r="CJ119" s="204"/>
      <c r="CK119" s="204"/>
      <c r="CL119" s="204"/>
      <c r="CM119" s="205" t="s">
        <v>87</v>
      </c>
      <c r="CN119" s="206"/>
      <c r="CO119" s="206"/>
      <c r="CP119" s="206"/>
      <c r="CQ119" s="206"/>
      <c r="CR119" s="206"/>
      <c r="CS119" s="206"/>
      <c r="CT119" s="206"/>
      <c r="CU119" s="206"/>
      <c r="CV119" s="206"/>
      <c r="CW119" s="206"/>
      <c r="CX119" s="206"/>
      <c r="CY119" s="206"/>
      <c r="CZ119" s="206"/>
      <c r="DA119" s="206"/>
      <c r="DB119" s="206"/>
      <c r="DC119" s="206"/>
      <c r="DD119" s="206"/>
      <c r="DE119" s="206"/>
      <c r="DF119" s="206"/>
      <c r="DG119" s="206"/>
      <c r="DH119" s="206"/>
      <c r="DI119" s="206"/>
      <c r="DJ119" s="206"/>
      <c r="DK119" s="206"/>
      <c r="DL119" s="1"/>
      <c r="DM119" s="194" t="s">
        <v>45</v>
      </c>
      <c r="DN119" s="196"/>
      <c r="DO119" s="199" t="s">
        <v>80</v>
      </c>
      <c r="DP119" s="200"/>
      <c r="DQ119" s="200"/>
      <c r="DR119" s="200"/>
      <c r="DS119" s="200"/>
      <c r="DT119" s="200"/>
      <c r="DU119" s="20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45"/>
      <c r="FB119" s="63">
        <v>1</v>
      </c>
      <c r="FC119" s="64">
        <v>7</v>
      </c>
      <c r="FD119" s="64">
        <f>購入おすすめ品!$C$13</f>
        <v>0</v>
      </c>
      <c r="FE119" s="64">
        <f>購入おすすめ品!$U$13</f>
        <v>0</v>
      </c>
      <c r="FF119" s="64">
        <f>購入おすすめ品!$Y$13</f>
        <v>0</v>
      </c>
      <c r="FG119" s="64">
        <f>購入おすすめ品!$AB$13</f>
        <v>0</v>
      </c>
      <c r="FH119" s="64">
        <f>購入おすすめ品!$AG$13</f>
        <v>0</v>
      </c>
      <c r="FI119" s="64">
        <f>購入おすすめ品!$AN$13</f>
        <v>0</v>
      </c>
    </row>
    <row r="120" spans="79:165" ht="15" customHeight="1" x14ac:dyDescent="0.15">
      <c r="CA120" s="44"/>
      <c r="CB120" s="1"/>
      <c r="CC120" s="1"/>
      <c r="CD120" s="1"/>
      <c r="CE120" s="1"/>
      <c r="CF120" s="1"/>
      <c r="CG120" s="1"/>
      <c r="CH120" s="1"/>
      <c r="CI120" s="204" t="s">
        <v>73</v>
      </c>
      <c r="CJ120" s="204"/>
      <c r="CK120" s="204"/>
      <c r="CL120" s="204"/>
      <c r="CM120" s="205"/>
      <c r="CN120" s="206"/>
      <c r="CO120" s="206"/>
      <c r="CP120" s="206"/>
      <c r="CQ120" s="206"/>
      <c r="CR120" s="206"/>
      <c r="CS120" s="206"/>
      <c r="CT120" s="206"/>
      <c r="CU120" s="206"/>
      <c r="CV120" s="206"/>
      <c r="CW120" s="206"/>
      <c r="CX120" s="206"/>
      <c r="CY120" s="206"/>
      <c r="CZ120" s="206"/>
      <c r="DA120" s="206"/>
      <c r="DB120" s="206"/>
      <c r="DC120" s="206"/>
      <c r="DD120" s="206"/>
      <c r="DE120" s="206"/>
      <c r="DF120" s="206"/>
      <c r="DG120" s="206"/>
      <c r="DH120" s="206"/>
      <c r="DI120" s="206"/>
      <c r="DJ120" s="206"/>
      <c r="DK120" s="206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45"/>
      <c r="FB120" s="63">
        <v>1</v>
      </c>
      <c r="FC120" s="64">
        <v>8</v>
      </c>
      <c r="FD120" s="64">
        <f>購入おすすめ品!$C$14</f>
        <v>0</v>
      </c>
      <c r="FE120" s="64">
        <f>購入おすすめ品!$U$14</f>
        <v>0</v>
      </c>
      <c r="FF120" s="64">
        <f>購入おすすめ品!$Y$14</f>
        <v>0</v>
      </c>
      <c r="FG120" s="64">
        <f>購入おすすめ品!$AB$14</f>
        <v>0</v>
      </c>
      <c r="FH120" s="64">
        <f>購入おすすめ品!$AG$14</f>
        <v>0</v>
      </c>
      <c r="FI120" s="64">
        <f>購入おすすめ品!$AN$14</f>
        <v>0</v>
      </c>
    </row>
    <row r="121" spans="79:165" ht="15" customHeight="1" x14ac:dyDescent="0.15">
      <c r="CA121" s="44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45"/>
      <c r="FB121" s="63">
        <v>1</v>
      </c>
      <c r="FC121" s="64">
        <v>9</v>
      </c>
      <c r="FD121" s="64">
        <f>購入おすすめ品!$C$15</f>
        <v>0</v>
      </c>
      <c r="FE121" s="64">
        <f>購入おすすめ品!$U$15</f>
        <v>0</v>
      </c>
      <c r="FF121" s="64">
        <f>購入おすすめ品!$Y$15</f>
        <v>0</v>
      </c>
      <c r="FG121" s="64">
        <f>購入おすすめ品!$AB$15</f>
        <v>0</v>
      </c>
      <c r="FH121" s="64">
        <f>購入おすすめ品!$AG$15</f>
        <v>0</v>
      </c>
      <c r="FI121" s="64">
        <f>購入おすすめ品!$AN$15</f>
        <v>0</v>
      </c>
    </row>
    <row r="122" spans="79:165" ht="15" customHeight="1" x14ac:dyDescent="0.15">
      <c r="CA122" s="44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45"/>
      <c r="FB122" s="63">
        <v>1</v>
      </c>
      <c r="FC122" s="64">
        <v>10</v>
      </c>
      <c r="FD122" s="64">
        <f>購入おすすめ品!$C$16</f>
        <v>0</v>
      </c>
      <c r="FE122" s="64">
        <f>購入おすすめ品!$U$16</f>
        <v>0</v>
      </c>
      <c r="FF122" s="64">
        <f>購入おすすめ品!$Y$16</f>
        <v>0</v>
      </c>
      <c r="FG122" s="64">
        <f>購入おすすめ品!$AB$16</f>
        <v>0</v>
      </c>
      <c r="FH122" s="64">
        <f>購入おすすめ品!$AG$16</f>
        <v>0</v>
      </c>
      <c r="FI122" s="64">
        <f>購入おすすめ品!$AN$16</f>
        <v>0</v>
      </c>
    </row>
    <row r="123" spans="79:165" ht="15" customHeight="1" x14ac:dyDescent="0.15">
      <c r="CA123" s="44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45"/>
      <c r="FB123" s="63">
        <v>1</v>
      </c>
      <c r="FC123" s="64">
        <v>11</v>
      </c>
      <c r="FD123" s="64">
        <f>購入おすすめ品!$C$17</f>
        <v>0</v>
      </c>
      <c r="FE123" s="64">
        <f>購入おすすめ品!$U$17</f>
        <v>0</v>
      </c>
      <c r="FF123" s="64">
        <f>購入おすすめ品!$Y$17</f>
        <v>0</v>
      </c>
      <c r="FG123" s="64">
        <f>購入おすすめ品!$AB$17</f>
        <v>0</v>
      </c>
      <c r="FH123" s="64">
        <f>購入おすすめ品!$AG$17</f>
        <v>0</v>
      </c>
      <c r="FI123" s="64">
        <f>購入おすすめ品!$AN$17</f>
        <v>0</v>
      </c>
    </row>
    <row r="124" spans="79:165" ht="15" customHeight="1" x14ac:dyDescent="0.15">
      <c r="CA124" s="44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45"/>
      <c r="FB124" s="63">
        <v>1</v>
      </c>
      <c r="FC124" s="64">
        <v>12</v>
      </c>
      <c r="FD124" s="64">
        <f>購入おすすめ品!$C$18</f>
        <v>0</v>
      </c>
      <c r="FE124" s="64">
        <f>購入おすすめ品!$U$18</f>
        <v>0</v>
      </c>
      <c r="FF124" s="64">
        <f>購入おすすめ品!$Y$18</f>
        <v>0</v>
      </c>
      <c r="FG124" s="64">
        <f>購入おすすめ品!$AB$18</f>
        <v>0</v>
      </c>
      <c r="FH124" s="64">
        <f>購入おすすめ品!$AG$18</f>
        <v>0</v>
      </c>
      <c r="FI124" s="64">
        <f>購入おすすめ品!$AN$18</f>
        <v>0</v>
      </c>
    </row>
    <row r="125" spans="79:165" ht="15" customHeight="1" x14ac:dyDescent="0.15">
      <c r="CA125" s="44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45"/>
      <c r="FB125" s="63">
        <v>1</v>
      </c>
      <c r="FC125" s="64">
        <v>13</v>
      </c>
      <c r="FD125" s="64">
        <f>購入おすすめ品!$C$19</f>
        <v>0</v>
      </c>
      <c r="FE125" s="64">
        <f>購入おすすめ品!$U$19</f>
        <v>0</v>
      </c>
      <c r="FF125" s="64">
        <f>購入おすすめ品!$Y$19</f>
        <v>0</v>
      </c>
      <c r="FG125" s="64">
        <f>購入おすすめ品!$AB$19</f>
        <v>0</v>
      </c>
      <c r="FH125" s="64">
        <f>購入おすすめ品!$AG$19</f>
        <v>0</v>
      </c>
      <c r="FI125" s="64">
        <f>購入おすすめ品!$AN$19</f>
        <v>0</v>
      </c>
    </row>
    <row r="126" spans="79:165" ht="15" customHeight="1" x14ac:dyDescent="0.15">
      <c r="CA126" s="48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  <c r="DG126" s="46"/>
      <c r="DH126" s="46"/>
      <c r="DI126" s="46"/>
      <c r="DJ126" s="46"/>
      <c r="DK126" s="46"/>
      <c r="DL126" s="46"/>
      <c r="DM126" s="46"/>
      <c r="DN126" s="46"/>
      <c r="DO126" s="46"/>
      <c r="DP126" s="46"/>
      <c r="DQ126" s="46"/>
      <c r="DR126" s="46"/>
      <c r="DS126" s="46"/>
      <c r="DT126" s="46"/>
      <c r="DU126" s="46"/>
      <c r="DV126" s="46"/>
      <c r="DW126" s="46"/>
      <c r="DX126" s="46"/>
      <c r="DY126" s="46"/>
      <c r="DZ126" s="46"/>
      <c r="EA126" s="46"/>
      <c r="EB126" s="46"/>
      <c r="EC126" s="46"/>
      <c r="ED126" s="46"/>
      <c r="EE126" s="46"/>
      <c r="EF126" s="46"/>
      <c r="EG126" s="46"/>
      <c r="EH126" s="46"/>
      <c r="EI126" s="46"/>
      <c r="EJ126" s="46"/>
      <c r="EK126" s="46"/>
      <c r="EL126" s="46"/>
      <c r="EM126" s="46"/>
      <c r="EN126" s="46"/>
      <c r="EO126" s="46"/>
      <c r="EP126" s="47"/>
      <c r="FB126" s="63">
        <v>1</v>
      </c>
      <c r="FC126" s="64">
        <v>14</v>
      </c>
      <c r="FD126" s="64">
        <f>購入おすすめ品!$C$20</f>
        <v>0</v>
      </c>
      <c r="FE126" s="64">
        <f>購入おすすめ品!$U$20</f>
        <v>0</v>
      </c>
      <c r="FF126" s="64">
        <f>購入おすすめ品!$Y$20</f>
        <v>0</v>
      </c>
      <c r="FG126" s="64">
        <f>購入おすすめ品!$AB$20</f>
        <v>0</v>
      </c>
      <c r="FH126" s="64">
        <f>購入おすすめ品!$AG$20</f>
        <v>0</v>
      </c>
      <c r="FI126" s="64">
        <f>購入おすすめ品!$AN$20</f>
        <v>0</v>
      </c>
    </row>
    <row r="127" spans="79:165" ht="15" customHeight="1" x14ac:dyDescent="0.15">
      <c r="FB127" s="63">
        <v>1</v>
      </c>
      <c r="FC127" s="64">
        <v>15</v>
      </c>
      <c r="FD127" s="64">
        <f>購入おすすめ品!$C$21</f>
        <v>0</v>
      </c>
      <c r="FE127" s="64">
        <f>購入おすすめ品!$U$21</f>
        <v>0</v>
      </c>
      <c r="FF127" s="64">
        <f>購入おすすめ品!$Y$21</f>
        <v>0</v>
      </c>
      <c r="FG127" s="64">
        <f>購入おすすめ品!$AB$21</f>
        <v>0</v>
      </c>
      <c r="FH127" s="64">
        <f>購入おすすめ品!$AG$21</f>
        <v>0</v>
      </c>
      <c r="FI127" s="64">
        <f>購入おすすめ品!$AN$21</f>
        <v>0</v>
      </c>
    </row>
    <row r="128" spans="79:165" ht="15" customHeight="1" x14ac:dyDescent="0.15">
      <c r="FB128" s="63">
        <v>1</v>
      </c>
      <c r="FC128" s="64">
        <v>16</v>
      </c>
      <c r="FD128" s="64">
        <f>購入おすすめ品!$C$22</f>
        <v>0</v>
      </c>
      <c r="FE128" s="64">
        <f>購入おすすめ品!$U$22</f>
        <v>0</v>
      </c>
      <c r="FF128" s="64">
        <f>購入おすすめ品!$Y$22</f>
        <v>0</v>
      </c>
      <c r="FG128" s="64">
        <f>購入おすすめ品!$AB$22</f>
        <v>0</v>
      </c>
      <c r="FH128" s="64">
        <f>購入おすすめ品!$AG$22</f>
        <v>0</v>
      </c>
      <c r="FI128" s="64">
        <f>購入おすすめ品!$AN$22</f>
        <v>0</v>
      </c>
    </row>
    <row r="129" spans="91:165" ht="15" customHeight="1" x14ac:dyDescent="0.15">
      <c r="FB129" s="63">
        <v>1</v>
      </c>
      <c r="FC129" s="64">
        <v>17</v>
      </c>
      <c r="FD129" s="64">
        <f>購入おすすめ品!$C$23</f>
        <v>0</v>
      </c>
      <c r="FE129" s="64">
        <f>購入おすすめ品!$U$23</f>
        <v>0</v>
      </c>
      <c r="FF129" s="64">
        <f>購入おすすめ品!$Y$23</f>
        <v>0</v>
      </c>
      <c r="FG129" s="64">
        <f>購入おすすめ品!$AB$23</f>
        <v>0</v>
      </c>
      <c r="FH129" s="64">
        <f>購入おすすめ品!$AG$23</f>
        <v>0</v>
      </c>
      <c r="FI129" s="64">
        <f>購入おすすめ品!$AN$23</f>
        <v>0</v>
      </c>
    </row>
    <row r="130" spans="91:165" ht="15" customHeight="1" x14ac:dyDescent="0.15">
      <c r="CM130" s="72"/>
      <c r="FB130" s="63">
        <v>1</v>
      </c>
      <c r="FC130" s="64">
        <v>18</v>
      </c>
      <c r="FD130" s="64">
        <f>購入おすすめ品!$C$24</f>
        <v>0</v>
      </c>
      <c r="FE130" s="64">
        <f>購入おすすめ品!$U$24</f>
        <v>0</v>
      </c>
      <c r="FF130" s="64">
        <f>購入おすすめ品!$Y$24</f>
        <v>0</v>
      </c>
      <c r="FG130" s="64">
        <f>購入おすすめ品!$AB$24</f>
        <v>0</v>
      </c>
      <c r="FH130" s="64">
        <f>購入おすすめ品!$AG$24</f>
        <v>0</v>
      </c>
      <c r="FI130" s="64">
        <f>購入おすすめ品!$AN$24</f>
        <v>0</v>
      </c>
    </row>
    <row r="131" spans="91:165" ht="15" customHeight="1" x14ac:dyDescent="0.15">
      <c r="FB131" s="63">
        <v>1</v>
      </c>
      <c r="FC131" s="64">
        <v>19</v>
      </c>
      <c r="FD131" s="64">
        <f>購入おすすめ品!$C$25</f>
        <v>0</v>
      </c>
      <c r="FE131" s="64">
        <f>購入おすすめ品!$U$25</f>
        <v>0</v>
      </c>
      <c r="FF131" s="64">
        <f>購入おすすめ品!$Y$25</f>
        <v>0</v>
      </c>
      <c r="FG131" s="64">
        <f>購入おすすめ品!$AB$25</f>
        <v>0</v>
      </c>
      <c r="FH131" s="64">
        <f>購入おすすめ品!$AG$25</f>
        <v>0</v>
      </c>
      <c r="FI131" s="64">
        <f>購入おすすめ品!$AN$25</f>
        <v>0</v>
      </c>
    </row>
    <row r="132" spans="91:165" ht="15" customHeight="1" x14ac:dyDescent="0.15">
      <c r="FB132" s="63">
        <v>1</v>
      </c>
      <c r="FC132" s="64">
        <v>20</v>
      </c>
      <c r="FD132" s="64">
        <f>購入おすすめ品!$C$26</f>
        <v>0</v>
      </c>
      <c r="FE132" s="64">
        <f>購入おすすめ品!$U$26</f>
        <v>0</v>
      </c>
      <c r="FF132" s="64">
        <f>購入おすすめ品!$Y$26</f>
        <v>0</v>
      </c>
      <c r="FG132" s="64">
        <f>購入おすすめ品!$AB$26</f>
        <v>0</v>
      </c>
      <c r="FH132" s="64">
        <f>購入おすすめ品!$AG$26</f>
        <v>0</v>
      </c>
      <c r="FI132" s="64">
        <f>購入おすすめ品!$AN$26</f>
        <v>0</v>
      </c>
    </row>
    <row r="133" spans="91:165" ht="15" customHeight="1" x14ac:dyDescent="0.15">
      <c r="FB133" s="63">
        <v>1</v>
      </c>
      <c r="FC133" s="64">
        <v>21</v>
      </c>
      <c r="FD133" s="64">
        <f>購入おすすめ品!$C$27</f>
        <v>0</v>
      </c>
      <c r="FE133" s="64">
        <f>購入おすすめ品!$U$27</f>
        <v>0</v>
      </c>
      <c r="FF133" s="64">
        <f>購入おすすめ品!$Y$27</f>
        <v>0</v>
      </c>
      <c r="FG133" s="64">
        <f>購入おすすめ品!$AB$27</f>
        <v>0</v>
      </c>
      <c r="FH133" s="64">
        <f>購入おすすめ品!$AG$27</f>
        <v>0</v>
      </c>
      <c r="FI133" s="64">
        <f>購入おすすめ品!$AN$27</f>
        <v>0</v>
      </c>
    </row>
    <row r="134" spans="91:165" ht="15" customHeight="1" x14ac:dyDescent="0.15">
      <c r="FB134" s="63">
        <v>1</v>
      </c>
      <c r="FC134" s="64">
        <v>22</v>
      </c>
      <c r="FD134" s="64">
        <f>購入おすすめ品!$C$28</f>
        <v>0</v>
      </c>
      <c r="FE134" s="64">
        <f>購入おすすめ品!$U$28</f>
        <v>0</v>
      </c>
      <c r="FF134" s="64">
        <f>購入おすすめ品!$Y$28</f>
        <v>0</v>
      </c>
      <c r="FG134" s="64">
        <f>購入おすすめ品!$AB$28</f>
        <v>0</v>
      </c>
      <c r="FH134" s="64">
        <f>購入おすすめ品!$AG$28</f>
        <v>0</v>
      </c>
      <c r="FI134" s="64">
        <f>購入おすすめ品!$AN$28</f>
        <v>0</v>
      </c>
    </row>
    <row r="135" spans="91:165" ht="15" customHeight="1" x14ac:dyDescent="0.15">
      <c r="FB135" s="63">
        <v>1</v>
      </c>
      <c r="FC135" s="64">
        <v>23</v>
      </c>
      <c r="FD135" s="64">
        <f>購入おすすめ品!$C$29</f>
        <v>0</v>
      </c>
      <c r="FE135" s="64">
        <f>購入おすすめ品!$U$29</f>
        <v>0</v>
      </c>
      <c r="FF135" s="64">
        <f>購入おすすめ品!$Y$29</f>
        <v>0</v>
      </c>
      <c r="FG135" s="64">
        <f>購入おすすめ品!$AB$29</f>
        <v>0</v>
      </c>
      <c r="FH135" s="64">
        <f>購入おすすめ品!$AG$29</f>
        <v>0</v>
      </c>
      <c r="FI135" s="64">
        <f>購入おすすめ品!$AN$29</f>
        <v>0</v>
      </c>
    </row>
    <row r="136" spans="91:165" ht="15" customHeight="1" x14ac:dyDescent="0.15">
      <c r="FB136" s="63">
        <v>2</v>
      </c>
      <c r="FC136" s="64">
        <v>1</v>
      </c>
      <c r="FD136" s="64" t="e">
        <f>#REF!</f>
        <v>#REF!</v>
      </c>
      <c r="FE136" s="64" t="e">
        <f>#REF!</f>
        <v>#REF!</v>
      </c>
      <c r="FF136" s="64" t="e">
        <f>#REF!</f>
        <v>#REF!</v>
      </c>
      <c r="FG136" s="64" t="e">
        <f>#REF!</f>
        <v>#REF!</v>
      </c>
      <c r="FH136" s="64" t="e">
        <f>#REF!</f>
        <v>#REF!</v>
      </c>
      <c r="FI136" s="64" t="e">
        <f>#REF!</f>
        <v>#REF!</v>
      </c>
    </row>
    <row r="137" spans="91:165" ht="15" customHeight="1" x14ac:dyDescent="0.15">
      <c r="FB137" s="63">
        <v>2</v>
      </c>
      <c r="FC137" s="64">
        <v>2</v>
      </c>
      <c r="FD137" s="64" t="e">
        <f>#REF!</f>
        <v>#REF!</v>
      </c>
      <c r="FE137" s="64" t="e">
        <f>#REF!</f>
        <v>#REF!</v>
      </c>
      <c r="FF137" s="64" t="e">
        <f>#REF!</f>
        <v>#REF!</v>
      </c>
      <c r="FG137" s="64" t="e">
        <f>#REF!</f>
        <v>#REF!</v>
      </c>
      <c r="FH137" s="64" t="e">
        <f>#REF!</f>
        <v>#REF!</v>
      </c>
      <c r="FI137" s="64" t="e">
        <f>#REF!</f>
        <v>#REF!</v>
      </c>
    </row>
    <row r="138" spans="91:165" ht="15" customHeight="1" x14ac:dyDescent="0.15">
      <c r="FB138" s="63">
        <v>2</v>
      </c>
      <c r="FC138" s="64">
        <v>3</v>
      </c>
      <c r="FD138" s="64" t="e">
        <f>#REF!</f>
        <v>#REF!</v>
      </c>
      <c r="FE138" s="64" t="e">
        <f>#REF!</f>
        <v>#REF!</v>
      </c>
      <c r="FF138" s="64" t="e">
        <f>#REF!</f>
        <v>#REF!</v>
      </c>
      <c r="FG138" s="64" t="e">
        <f>#REF!</f>
        <v>#REF!</v>
      </c>
      <c r="FH138" s="64" t="e">
        <f>#REF!</f>
        <v>#REF!</v>
      </c>
      <c r="FI138" s="64" t="e">
        <f>#REF!</f>
        <v>#REF!</v>
      </c>
    </row>
    <row r="139" spans="91:165" ht="15" customHeight="1" x14ac:dyDescent="0.15">
      <c r="FB139" s="63">
        <v>2</v>
      </c>
      <c r="FC139" s="64">
        <v>4</v>
      </c>
      <c r="FD139" s="64" t="e">
        <f>#REF!</f>
        <v>#REF!</v>
      </c>
      <c r="FE139" s="64" t="e">
        <f>#REF!</f>
        <v>#REF!</v>
      </c>
      <c r="FF139" s="64" t="e">
        <f>#REF!</f>
        <v>#REF!</v>
      </c>
      <c r="FG139" s="64" t="e">
        <f>#REF!</f>
        <v>#REF!</v>
      </c>
      <c r="FH139" s="64" t="e">
        <f>#REF!</f>
        <v>#REF!</v>
      </c>
      <c r="FI139" s="64" t="e">
        <f>#REF!</f>
        <v>#REF!</v>
      </c>
    </row>
    <row r="140" spans="91:165" ht="15" customHeight="1" x14ac:dyDescent="0.15">
      <c r="FB140" s="63">
        <v>2</v>
      </c>
      <c r="FC140" s="64">
        <v>5</v>
      </c>
      <c r="FD140" s="64" t="e">
        <f>#REF!</f>
        <v>#REF!</v>
      </c>
      <c r="FE140" s="64" t="e">
        <f>#REF!</f>
        <v>#REF!</v>
      </c>
      <c r="FF140" s="64" t="e">
        <f>#REF!</f>
        <v>#REF!</v>
      </c>
      <c r="FG140" s="64" t="e">
        <f>#REF!</f>
        <v>#REF!</v>
      </c>
      <c r="FH140" s="64" t="e">
        <f>#REF!</f>
        <v>#REF!</v>
      </c>
      <c r="FI140" s="64" t="e">
        <f>#REF!</f>
        <v>#REF!</v>
      </c>
    </row>
    <row r="141" spans="91:165" ht="15" customHeight="1" x14ac:dyDescent="0.15">
      <c r="FB141" s="63">
        <v>2</v>
      </c>
      <c r="FC141" s="64">
        <v>6</v>
      </c>
      <c r="FD141" s="64" t="e">
        <f>#REF!</f>
        <v>#REF!</v>
      </c>
      <c r="FE141" s="64" t="e">
        <f>#REF!</f>
        <v>#REF!</v>
      </c>
      <c r="FF141" s="64" t="e">
        <f>#REF!</f>
        <v>#REF!</v>
      </c>
      <c r="FG141" s="64" t="e">
        <f>#REF!</f>
        <v>#REF!</v>
      </c>
      <c r="FH141" s="64" t="e">
        <f>#REF!</f>
        <v>#REF!</v>
      </c>
      <c r="FI141" s="64" t="e">
        <f>#REF!</f>
        <v>#REF!</v>
      </c>
    </row>
    <row r="142" spans="91:165" ht="15" customHeight="1" x14ac:dyDescent="0.15">
      <c r="FB142" s="63">
        <v>2</v>
      </c>
      <c r="FC142" s="64">
        <v>7</v>
      </c>
      <c r="FD142" s="64" t="e">
        <f>#REF!</f>
        <v>#REF!</v>
      </c>
      <c r="FE142" s="64" t="e">
        <f>#REF!</f>
        <v>#REF!</v>
      </c>
      <c r="FF142" s="64" t="e">
        <f>#REF!</f>
        <v>#REF!</v>
      </c>
      <c r="FG142" s="64" t="e">
        <f>#REF!</f>
        <v>#REF!</v>
      </c>
      <c r="FH142" s="64" t="e">
        <f>#REF!</f>
        <v>#REF!</v>
      </c>
      <c r="FI142" s="64" t="e">
        <f>#REF!</f>
        <v>#REF!</v>
      </c>
    </row>
    <row r="143" spans="91:165" ht="15" customHeight="1" x14ac:dyDescent="0.15">
      <c r="FB143" s="63">
        <v>2</v>
      </c>
      <c r="FC143" s="64">
        <v>8</v>
      </c>
      <c r="FD143" s="64" t="e">
        <f>#REF!</f>
        <v>#REF!</v>
      </c>
      <c r="FE143" s="64" t="e">
        <f>#REF!</f>
        <v>#REF!</v>
      </c>
      <c r="FF143" s="64" t="e">
        <f>#REF!</f>
        <v>#REF!</v>
      </c>
      <c r="FG143" s="64" t="e">
        <f>#REF!</f>
        <v>#REF!</v>
      </c>
      <c r="FH143" s="64" t="e">
        <f>#REF!</f>
        <v>#REF!</v>
      </c>
      <c r="FI143" s="64" t="e">
        <f>#REF!</f>
        <v>#REF!</v>
      </c>
    </row>
    <row r="144" spans="91:165" ht="15" customHeight="1" x14ac:dyDescent="0.15">
      <c r="FB144" s="63">
        <v>2</v>
      </c>
      <c r="FC144" s="64">
        <v>9</v>
      </c>
      <c r="FD144" s="64" t="e">
        <f>#REF!</f>
        <v>#REF!</v>
      </c>
      <c r="FE144" s="64" t="e">
        <f>#REF!</f>
        <v>#REF!</v>
      </c>
      <c r="FF144" s="64" t="e">
        <f>#REF!</f>
        <v>#REF!</v>
      </c>
      <c r="FG144" s="64" t="e">
        <f>#REF!</f>
        <v>#REF!</v>
      </c>
      <c r="FH144" s="64" t="e">
        <f>#REF!</f>
        <v>#REF!</v>
      </c>
      <c r="FI144" s="64" t="e">
        <f>#REF!</f>
        <v>#REF!</v>
      </c>
    </row>
    <row r="145" spans="158:165" ht="15" customHeight="1" x14ac:dyDescent="0.15">
      <c r="FB145" s="63">
        <v>2</v>
      </c>
      <c r="FC145" s="64">
        <v>10</v>
      </c>
      <c r="FD145" s="64" t="e">
        <f>#REF!</f>
        <v>#REF!</v>
      </c>
      <c r="FE145" s="64" t="e">
        <f>#REF!</f>
        <v>#REF!</v>
      </c>
      <c r="FF145" s="64" t="e">
        <f>#REF!</f>
        <v>#REF!</v>
      </c>
      <c r="FG145" s="64" t="e">
        <f>#REF!</f>
        <v>#REF!</v>
      </c>
      <c r="FH145" s="64" t="e">
        <f>#REF!</f>
        <v>#REF!</v>
      </c>
      <c r="FI145" s="64" t="e">
        <f>#REF!</f>
        <v>#REF!</v>
      </c>
    </row>
    <row r="146" spans="158:165" ht="15" customHeight="1" x14ac:dyDescent="0.15">
      <c r="FB146" s="63">
        <v>2</v>
      </c>
      <c r="FC146" s="64">
        <v>11</v>
      </c>
      <c r="FD146" s="64" t="e">
        <f>#REF!</f>
        <v>#REF!</v>
      </c>
      <c r="FE146" s="64" t="e">
        <f>#REF!</f>
        <v>#REF!</v>
      </c>
      <c r="FF146" s="64" t="e">
        <f>#REF!</f>
        <v>#REF!</v>
      </c>
      <c r="FG146" s="64" t="e">
        <f>#REF!</f>
        <v>#REF!</v>
      </c>
      <c r="FH146" s="64" t="e">
        <f>#REF!</f>
        <v>#REF!</v>
      </c>
      <c r="FI146" s="64" t="e">
        <f>#REF!</f>
        <v>#REF!</v>
      </c>
    </row>
    <row r="147" spans="158:165" ht="15" customHeight="1" x14ac:dyDescent="0.15">
      <c r="FB147" s="63">
        <v>2</v>
      </c>
      <c r="FC147" s="64">
        <v>12</v>
      </c>
      <c r="FD147" s="64" t="e">
        <f>#REF!</f>
        <v>#REF!</v>
      </c>
      <c r="FE147" s="64" t="e">
        <f>#REF!</f>
        <v>#REF!</v>
      </c>
      <c r="FF147" s="64" t="e">
        <f>#REF!</f>
        <v>#REF!</v>
      </c>
      <c r="FG147" s="64" t="e">
        <f>#REF!</f>
        <v>#REF!</v>
      </c>
      <c r="FH147" s="64" t="e">
        <f>#REF!</f>
        <v>#REF!</v>
      </c>
      <c r="FI147" s="64" t="e">
        <f>#REF!</f>
        <v>#REF!</v>
      </c>
    </row>
    <row r="148" spans="158:165" ht="15" customHeight="1" x14ac:dyDescent="0.15">
      <c r="FB148" s="63">
        <v>2</v>
      </c>
      <c r="FC148" s="64">
        <v>13</v>
      </c>
      <c r="FD148" s="64" t="e">
        <f>#REF!</f>
        <v>#REF!</v>
      </c>
      <c r="FE148" s="64" t="e">
        <f>#REF!</f>
        <v>#REF!</v>
      </c>
      <c r="FF148" s="64" t="e">
        <f>#REF!</f>
        <v>#REF!</v>
      </c>
      <c r="FG148" s="64" t="e">
        <f>#REF!</f>
        <v>#REF!</v>
      </c>
      <c r="FH148" s="64" t="e">
        <f>#REF!</f>
        <v>#REF!</v>
      </c>
      <c r="FI148" s="64" t="e">
        <f>#REF!</f>
        <v>#REF!</v>
      </c>
    </row>
    <row r="149" spans="158:165" ht="15" customHeight="1" x14ac:dyDescent="0.15">
      <c r="FB149" s="63">
        <v>2</v>
      </c>
      <c r="FC149" s="64">
        <v>14</v>
      </c>
      <c r="FD149" s="64" t="e">
        <f>#REF!</f>
        <v>#REF!</v>
      </c>
      <c r="FE149" s="64" t="e">
        <f>#REF!</f>
        <v>#REF!</v>
      </c>
      <c r="FF149" s="64" t="e">
        <f>#REF!</f>
        <v>#REF!</v>
      </c>
      <c r="FG149" s="64" t="e">
        <f>#REF!</f>
        <v>#REF!</v>
      </c>
      <c r="FH149" s="64" t="e">
        <f>#REF!</f>
        <v>#REF!</v>
      </c>
      <c r="FI149" s="64" t="e">
        <f>#REF!</f>
        <v>#REF!</v>
      </c>
    </row>
    <row r="150" spans="158:165" ht="15" customHeight="1" x14ac:dyDescent="0.15">
      <c r="FB150" s="63">
        <v>2</v>
      </c>
      <c r="FC150" s="64">
        <v>15</v>
      </c>
      <c r="FD150" s="64" t="e">
        <f>#REF!</f>
        <v>#REF!</v>
      </c>
      <c r="FE150" s="64" t="e">
        <f>#REF!</f>
        <v>#REF!</v>
      </c>
      <c r="FF150" s="64" t="e">
        <f>#REF!</f>
        <v>#REF!</v>
      </c>
      <c r="FG150" s="64" t="e">
        <f>#REF!</f>
        <v>#REF!</v>
      </c>
      <c r="FH150" s="64" t="e">
        <f>#REF!</f>
        <v>#REF!</v>
      </c>
      <c r="FI150" s="64" t="e">
        <f>#REF!</f>
        <v>#REF!</v>
      </c>
    </row>
    <row r="151" spans="158:165" ht="15" customHeight="1" x14ac:dyDescent="0.15">
      <c r="FB151" s="63">
        <v>2</v>
      </c>
      <c r="FC151" s="64">
        <v>16</v>
      </c>
      <c r="FD151" s="64" t="e">
        <f>#REF!</f>
        <v>#REF!</v>
      </c>
      <c r="FE151" s="64" t="e">
        <f>#REF!</f>
        <v>#REF!</v>
      </c>
      <c r="FF151" s="64" t="e">
        <f>#REF!</f>
        <v>#REF!</v>
      </c>
      <c r="FG151" s="64" t="e">
        <f>#REF!</f>
        <v>#REF!</v>
      </c>
      <c r="FH151" s="64" t="e">
        <f>#REF!</f>
        <v>#REF!</v>
      </c>
      <c r="FI151" s="64" t="e">
        <f>#REF!</f>
        <v>#REF!</v>
      </c>
    </row>
    <row r="152" spans="158:165" ht="15" customHeight="1" x14ac:dyDescent="0.15">
      <c r="FB152" s="63">
        <v>2</v>
      </c>
      <c r="FC152" s="64">
        <v>17</v>
      </c>
      <c r="FD152" s="64" t="e">
        <f>#REF!</f>
        <v>#REF!</v>
      </c>
      <c r="FE152" s="64" t="e">
        <f>#REF!</f>
        <v>#REF!</v>
      </c>
      <c r="FF152" s="64" t="e">
        <f>#REF!</f>
        <v>#REF!</v>
      </c>
      <c r="FG152" s="64" t="e">
        <f>#REF!</f>
        <v>#REF!</v>
      </c>
      <c r="FH152" s="64" t="e">
        <f>#REF!</f>
        <v>#REF!</v>
      </c>
      <c r="FI152" s="64" t="e">
        <f>#REF!</f>
        <v>#REF!</v>
      </c>
    </row>
    <row r="153" spans="158:165" ht="15" customHeight="1" x14ac:dyDescent="0.15">
      <c r="FB153" s="63">
        <v>2</v>
      </c>
      <c r="FC153" s="64">
        <v>18</v>
      </c>
      <c r="FD153" s="64" t="e">
        <f>#REF!</f>
        <v>#REF!</v>
      </c>
      <c r="FE153" s="64" t="e">
        <f>#REF!</f>
        <v>#REF!</v>
      </c>
      <c r="FF153" s="64" t="e">
        <f>#REF!</f>
        <v>#REF!</v>
      </c>
      <c r="FG153" s="64" t="e">
        <f>#REF!</f>
        <v>#REF!</v>
      </c>
      <c r="FH153" s="64" t="e">
        <f>#REF!</f>
        <v>#REF!</v>
      </c>
      <c r="FI153" s="64" t="e">
        <f>#REF!</f>
        <v>#REF!</v>
      </c>
    </row>
    <row r="154" spans="158:165" ht="15" customHeight="1" x14ac:dyDescent="0.15">
      <c r="FB154" s="63">
        <v>2</v>
      </c>
      <c r="FC154" s="64">
        <v>19</v>
      </c>
      <c r="FD154" s="64" t="e">
        <f>#REF!</f>
        <v>#REF!</v>
      </c>
      <c r="FE154" s="64" t="e">
        <f>#REF!</f>
        <v>#REF!</v>
      </c>
      <c r="FF154" s="64" t="e">
        <f>#REF!</f>
        <v>#REF!</v>
      </c>
      <c r="FG154" s="64" t="e">
        <f>#REF!</f>
        <v>#REF!</v>
      </c>
      <c r="FH154" s="64" t="e">
        <f>#REF!</f>
        <v>#REF!</v>
      </c>
      <c r="FI154" s="64" t="e">
        <f>#REF!</f>
        <v>#REF!</v>
      </c>
    </row>
    <row r="155" spans="158:165" ht="15" customHeight="1" x14ac:dyDescent="0.15">
      <c r="FB155" s="63">
        <v>2</v>
      </c>
      <c r="FC155" s="64">
        <v>20</v>
      </c>
      <c r="FD155" s="64" t="e">
        <f>#REF!</f>
        <v>#REF!</v>
      </c>
      <c r="FE155" s="64" t="e">
        <f>#REF!</f>
        <v>#REF!</v>
      </c>
      <c r="FF155" s="64" t="e">
        <f>#REF!</f>
        <v>#REF!</v>
      </c>
      <c r="FG155" s="64" t="e">
        <f>#REF!</f>
        <v>#REF!</v>
      </c>
      <c r="FH155" s="64" t="e">
        <f>#REF!</f>
        <v>#REF!</v>
      </c>
      <c r="FI155" s="64" t="e">
        <f>#REF!</f>
        <v>#REF!</v>
      </c>
    </row>
    <row r="156" spans="158:165" ht="15" customHeight="1" x14ac:dyDescent="0.15">
      <c r="FB156" s="63">
        <v>2</v>
      </c>
      <c r="FC156" s="64">
        <v>21</v>
      </c>
      <c r="FD156" s="64" t="e">
        <f>#REF!</f>
        <v>#REF!</v>
      </c>
      <c r="FE156" s="64" t="e">
        <f>#REF!</f>
        <v>#REF!</v>
      </c>
      <c r="FF156" s="64" t="e">
        <f>#REF!</f>
        <v>#REF!</v>
      </c>
      <c r="FG156" s="64" t="e">
        <f>#REF!</f>
        <v>#REF!</v>
      </c>
      <c r="FH156" s="64" t="e">
        <f>#REF!</f>
        <v>#REF!</v>
      </c>
      <c r="FI156" s="64" t="e">
        <f>#REF!</f>
        <v>#REF!</v>
      </c>
    </row>
    <row r="157" spans="158:165" ht="15" customHeight="1" x14ac:dyDescent="0.15">
      <c r="FB157" s="63">
        <v>2</v>
      </c>
      <c r="FC157" s="64">
        <v>22</v>
      </c>
      <c r="FD157" s="64" t="e">
        <f>#REF!</f>
        <v>#REF!</v>
      </c>
      <c r="FE157" s="64" t="e">
        <f>#REF!</f>
        <v>#REF!</v>
      </c>
      <c r="FF157" s="64" t="e">
        <f>#REF!</f>
        <v>#REF!</v>
      </c>
      <c r="FG157" s="64" t="e">
        <f>#REF!</f>
        <v>#REF!</v>
      </c>
      <c r="FH157" s="64" t="e">
        <f>#REF!</f>
        <v>#REF!</v>
      </c>
      <c r="FI157" s="64" t="e">
        <f>#REF!</f>
        <v>#REF!</v>
      </c>
    </row>
    <row r="158" spans="158:165" ht="15" customHeight="1" x14ac:dyDescent="0.15">
      <c r="FB158" s="63">
        <v>2</v>
      </c>
      <c r="FC158" s="64">
        <v>23</v>
      </c>
      <c r="FD158" s="64" t="e">
        <f>#REF!</f>
        <v>#REF!</v>
      </c>
      <c r="FE158" s="64" t="e">
        <f>#REF!</f>
        <v>#REF!</v>
      </c>
      <c r="FF158" s="64" t="e">
        <f>#REF!</f>
        <v>#REF!</v>
      </c>
      <c r="FG158" s="64" t="e">
        <f>#REF!</f>
        <v>#REF!</v>
      </c>
      <c r="FH158" s="64" t="e">
        <f>#REF!</f>
        <v>#REF!</v>
      </c>
      <c r="FI158" s="64" t="e">
        <f>#REF!</f>
        <v>#REF!</v>
      </c>
    </row>
    <row r="159" spans="158:165" ht="15" customHeight="1" x14ac:dyDescent="0.15">
      <c r="FB159" s="63">
        <v>3</v>
      </c>
      <c r="FC159" s="64">
        <v>1</v>
      </c>
      <c r="FD159" s="64" t="e">
        <f>#REF!</f>
        <v>#REF!</v>
      </c>
      <c r="FE159" s="64" t="e">
        <f>#REF!</f>
        <v>#REF!</v>
      </c>
      <c r="FF159" s="64" t="e">
        <f>#REF!</f>
        <v>#REF!</v>
      </c>
      <c r="FG159" s="64" t="e">
        <f>#REF!</f>
        <v>#REF!</v>
      </c>
      <c r="FH159" s="64" t="e">
        <f>#REF!</f>
        <v>#REF!</v>
      </c>
      <c r="FI159" s="64" t="e">
        <f>#REF!</f>
        <v>#REF!</v>
      </c>
    </row>
    <row r="160" spans="158:165" ht="15" customHeight="1" x14ac:dyDescent="0.15">
      <c r="FB160" s="63">
        <v>3</v>
      </c>
      <c r="FC160" s="64">
        <v>2</v>
      </c>
      <c r="FD160" s="64" t="e">
        <f>#REF!</f>
        <v>#REF!</v>
      </c>
      <c r="FE160" s="64" t="e">
        <f>#REF!</f>
        <v>#REF!</v>
      </c>
      <c r="FF160" s="64" t="e">
        <f>#REF!</f>
        <v>#REF!</v>
      </c>
      <c r="FG160" s="64" t="e">
        <f>#REF!</f>
        <v>#REF!</v>
      </c>
      <c r="FH160" s="64" t="e">
        <f>#REF!</f>
        <v>#REF!</v>
      </c>
      <c r="FI160" s="64" t="e">
        <f>#REF!</f>
        <v>#REF!</v>
      </c>
    </row>
    <row r="161" spans="16:165" ht="15" customHeight="1" x14ac:dyDescent="0.15">
      <c r="FB161" s="63">
        <v>3</v>
      </c>
      <c r="FC161" s="64">
        <v>3</v>
      </c>
      <c r="FD161" s="64" t="e">
        <f>#REF!</f>
        <v>#REF!</v>
      </c>
      <c r="FE161" s="64" t="e">
        <f>#REF!</f>
        <v>#REF!</v>
      </c>
      <c r="FF161" s="64" t="e">
        <f>#REF!</f>
        <v>#REF!</v>
      </c>
      <c r="FG161" s="64" t="e">
        <f>#REF!</f>
        <v>#REF!</v>
      </c>
      <c r="FH161" s="64" t="e">
        <f>#REF!</f>
        <v>#REF!</v>
      </c>
      <c r="FI161" s="64" t="e">
        <f>#REF!</f>
        <v>#REF!</v>
      </c>
    </row>
    <row r="162" spans="16:165" ht="15" customHeight="1" x14ac:dyDescent="0.15">
      <c r="FB162" s="63">
        <v>3</v>
      </c>
      <c r="FC162" s="64">
        <v>4</v>
      </c>
      <c r="FD162" s="64" t="e">
        <f>#REF!</f>
        <v>#REF!</v>
      </c>
      <c r="FE162" s="64" t="e">
        <f>#REF!</f>
        <v>#REF!</v>
      </c>
      <c r="FF162" s="64" t="e">
        <f>#REF!</f>
        <v>#REF!</v>
      </c>
      <c r="FG162" s="64" t="e">
        <f>#REF!</f>
        <v>#REF!</v>
      </c>
      <c r="FH162" s="64" t="e">
        <f>#REF!</f>
        <v>#REF!</v>
      </c>
      <c r="FI162" s="64" t="e">
        <f>#REF!</f>
        <v>#REF!</v>
      </c>
    </row>
    <row r="163" spans="16:165" ht="15" customHeight="1" x14ac:dyDescent="0.15">
      <c r="FB163" s="63">
        <v>3</v>
      </c>
      <c r="FC163" s="64">
        <v>5</v>
      </c>
      <c r="FD163" s="64" t="e">
        <f>#REF!</f>
        <v>#REF!</v>
      </c>
      <c r="FE163" s="64" t="e">
        <f>#REF!</f>
        <v>#REF!</v>
      </c>
      <c r="FF163" s="64" t="e">
        <f>#REF!</f>
        <v>#REF!</v>
      </c>
      <c r="FG163" s="64" t="e">
        <f>#REF!</f>
        <v>#REF!</v>
      </c>
      <c r="FH163" s="64" t="e">
        <f>#REF!</f>
        <v>#REF!</v>
      </c>
      <c r="FI163" s="64" t="e">
        <f>#REF!</f>
        <v>#REF!</v>
      </c>
    </row>
    <row r="164" spans="16:165" ht="15" customHeight="1" x14ac:dyDescent="0.15">
      <c r="FB164" s="63">
        <v>3</v>
      </c>
      <c r="FC164" s="64">
        <v>6</v>
      </c>
      <c r="FD164" s="64" t="e">
        <f>#REF!</f>
        <v>#REF!</v>
      </c>
      <c r="FE164" s="64" t="e">
        <f>#REF!</f>
        <v>#REF!</v>
      </c>
      <c r="FF164" s="64" t="e">
        <f>#REF!</f>
        <v>#REF!</v>
      </c>
      <c r="FG164" s="64" t="e">
        <f>#REF!</f>
        <v>#REF!</v>
      </c>
      <c r="FH164" s="64" t="e">
        <f>#REF!</f>
        <v>#REF!</v>
      </c>
      <c r="FI164" s="64" t="e">
        <f>#REF!</f>
        <v>#REF!</v>
      </c>
    </row>
    <row r="165" spans="16:165" ht="15" customHeight="1" x14ac:dyDescent="0.15">
      <c r="FB165" s="63">
        <v>3</v>
      </c>
      <c r="FC165" s="64">
        <v>7</v>
      </c>
      <c r="FD165" s="64" t="e">
        <f>#REF!</f>
        <v>#REF!</v>
      </c>
      <c r="FE165" s="64" t="e">
        <f>#REF!</f>
        <v>#REF!</v>
      </c>
      <c r="FF165" s="64" t="e">
        <f>#REF!</f>
        <v>#REF!</v>
      </c>
      <c r="FG165" s="64" t="e">
        <f>#REF!</f>
        <v>#REF!</v>
      </c>
      <c r="FH165" s="64" t="e">
        <f>#REF!</f>
        <v>#REF!</v>
      </c>
      <c r="FI165" s="64" t="e">
        <f>#REF!</f>
        <v>#REF!</v>
      </c>
    </row>
    <row r="166" spans="16:165" ht="15" customHeight="1" x14ac:dyDescent="0.15">
      <c r="FB166" s="63">
        <v>3</v>
      </c>
      <c r="FC166" s="64">
        <v>8</v>
      </c>
      <c r="FD166" s="64" t="e">
        <f>#REF!</f>
        <v>#REF!</v>
      </c>
      <c r="FE166" s="64" t="e">
        <f>#REF!</f>
        <v>#REF!</v>
      </c>
      <c r="FF166" s="64" t="e">
        <f>#REF!</f>
        <v>#REF!</v>
      </c>
      <c r="FG166" s="64" t="e">
        <f>#REF!</f>
        <v>#REF!</v>
      </c>
      <c r="FH166" s="64" t="e">
        <f>#REF!</f>
        <v>#REF!</v>
      </c>
      <c r="FI166" s="64" t="e">
        <f>#REF!</f>
        <v>#REF!</v>
      </c>
    </row>
    <row r="167" spans="16:165" ht="15" customHeight="1" x14ac:dyDescent="0.15">
      <c r="FB167" s="63">
        <v>3</v>
      </c>
      <c r="FC167" s="64">
        <v>9</v>
      </c>
      <c r="FD167" s="64" t="e">
        <f>#REF!</f>
        <v>#REF!</v>
      </c>
      <c r="FE167" s="64" t="e">
        <f>#REF!</f>
        <v>#REF!</v>
      </c>
      <c r="FF167" s="64" t="e">
        <f>#REF!</f>
        <v>#REF!</v>
      </c>
      <c r="FG167" s="64" t="e">
        <f>#REF!</f>
        <v>#REF!</v>
      </c>
      <c r="FH167" s="64" t="e">
        <f>#REF!</f>
        <v>#REF!</v>
      </c>
      <c r="FI167" s="64" t="e">
        <f>#REF!</f>
        <v>#REF!</v>
      </c>
    </row>
    <row r="168" spans="16:165" ht="15" customHeight="1" x14ac:dyDescent="0.15">
      <c r="FB168" s="63">
        <v>3</v>
      </c>
      <c r="FC168" s="64">
        <v>10</v>
      </c>
      <c r="FD168" s="64" t="e">
        <f>#REF!</f>
        <v>#REF!</v>
      </c>
      <c r="FE168" s="64" t="e">
        <f>#REF!</f>
        <v>#REF!</v>
      </c>
      <c r="FF168" s="64" t="e">
        <f>#REF!</f>
        <v>#REF!</v>
      </c>
      <c r="FG168" s="64" t="e">
        <f>#REF!</f>
        <v>#REF!</v>
      </c>
      <c r="FH168" s="64" t="e">
        <f>#REF!</f>
        <v>#REF!</v>
      </c>
      <c r="FI168" s="64" t="e">
        <f>#REF!</f>
        <v>#REF!</v>
      </c>
    </row>
    <row r="169" spans="16:165" ht="15" customHeight="1" x14ac:dyDescent="0.15">
      <c r="FB169" s="63">
        <v>3</v>
      </c>
      <c r="FC169" s="64">
        <v>11</v>
      </c>
      <c r="FD169" s="64" t="e">
        <f>#REF!</f>
        <v>#REF!</v>
      </c>
      <c r="FE169" s="64" t="e">
        <f>#REF!</f>
        <v>#REF!</v>
      </c>
      <c r="FF169" s="64" t="e">
        <f>#REF!</f>
        <v>#REF!</v>
      </c>
      <c r="FG169" s="64" t="e">
        <f>#REF!</f>
        <v>#REF!</v>
      </c>
      <c r="FH169" s="64" t="e">
        <f>#REF!</f>
        <v>#REF!</v>
      </c>
      <c r="FI169" s="64" t="e">
        <f>#REF!</f>
        <v>#REF!</v>
      </c>
    </row>
    <row r="170" spans="16:165" ht="15" customHeight="1" x14ac:dyDescent="0.15">
      <c r="FB170" s="63">
        <v>3</v>
      </c>
      <c r="FC170" s="64">
        <v>12</v>
      </c>
      <c r="FD170" s="64" t="e">
        <f>#REF!</f>
        <v>#REF!</v>
      </c>
      <c r="FE170" s="64" t="e">
        <f>#REF!</f>
        <v>#REF!</v>
      </c>
      <c r="FF170" s="64" t="e">
        <f>#REF!</f>
        <v>#REF!</v>
      </c>
      <c r="FG170" s="64" t="e">
        <f>#REF!</f>
        <v>#REF!</v>
      </c>
      <c r="FH170" s="64" t="e">
        <f>#REF!</f>
        <v>#REF!</v>
      </c>
      <c r="FI170" s="64" t="e">
        <f>#REF!</f>
        <v>#REF!</v>
      </c>
    </row>
    <row r="171" spans="16:165" ht="15" customHeight="1" x14ac:dyDescent="0.15">
      <c r="FB171" s="63">
        <v>3</v>
      </c>
      <c r="FC171" s="64">
        <v>13</v>
      </c>
      <c r="FD171" s="64" t="e">
        <f>#REF!</f>
        <v>#REF!</v>
      </c>
      <c r="FE171" s="64" t="e">
        <f>#REF!</f>
        <v>#REF!</v>
      </c>
      <c r="FF171" s="64" t="e">
        <f>#REF!</f>
        <v>#REF!</v>
      </c>
      <c r="FG171" s="64" t="e">
        <f>#REF!</f>
        <v>#REF!</v>
      </c>
      <c r="FH171" s="64" t="e">
        <f>#REF!</f>
        <v>#REF!</v>
      </c>
      <c r="FI171" s="64" t="e">
        <f>#REF!</f>
        <v>#REF!</v>
      </c>
    </row>
    <row r="172" spans="16:165" ht="15" customHeight="1" x14ac:dyDescent="0.15">
      <c r="FB172" s="63">
        <v>3</v>
      </c>
      <c r="FC172" s="64">
        <v>14</v>
      </c>
      <c r="FD172" s="64" t="e">
        <f>#REF!</f>
        <v>#REF!</v>
      </c>
      <c r="FE172" s="64" t="e">
        <f>#REF!</f>
        <v>#REF!</v>
      </c>
      <c r="FF172" s="64" t="e">
        <f>#REF!</f>
        <v>#REF!</v>
      </c>
      <c r="FG172" s="64" t="e">
        <f>#REF!</f>
        <v>#REF!</v>
      </c>
      <c r="FH172" s="64" t="e">
        <f>#REF!</f>
        <v>#REF!</v>
      </c>
      <c r="FI172" s="64" t="e">
        <f>#REF!</f>
        <v>#REF!</v>
      </c>
    </row>
    <row r="173" spans="16:165" ht="15" customHeight="1" x14ac:dyDescent="0.15">
      <c r="P173" s="30"/>
      <c r="Q173" s="30"/>
      <c r="R173" s="30"/>
      <c r="S173" s="30"/>
      <c r="T173" s="30"/>
      <c r="U173" s="30"/>
      <c r="V173" s="30"/>
      <c r="W173" s="30"/>
      <c r="FB173" s="63">
        <v>3</v>
      </c>
      <c r="FC173" s="64">
        <v>15</v>
      </c>
      <c r="FD173" s="64" t="e">
        <f>#REF!</f>
        <v>#REF!</v>
      </c>
      <c r="FE173" s="64" t="e">
        <f>#REF!</f>
        <v>#REF!</v>
      </c>
      <c r="FF173" s="64" t="e">
        <f>#REF!</f>
        <v>#REF!</v>
      </c>
      <c r="FG173" s="64" t="e">
        <f>#REF!</f>
        <v>#REF!</v>
      </c>
      <c r="FH173" s="64" t="e">
        <f>#REF!</f>
        <v>#REF!</v>
      </c>
      <c r="FI173" s="64" t="e">
        <f>#REF!</f>
        <v>#REF!</v>
      </c>
    </row>
    <row r="174" spans="16:165" ht="15" customHeight="1" x14ac:dyDescent="0.15">
      <c r="P174" s="30">
        <v>0</v>
      </c>
      <c r="Q174" s="30">
        <v>15</v>
      </c>
      <c r="R174" s="30">
        <v>32</v>
      </c>
      <c r="S174" s="30">
        <v>117</v>
      </c>
      <c r="T174" s="30">
        <v>41</v>
      </c>
      <c r="U174" s="30">
        <v>124</v>
      </c>
      <c r="V174" s="30"/>
      <c r="W174" s="30"/>
      <c r="FB174" s="63">
        <v>3</v>
      </c>
      <c r="FC174" s="64">
        <v>16</v>
      </c>
      <c r="FD174" s="64" t="e">
        <f>#REF!</f>
        <v>#REF!</v>
      </c>
      <c r="FE174" s="64" t="e">
        <f>#REF!</f>
        <v>#REF!</v>
      </c>
      <c r="FF174" s="64" t="e">
        <f>#REF!</f>
        <v>#REF!</v>
      </c>
      <c r="FG174" s="64" t="e">
        <f>#REF!</f>
        <v>#REF!</v>
      </c>
      <c r="FH174" s="64" t="e">
        <f>#REF!</f>
        <v>#REF!</v>
      </c>
      <c r="FI174" s="64" t="e">
        <f>#REF!</f>
        <v>#REF!</v>
      </c>
    </row>
    <row r="175" spans="16:165" ht="15" customHeight="1" x14ac:dyDescent="0.15">
      <c r="P175" s="30"/>
      <c r="Q175" s="30"/>
      <c r="R175" s="30"/>
      <c r="S175" s="30"/>
      <c r="T175" s="30"/>
      <c r="U175" s="30"/>
      <c r="V175" s="30"/>
      <c r="W175" s="30"/>
      <c r="FB175" s="63">
        <v>3</v>
      </c>
      <c r="FC175" s="64">
        <v>17</v>
      </c>
      <c r="FD175" s="64" t="e">
        <f>#REF!</f>
        <v>#REF!</v>
      </c>
      <c r="FE175" s="64" t="e">
        <f>#REF!</f>
        <v>#REF!</v>
      </c>
      <c r="FF175" s="64" t="e">
        <f>#REF!</f>
        <v>#REF!</v>
      </c>
      <c r="FG175" s="64" t="e">
        <f>#REF!</f>
        <v>#REF!</v>
      </c>
      <c r="FH175" s="64" t="e">
        <f>#REF!</f>
        <v>#REF!</v>
      </c>
      <c r="FI175" s="64" t="e">
        <f>#REF!</f>
        <v>#REF!</v>
      </c>
    </row>
    <row r="176" spans="16:165" ht="15" customHeight="1" x14ac:dyDescent="0.15">
      <c r="P176" s="30" t="s">
        <v>91</v>
      </c>
      <c r="Q176" s="30"/>
      <c r="R176" s="30"/>
      <c r="S176" s="30"/>
      <c r="T176" s="30"/>
      <c r="U176" s="30"/>
      <c r="V176" s="30"/>
      <c r="W176" s="30"/>
      <c r="FB176" s="63">
        <v>3</v>
      </c>
      <c r="FC176" s="64">
        <v>18</v>
      </c>
      <c r="FD176" s="64" t="e">
        <f>#REF!</f>
        <v>#REF!</v>
      </c>
      <c r="FE176" s="64" t="e">
        <f>#REF!</f>
        <v>#REF!</v>
      </c>
      <c r="FF176" s="64" t="e">
        <f>#REF!</f>
        <v>#REF!</v>
      </c>
      <c r="FG176" s="64" t="e">
        <f>#REF!</f>
        <v>#REF!</v>
      </c>
      <c r="FH176" s="64" t="e">
        <f>#REF!</f>
        <v>#REF!</v>
      </c>
      <c r="FI176" s="64" t="e">
        <f>#REF!</f>
        <v>#REF!</v>
      </c>
    </row>
    <row r="177" spans="1:165" ht="15" customHeight="1" x14ac:dyDescent="0.15"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FB177" s="63">
        <v>3</v>
      </c>
      <c r="FC177" s="64">
        <v>19</v>
      </c>
      <c r="FD177" s="64" t="e">
        <f>#REF!</f>
        <v>#REF!</v>
      </c>
      <c r="FE177" s="64" t="e">
        <f>#REF!</f>
        <v>#REF!</v>
      </c>
      <c r="FF177" s="64" t="e">
        <f>#REF!</f>
        <v>#REF!</v>
      </c>
      <c r="FG177" s="64" t="e">
        <f>#REF!</f>
        <v>#REF!</v>
      </c>
      <c r="FH177" s="64" t="e">
        <f>#REF!</f>
        <v>#REF!</v>
      </c>
      <c r="FI177" s="64" t="e">
        <f>#REF!</f>
        <v>#REF!</v>
      </c>
    </row>
    <row r="178" spans="1:165" ht="15" customHeight="1" x14ac:dyDescent="0.15">
      <c r="A178" s="29"/>
      <c r="P178" s="30"/>
      <c r="Q178" s="30"/>
      <c r="R178" s="30"/>
      <c r="S178" s="30"/>
      <c r="T178" s="30"/>
      <c r="U178" s="30"/>
      <c r="FB178" s="63">
        <v>3</v>
      </c>
      <c r="FC178" s="64">
        <v>20</v>
      </c>
      <c r="FD178" s="64" t="e">
        <f>#REF!</f>
        <v>#REF!</v>
      </c>
      <c r="FE178" s="64" t="e">
        <f>#REF!</f>
        <v>#REF!</v>
      </c>
      <c r="FF178" s="64" t="e">
        <f>#REF!</f>
        <v>#REF!</v>
      </c>
      <c r="FG178" s="64" t="e">
        <f>#REF!</f>
        <v>#REF!</v>
      </c>
      <c r="FH178" s="64" t="e">
        <f>#REF!</f>
        <v>#REF!</v>
      </c>
      <c r="FI178" s="64" t="e">
        <f>#REF!</f>
        <v>#REF!</v>
      </c>
    </row>
    <row r="179" spans="1:165" ht="15" customHeight="1" x14ac:dyDescent="0.15">
      <c r="P179" s="30"/>
      <c r="Q179" s="2"/>
      <c r="R179" s="2"/>
      <c r="S179" s="2"/>
      <c r="FB179" s="63">
        <v>3</v>
      </c>
      <c r="FC179" s="64">
        <v>21</v>
      </c>
      <c r="FD179" s="64" t="e">
        <f>#REF!</f>
        <v>#REF!</v>
      </c>
      <c r="FE179" s="64" t="e">
        <f>#REF!</f>
        <v>#REF!</v>
      </c>
      <c r="FF179" s="64" t="e">
        <f>#REF!</f>
        <v>#REF!</v>
      </c>
      <c r="FG179" s="64" t="e">
        <f>#REF!</f>
        <v>#REF!</v>
      </c>
      <c r="FH179" s="64" t="e">
        <f>#REF!</f>
        <v>#REF!</v>
      </c>
      <c r="FI179" s="64" t="e">
        <f>#REF!</f>
        <v>#REF!</v>
      </c>
    </row>
    <row r="180" spans="1:165" ht="15" customHeight="1" x14ac:dyDescent="0.15">
      <c r="FB180" s="63">
        <v>3</v>
      </c>
      <c r="FC180" s="64">
        <v>22</v>
      </c>
      <c r="FD180" s="64" t="e">
        <f>#REF!</f>
        <v>#REF!</v>
      </c>
      <c r="FE180" s="64" t="e">
        <f>#REF!</f>
        <v>#REF!</v>
      </c>
      <c r="FF180" s="64" t="e">
        <f>#REF!</f>
        <v>#REF!</v>
      </c>
      <c r="FG180" s="64" t="e">
        <f>#REF!</f>
        <v>#REF!</v>
      </c>
      <c r="FH180" s="64" t="e">
        <f>#REF!</f>
        <v>#REF!</v>
      </c>
      <c r="FI180" s="64" t="e">
        <f>#REF!</f>
        <v>#REF!</v>
      </c>
    </row>
    <row r="181" spans="1:165" ht="15" customHeight="1" x14ac:dyDescent="0.15">
      <c r="FB181" s="63">
        <v>3</v>
      </c>
      <c r="FC181" s="64">
        <v>23</v>
      </c>
      <c r="FD181" s="64" t="e">
        <f>#REF!</f>
        <v>#REF!</v>
      </c>
      <c r="FE181" s="64" t="e">
        <f>#REF!</f>
        <v>#REF!</v>
      </c>
      <c r="FF181" s="64" t="e">
        <f>#REF!</f>
        <v>#REF!</v>
      </c>
      <c r="FG181" s="64" t="e">
        <f>#REF!</f>
        <v>#REF!</v>
      </c>
      <c r="FH181" s="64" t="e">
        <f>#REF!</f>
        <v>#REF!</v>
      </c>
      <c r="FI181" s="64" t="e">
        <f>#REF!</f>
        <v>#REF!</v>
      </c>
    </row>
    <row r="182" spans="1:165" ht="15" customHeight="1" x14ac:dyDescent="0.15">
      <c r="FB182" s="63"/>
      <c r="FC182" s="64"/>
      <c r="FD182" s="64"/>
      <c r="FE182" s="64"/>
      <c r="FF182" s="64"/>
      <c r="FG182" s="64"/>
      <c r="FH182" s="64"/>
      <c r="FI182" s="64"/>
    </row>
    <row r="183" spans="1:165" ht="15" customHeight="1" x14ac:dyDescent="0.15">
      <c r="FB183" s="63"/>
      <c r="FC183" s="64"/>
      <c r="FD183" s="64"/>
      <c r="FE183" s="64"/>
      <c r="FF183" s="64"/>
      <c r="FG183" s="64"/>
      <c r="FH183" s="64"/>
      <c r="FI183" s="64"/>
    </row>
    <row r="184" spans="1:165" ht="15" customHeight="1" x14ac:dyDescent="0.15">
      <c r="FB184" s="63"/>
      <c r="FC184" s="64"/>
      <c r="FD184" s="64"/>
      <c r="FE184" s="64"/>
      <c r="FF184" s="64"/>
      <c r="FG184" s="64"/>
      <c r="FH184" s="64"/>
      <c r="FI184" s="64"/>
    </row>
    <row r="185" spans="1:165" ht="15" customHeight="1" x14ac:dyDescent="0.15">
      <c r="FB185" s="63"/>
      <c r="FC185" s="64"/>
      <c r="FD185" s="64"/>
      <c r="FE185" s="64"/>
      <c r="FF185" s="64"/>
      <c r="FG185" s="64"/>
      <c r="FH185" s="64"/>
      <c r="FI185" s="64"/>
    </row>
    <row r="186" spans="1:165" ht="15" customHeight="1" x14ac:dyDescent="0.15">
      <c r="FB186" s="63"/>
      <c r="FC186" s="64"/>
      <c r="FD186" s="64"/>
      <c r="FE186" s="64"/>
      <c r="FF186" s="64"/>
      <c r="FG186" s="64"/>
      <c r="FH186" s="64"/>
      <c r="FI186" s="64"/>
    </row>
    <row r="187" spans="1:165" ht="15" customHeight="1" x14ac:dyDescent="0.15">
      <c r="FB187" s="63"/>
      <c r="FC187" s="64"/>
      <c r="FD187" s="64"/>
      <c r="FE187" s="64"/>
      <c r="FF187" s="64"/>
      <c r="FG187" s="64"/>
      <c r="FH187" s="64"/>
      <c r="FI187" s="64"/>
    </row>
    <row r="188" spans="1:165" ht="15" customHeight="1" x14ac:dyDescent="0.15">
      <c r="FB188" s="63"/>
      <c r="FC188" s="64"/>
      <c r="FD188" s="64"/>
      <c r="FE188" s="64"/>
      <c r="FF188" s="64"/>
      <c r="FG188" s="64"/>
      <c r="FH188" s="64"/>
      <c r="FI188" s="64"/>
    </row>
    <row r="189" spans="1:165" ht="15" customHeight="1" x14ac:dyDescent="0.15">
      <c r="FB189" s="63"/>
      <c r="FC189" s="64"/>
      <c r="FD189" s="64"/>
      <c r="FE189" s="64"/>
      <c r="FF189" s="64"/>
      <c r="FG189" s="64"/>
      <c r="FH189" s="64"/>
      <c r="FI189" s="64"/>
    </row>
    <row r="190" spans="1:165" ht="15" customHeight="1" x14ac:dyDescent="0.15">
      <c r="FB190" s="63"/>
      <c r="FC190" s="64"/>
      <c r="FD190" s="64"/>
      <c r="FE190" s="64"/>
      <c r="FF190" s="64"/>
      <c r="FG190" s="64"/>
      <c r="FH190" s="64"/>
      <c r="FI190" s="64"/>
    </row>
    <row r="191" spans="1:165" ht="15" customHeight="1" x14ac:dyDescent="0.15">
      <c r="FB191" s="63"/>
      <c r="FC191" s="64"/>
      <c r="FD191" s="64"/>
      <c r="FE191" s="64"/>
      <c r="FF191" s="64"/>
      <c r="FG191" s="64"/>
      <c r="FH191" s="64"/>
      <c r="FI191" s="64"/>
    </row>
    <row r="192" spans="1:165" ht="15" customHeight="1" x14ac:dyDescent="0.15">
      <c r="FB192" s="63"/>
      <c r="FC192" s="64"/>
      <c r="FD192" s="64"/>
      <c r="FE192" s="64"/>
      <c r="FF192" s="64"/>
      <c r="FG192" s="64"/>
      <c r="FH192" s="64"/>
      <c r="FI192" s="64"/>
    </row>
    <row r="193" spans="84:165" ht="15" customHeight="1" x14ac:dyDescent="0.15">
      <c r="FB193" s="63"/>
      <c r="FC193" s="64"/>
      <c r="FD193" s="64"/>
      <c r="FE193" s="64"/>
      <c r="FF193" s="64"/>
      <c r="FG193" s="64"/>
      <c r="FH193" s="64"/>
      <c r="FI193" s="64"/>
    </row>
    <row r="194" spans="84:165" ht="15" customHeight="1" x14ac:dyDescent="0.15">
      <c r="FB194" s="63"/>
      <c r="FC194" s="64"/>
      <c r="FD194" s="64"/>
      <c r="FE194" s="64"/>
      <c r="FF194" s="64"/>
      <c r="FG194" s="64"/>
      <c r="FH194" s="64"/>
      <c r="FI194" s="64"/>
    </row>
    <row r="195" spans="84:165" ht="15" customHeight="1" x14ac:dyDescent="0.15">
      <c r="FB195" s="63"/>
      <c r="FC195" s="64"/>
      <c r="FD195" s="64"/>
      <c r="FE195" s="64"/>
      <c r="FF195" s="64"/>
      <c r="FG195" s="64"/>
      <c r="FH195" s="64"/>
      <c r="FI195" s="64"/>
    </row>
    <row r="196" spans="84:165" ht="15" customHeight="1" x14ac:dyDescent="0.15">
      <c r="FB196" s="63"/>
      <c r="FC196" s="64"/>
      <c r="FD196" s="64"/>
      <c r="FE196" s="64"/>
      <c r="FF196" s="64"/>
      <c r="FG196" s="64"/>
      <c r="FH196" s="64"/>
      <c r="FI196" s="64"/>
    </row>
    <row r="197" spans="84:165" ht="15" customHeight="1" x14ac:dyDescent="0.15">
      <c r="FB197" s="63"/>
      <c r="FC197" s="64"/>
      <c r="FD197" s="64"/>
      <c r="FE197" s="64"/>
      <c r="FF197" s="64"/>
      <c r="FG197" s="64"/>
      <c r="FH197" s="64"/>
      <c r="FI197" s="64"/>
    </row>
    <row r="198" spans="84:165" ht="15" customHeight="1" x14ac:dyDescent="0.15">
      <c r="FB198" s="63"/>
      <c r="FC198" s="64"/>
      <c r="FD198" s="64"/>
      <c r="FE198" s="64"/>
      <c r="FF198" s="64"/>
      <c r="FG198" s="64"/>
      <c r="FH198" s="64"/>
      <c r="FI198" s="64"/>
    </row>
    <row r="199" spans="84:165" ht="15" customHeight="1" x14ac:dyDescent="0.15">
      <c r="FB199" s="63"/>
      <c r="FC199" s="64"/>
      <c r="FD199" s="64"/>
      <c r="FE199" s="64"/>
      <c r="FF199" s="64"/>
      <c r="FG199" s="64"/>
      <c r="FH199" s="64"/>
      <c r="FI199" s="64"/>
    </row>
    <row r="200" spans="84:165" ht="15" customHeight="1" x14ac:dyDescent="0.15">
      <c r="FB200" s="63"/>
      <c r="FC200" s="64"/>
      <c r="FD200" s="64"/>
      <c r="FE200" s="64"/>
      <c r="FF200" s="64"/>
      <c r="FG200" s="64"/>
      <c r="FH200" s="64"/>
      <c r="FI200" s="64"/>
    </row>
    <row r="201" spans="84:165" ht="15" customHeight="1" x14ac:dyDescent="0.15">
      <c r="CF201" s="61"/>
      <c r="FB201" s="63"/>
      <c r="FC201" s="64"/>
      <c r="FD201" s="64"/>
      <c r="FE201" s="64"/>
      <c r="FF201" s="64"/>
      <c r="FG201" s="64"/>
      <c r="FH201" s="64"/>
      <c r="FI201" s="64"/>
    </row>
    <row r="202" spans="84:165" ht="15" customHeight="1" x14ac:dyDescent="0.15">
      <c r="FB202" s="63"/>
      <c r="FC202" s="64"/>
      <c r="FD202" s="64"/>
      <c r="FE202" s="64"/>
      <c r="FF202" s="64"/>
      <c r="FG202" s="64"/>
      <c r="FH202" s="64"/>
      <c r="FI202" s="64"/>
    </row>
    <row r="203" spans="84:165" ht="15" customHeight="1" x14ac:dyDescent="0.15">
      <c r="FB203" s="63"/>
      <c r="FC203" s="64"/>
      <c r="FD203" s="64"/>
      <c r="FE203" s="64"/>
      <c r="FF203" s="64"/>
      <c r="FG203" s="64"/>
      <c r="FH203" s="64"/>
      <c r="FI203" s="64"/>
    </row>
    <row r="204" spans="84:165" ht="15" customHeight="1" x14ac:dyDescent="0.15">
      <c r="FB204" s="63"/>
      <c r="FC204" s="64"/>
      <c r="FD204" s="64"/>
      <c r="FE204" s="64"/>
      <c r="FF204" s="64"/>
      <c r="FG204" s="64"/>
      <c r="FH204" s="64"/>
      <c r="FI204" s="64"/>
    </row>
    <row r="205" spans="84:165" ht="15" customHeight="1" x14ac:dyDescent="0.15">
      <c r="FB205" s="63"/>
      <c r="FC205" s="64"/>
      <c r="FD205" s="64"/>
      <c r="FE205" s="64"/>
      <c r="FF205" s="64"/>
      <c r="FG205" s="64"/>
      <c r="FH205" s="64"/>
      <c r="FI205" s="64"/>
    </row>
    <row r="206" spans="84:165" ht="15" customHeight="1" x14ac:dyDescent="0.15">
      <c r="FB206" s="63"/>
      <c r="FC206" s="64"/>
      <c r="FD206" s="64"/>
      <c r="FE206" s="64"/>
      <c r="FF206" s="64"/>
      <c r="FG206" s="64"/>
      <c r="FH206" s="64"/>
      <c r="FI206" s="64"/>
    </row>
    <row r="207" spans="84:165" ht="15" customHeight="1" x14ac:dyDescent="0.15">
      <c r="FB207" s="63"/>
      <c r="FC207" s="64"/>
      <c r="FD207" s="64"/>
      <c r="FE207" s="64"/>
      <c r="FF207" s="64"/>
      <c r="FG207" s="64"/>
      <c r="FH207" s="64"/>
      <c r="FI207" s="64"/>
    </row>
    <row r="208" spans="84:165" ht="15" customHeight="1" x14ac:dyDescent="0.15">
      <c r="FB208" s="63"/>
      <c r="FC208" s="64"/>
      <c r="FD208" s="64"/>
      <c r="FE208" s="64"/>
      <c r="FF208" s="64"/>
      <c r="FG208" s="64"/>
      <c r="FH208" s="64"/>
      <c r="FI208" s="64"/>
    </row>
    <row r="209" spans="158:165" ht="15" customHeight="1" x14ac:dyDescent="0.15">
      <c r="FB209" s="63"/>
      <c r="FC209" s="64"/>
      <c r="FD209" s="64"/>
      <c r="FE209" s="64"/>
      <c r="FF209" s="64"/>
      <c r="FG209" s="64"/>
      <c r="FH209" s="64"/>
      <c r="FI209" s="64"/>
    </row>
    <row r="210" spans="158:165" ht="15" customHeight="1" x14ac:dyDescent="0.15">
      <c r="FB210" s="63"/>
      <c r="FC210" s="64"/>
      <c r="FD210" s="64"/>
      <c r="FE210" s="64"/>
      <c r="FF210" s="64"/>
      <c r="FG210" s="64"/>
      <c r="FH210" s="64"/>
      <c r="FI210" s="64"/>
    </row>
    <row r="211" spans="158:165" ht="15" customHeight="1" x14ac:dyDescent="0.15">
      <c r="FB211" s="63"/>
      <c r="FC211" s="64"/>
      <c r="FD211" s="64"/>
      <c r="FE211" s="64"/>
      <c r="FF211" s="64"/>
      <c r="FG211" s="64"/>
      <c r="FH211" s="64"/>
      <c r="FI211" s="64"/>
    </row>
    <row r="212" spans="158:165" ht="15" customHeight="1" x14ac:dyDescent="0.15">
      <c r="FB212" s="63"/>
      <c r="FC212" s="64"/>
      <c r="FD212" s="64"/>
      <c r="FE212" s="64"/>
      <c r="FF212" s="64"/>
      <c r="FG212" s="64"/>
      <c r="FH212" s="64"/>
      <c r="FI212" s="64"/>
    </row>
    <row r="213" spans="158:165" ht="15" customHeight="1" x14ac:dyDescent="0.15">
      <c r="FB213" s="63"/>
      <c r="FC213" s="64"/>
      <c r="FD213" s="64"/>
      <c r="FE213" s="64"/>
      <c r="FF213" s="64"/>
      <c r="FG213" s="64"/>
      <c r="FH213" s="64"/>
      <c r="FI213" s="64"/>
    </row>
    <row r="214" spans="158:165" ht="15" customHeight="1" x14ac:dyDescent="0.15">
      <c r="FB214" s="63"/>
      <c r="FC214" s="64"/>
      <c r="FD214" s="64"/>
      <c r="FE214" s="64"/>
      <c r="FF214" s="64"/>
      <c r="FG214" s="64"/>
      <c r="FH214" s="64"/>
      <c r="FI214" s="64"/>
    </row>
    <row r="215" spans="158:165" ht="15" customHeight="1" x14ac:dyDescent="0.15">
      <c r="FB215" s="63"/>
      <c r="FC215" s="64"/>
      <c r="FD215" s="64"/>
      <c r="FE215" s="64"/>
      <c r="FF215" s="64"/>
      <c r="FG215" s="64"/>
      <c r="FH215" s="64"/>
      <c r="FI215" s="64"/>
    </row>
    <row r="216" spans="158:165" ht="15" customHeight="1" x14ac:dyDescent="0.15">
      <c r="FB216" s="63"/>
      <c r="FC216" s="64"/>
      <c r="FD216" s="64"/>
      <c r="FE216" s="64"/>
      <c r="FF216" s="64"/>
      <c r="FG216" s="64"/>
      <c r="FH216" s="64"/>
      <c r="FI216" s="64"/>
    </row>
    <row r="217" spans="158:165" ht="15" customHeight="1" x14ac:dyDescent="0.15">
      <c r="FB217" s="63"/>
      <c r="FC217" s="64"/>
      <c r="FD217" s="64"/>
      <c r="FE217" s="64"/>
      <c r="FF217" s="64"/>
      <c r="FG217" s="64"/>
      <c r="FH217" s="64"/>
      <c r="FI217" s="64"/>
    </row>
    <row r="218" spans="158:165" ht="15" customHeight="1" x14ac:dyDescent="0.15">
      <c r="FB218" s="63"/>
      <c r="FC218" s="64"/>
      <c r="FD218" s="64"/>
      <c r="FE218" s="64"/>
      <c r="FF218" s="64"/>
      <c r="FG218" s="64"/>
      <c r="FH218" s="64"/>
      <c r="FI218" s="64"/>
    </row>
    <row r="219" spans="158:165" ht="15" customHeight="1" x14ac:dyDescent="0.15">
      <c r="FB219" s="63"/>
      <c r="FC219" s="64"/>
      <c r="FD219" s="64"/>
      <c r="FE219" s="64"/>
      <c r="FF219" s="64"/>
      <c r="FG219" s="64"/>
      <c r="FH219" s="64"/>
      <c r="FI219" s="64"/>
    </row>
    <row r="220" spans="158:165" ht="15" customHeight="1" x14ac:dyDescent="0.15">
      <c r="FB220" s="63"/>
      <c r="FC220" s="64"/>
      <c r="FD220" s="64"/>
      <c r="FE220" s="64"/>
      <c r="FF220" s="64"/>
      <c r="FG220" s="64"/>
      <c r="FH220" s="64"/>
      <c r="FI220" s="64"/>
    </row>
    <row r="221" spans="158:165" ht="15" customHeight="1" x14ac:dyDescent="0.15">
      <c r="FB221" s="63"/>
      <c r="FC221" s="64"/>
      <c r="FD221" s="64"/>
      <c r="FE221" s="64"/>
      <c r="FF221" s="64"/>
      <c r="FG221" s="64"/>
      <c r="FH221" s="64"/>
      <c r="FI221" s="64"/>
    </row>
    <row r="222" spans="158:165" ht="15" customHeight="1" x14ac:dyDescent="0.15">
      <c r="FB222" s="63"/>
      <c r="FC222" s="64"/>
      <c r="FD222" s="64"/>
      <c r="FE222" s="64"/>
      <c r="FF222" s="64"/>
      <c r="FG222" s="64"/>
      <c r="FH222" s="64"/>
      <c r="FI222" s="64"/>
    </row>
    <row r="223" spans="158:165" ht="15" customHeight="1" x14ac:dyDescent="0.15">
      <c r="FB223" s="63"/>
      <c r="FC223" s="64"/>
      <c r="FD223" s="64"/>
      <c r="FE223" s="64"/>
      <c r="FF223" s="64"/>
      <c r="FG223" s="64"/>
      <c r="FH223" s="64"/>
      <c r="FI223" s="64"/>
    </row>
    <row r="224" spans="158:165" ht="15" customHeight="1" x14ac:dyDescent="0.15">
      <c r="FB224" s="63"/>
      <c r="FC224" s="64"/>
      <c r="FD224" s="64"/>
      <c r="FE224" s="64"/>
      <c r="FF224" s="64"/>
      <c r="FG224" s="64"/>
      <c r="FH224" s="64"/>
      <c r="FI224" s="64"/>
    </row>
    <row r="225" spans="158:165" ht="15" customHeight="1" x14ac:dyDescent="0.15">
      <c r="FB225" s="63"/>
      <c r="FC225" s="64"/>
      <c r="FD225" s="64"/>
      <c r="FE225" s="64"/>
      <c r="FF225" s="64"/>
      <c r="FG225" s="64"/>
      <c r="FH225" s="64"/>
      <c r="FI225" s="64"/>
    </row>
    <row r="226" spans="158:165" ht="15" customHeight="1" x14ac:dyDescent="0.15">
      <c r="FB226" s="63"/>
      <c r="FC226" s="64"/>
      <c r="FD226" s="64"/>
      <c r="FE226" s="64"/>
      <c r="FF226" s="64"/>
      <c r="FG226" s="64"/>
      <c r="FH226" s="64"/>
      <c r="FI226" s="64"/>
    </row>
    <row r="227" spans="158:165" ht="15" customHeight="1" x14ac:dyDescent="0.15">
      <c r="FB227" s="63"/>
      <c r="FC227" s="64"/>
      <c r="FD227" s="64"/>
      <c r="FE227" s="64"/>
      <c r="FF227" s="64"/>
      <c r="FG227" s="64"/>
      <c r="FH227" s="64"/>
      <c r="FI227" s="64"/>
    </row>
    <row r="228" spans="158:165" ht="15" customHeight="1" x14ac:dyDescent="0.15">
      <c r="FB228" s="63"/>
      <c r="FC228" s="64"/>
      <c r="FD228" s="64"/>
      <c r="FE228" s="64"/>
      <c r="FF228" s="64"/>
      <c r="FG228" s="64"/>
      <c r="FH228" s="64"/>
      <c r="FI228" s="64"/>
    </row>
    <row r="229" spans="158:165" ht="15" customHeight="1" x14ac:dyDescent="0.15">
      <c r="FB229" s="63"/>
      <c r="FC229" s="64"/>
      <c r="FD229" s="64"/>
      <c r="FE229" s="64"/>
      <c r="FF229" s="64"/>
      <c r="FG229" s="64"/>
      <c r="FH229" s="64"/>
      <c r="FI229" s="64"/>
    </row>
    <row r="230" spans="158:165" ht="15" customHeight="1" x14ac:dyDescent="0.15">
      <c r="FB230" s="63"/>
      <c r="FC230" s="64"/>
      <c r="FD230" s="64"/>
      <c r="FE230" s="64"/>
      <c r="FF230" s="64"/>
      <c r="FG230" s="64"/>
      <c r="FH230" s="64"/>
      <c r="FI230" s="64"/>
    </row>
    <row r="231" spans="158:165" ht="15" customHeight="1" x14ac:dyDescent="0.15">
      <c r="FB231" s="63"/>
      <c r="FC231" s="64"/>
      <c r="FD231" s="64"/>
      <c r="FE231" s="64"/>
      <c r="FF231" s="64"/>
      <c r="FG231" s="64"/>
      <c r="FH231" s="64"/>
      <c r="FI231" s="64"/>
    </row>
    <row r="232" spans="158:165" ht="15" customHeight="1" x14ac:dyDescent="0.15">
      <c r="FB232" s="63"/>
      <c r="FC232" s="64"/>
      <c r="FD232" s="64"/>
      <c r="FE232" s="64"/>
      <c r="FF232" s="64"/>
      <c r="FG232" s="64"/>
      <c r="FH232" s="64"/>
      <c r="FI232" s="64"/>
    </row>
    <row r="233" spans="158:165" ht="15" customHeight="1" x14ac:dyDescent="0.15">
      <c r="FB233" s="63"/>
      <c r="FC233" s="64"/>
      <c r="FD233" s="64"/>
      <c r="FE233" s="64"/>
      <c r="FF233" s="64"/>
      <c r="FG233" s="64"/>
      <c r="FH233" s="64"/>
      <c r="FI233" s="64"/>
    </row>
    <row r="234" spans="158:165" ht="15" customHeight="1" x14ac:dyDescent="0.15">
      <c r="FB234" s="63"/>
      <c r="FC234" s="64"/>
      <c r="FD234" s="64"/>
      <c r="FE234" s="64"/>
      <c r="FF234" s="64"/>
      <c r="FG234" s="64"/>
      <c r="FH234" s="64"/>
      <c r="FI234" s="64"/>
    </row>
    <row r="235" spans="158:165" ht="15" customHeight="1" x14ac:dyDescent="0.15">
      <c r="FB235" s="63"/>
      <c r="FC235" s="64"/>
      <c r="FD235" s="64"/>
      <c r="FE235" s="64"/>
      <c r="FF235" s="64"/>
      <c r="FG235" s="64"/>
      <c r="FH235" s="64"/>
      <c r="FI235" s="64"/>
    </row>
    <row r="236" spans="158:165" ht="15" customHeight="1" x14ac:dyDescent="0.15">
      <c r="FB236" s="63"/>
      <c r="FC236" s="64"/>
      <c r="FD236" s="64"/>
      <c r="FE236" s="64"/>
      <c r="FF236" s="64"/>
      <c r="FG236" s="64"/>
      <c r="FH236" s="64"/>
      <c r="FI236" s="64"/>
    </row>
    <row r="237" spans="158:165" ht="15" customHeight="1" x14ac:dyDescent="0.15">
      <c r="FB237" s="63"/>
      <c r="FC237" s="64"/>
      <c r="FD237" s="64"/>
      <c r="FE237" s="64"/>
      <c r="FF237" s="64"/>
      <c r="FG237" s="64"/>
      <c r="FH237" s="64"/>
      <c r="FI237" s="64"/>
    </row>
    <row r="238" spans="158:165" ht="15" customHeight="1" x14ac:dyDescent="0.15">
      <c r="FB238" s="63"/>
      <c r="FC238" s="64"/>
      <c r="FD238" s="64"/>
      <c r="FE238" s="64"/>
      <c r="FF238" s="64"/>
      <c r="FG238" s="64"/>
      <c r="FH238" s="64"/>
      <c r="FI238" s="64"/>
    </row>
    <row r="239" spans="158:165" ht="15" customHeight="1" x14ac:dyDescent="0.15">
      <c r="FB239" s="63"/>
      <c r="FC239" s="64"/>
      <c r="FD239" s="64"/>
      <c r="FE239" s="64"/>
      <c r="FF239" s="64"/>
      <c r="FG239" s="64"/>
      <c r="FH239" s="64"/>
      <c r="FI239" s="64"/>
    </row>
    <row r="240" spans="158:165" ht="15" customHeight="1" x14ac:dyDescent="0.15">
      <c r="FB240" s="63"/>
      <c r="FC240" s="64"/>
      <c r="FD240" s="64"/>
      <c r="FE240" s="64"/>
      <c r="FF240" s="64"/>
      <c r="FG240" s="64"/>
      <c r="FH240" s="64"/>
      <c r="FI240" s="64"/>
    </row>
    <row r="241" spans="158:165" ht="15" customHeight="1" x14ac:dyDescent="0.15">
      <c r="FB241" s="63"/>
      <c r="FC241" s="64"/>
      <c r="FD241" s="64"/>
      <c r="FE241" s="64"/>
      <c r="FF241" s="64"/>
      <c r="FG241" s="64"/>
      <c r="FH241" s="64"/>
      <c r="FI241" s="64"/>
    </row>
    <row r="242" spans="158:165" ht="15" customHeight="1" x14ac:dyDescent="0.15">
      <c r="FB242" s="63"/>
      <c r="FC242" s="64"/>
      <c r="FD242" s="64"/>
      <c r="FE242" s="64"/>
      <c r="FF242" s="64"/>
      <c r="FG242" s="64"/>
      <c r="FH242" s="64"/>
      <c r="FI242" s="64"/>
    </row>
    <row r="243" spans="158:165" ht="15" customHeight="1" x14ac:dyDescent="0.15">
      <c r="FB243" s="63"/>
      <c r="FC243" s="64"/>
      <c r="FD243" s="64"/>
      <c r="FE243" s="64"/>
      <c r="FF243" s="64"/>
      <c r="FG243" s="64"/>
      <c r="FH243" s="64"/>
      <c r="FI243" s="64"/>
    </row>
    <row r="244" spans="158:165" ht="15" customHeight="1" x14ac:dyDescent="0.15">
      <c r="FB244" s="63"/>
      <c r="FC244" s="64"/>
      <c r="FD244" s="64"/>
      <c r="FE244" s="64"/>
      <c r="FF244" s="64"/>
      <c r="FG244" s="64"/>
      <c r="FH244" s="64"/>
      <c r="FI244" s="64"/>
    </row>
    <row r="245" spans="158:165" ht="15" customHeight="1" x14ac:dyDescent="0.15">
      <c r="FB245" s="63"/>
      <c r="FC245" s="64"/>
      <c r="FD245" s="64"/>
      <c r="FE245" s="64"/>
      <c r="FF245" s="64"/>
      <c r="FG245" s="64"/>
      <c r="FH245" s="64"/>
      <c r="FI245" s="64"/>
    </row>
    <row r="246" spans="158:165" ht="15" customHeight="1" x14ac:dyDescent="0.15">
      <c r="FB246" s="63"/>
      <c r="FC246" s="64"/>
      <c r="FD246" s="64"/>
      <c r="FE246" s="64"/>
      <c r="FF246" s="64"/>
      <c r="FG246" s="64"/>
      <c r="FH246" s="64"/>
      <c r="FI246" s="64"/>
    </row>
    <row r="247" spans="158:165" ht="15" customHeight="1" x14ac:dyDescent="0.15">
      <c r="FB247" s="63"/>
      <c r="FC247" s="64"/>
      <c r="FD247" s="64"/>
      <c r="FE247" s="64"/>
      <c r="FF247" s="64"/>
      <c r="FG247" s="64"/>
      <c r="FH247" s="64"/>
      <c r="FI247" s="64"/>
    </row>
    <row r="248" spans="158:165" ht="15" customHeight="1" x14ac:dyDescent="0.15">
      <c r="FB248" s="63"/>
      <c r="FC248" s="64"/>
      <c r="FD248" s="64"/>
      <c r="FE248" s="64"/>
      <c r="FF248" s="64"/>
      <c r="FG248" s="64"/>
      <c r="FH248" s="64"/>
      <c r="FI248" s="64"/>
    </row>
    <row r="249" spans="158:165" ht="15" customHeight="1" x14ac:dyDescent="0.15">
      <c r="FB249" s="63"/>
      <c r="FC249" s="64"/>
      <c r="FD249" s="64"/>
      <c r="FE249" s="64"/>
      <c r="FF249" s="64"/>
      <c r="FG249" s="64"/>
      <c r="FH249" s="64"/>
      <c r="FI249" s="64"/>
    </row>
    <row r="250" spans="158:165" ht="15" customHeight="1" x14ac:dyDescent="0.15">
      <c r="FB250" s="63"/>
      <c r="FC250" s="64"/>
      <c r="FD250" s="64"/>
      <c r="FE250" s="64"/>
      <c r="FF250" s="64"/>
      <c r="FG250" s="64"/>
      <c r="FH250" s="64"/>
      <c r="FI250" s="64"/>
    </row>
    <row r="251" spans="158:165" ht="15" customHeight="1" x14ac:dyDescent="0.15">
      <c r="FB251" s="63"/>
      <c r="FC251" s="64"/>
      <c r="FD251" s="64"/>
      <c r="FE251" s="64"/>
      <c r="FF251" s="64"/>
      <c r="FG251" s="64"/>
      <c r="FH251" s="64"/>
      <c r="FI251" s="64"/>
    </row>
    <row r="252" spans="158:165" ht="15" customHeight="1" x14ac:dyDescent="0.15">
      <c r="FB252" s="63"/>
      <c r="FC252" s="64"/>
      <c r="FD252" s="64"/>
      <c r="FE252" s="64"/>
      <c r="FF252" s="64"/>
      <c r="FG252" s="64"/>
      <c r="FH252" s="64"/>
      <c r="FI252" s="64"/>
    </row>
    <row r="253" spans="158:165" ht="15" customHeight="1" x14ac:dyDescent="0.15">
      <c r="FB253" s="63"/>
      <c r="FC253" s="64"/>
      <c r="FD253" s="64"/>
      <c r="FE253" s="64"/>
      <c r="FF253" s="64"/>
      <c r="FG253" s="64"/>
      <c r="FH253" s="64"/>
      <c r="FI253" s="64"/>
    </row>
    <row r="254" spans="158:165" ht="15" customHeight="1" x14ac:dyDescent="0.15">
      <c r="FB254" s="63"/>
      <c r="FC254" s="64"/>
      <c r="FD254" s="64"/>
      <c r="FE254" s="64"/>
      <c r="FF254" s="64"/>
      <c r="FG254" s="64"/>
      <c r="FH254" s="64"/>
      <c r="FI254" s="64"/>
    </row>
    <row r="255" spans="158:165" ht="15" customHeight="1" x14ac:dyDescent="0.15">
      <c r="FB255" s="63"/>
      <c r="FC255" s="64"/>
      <c r="FD255" s="64"/>
      <c r="FE255" s="64"/>
      <c r="FF255" s="64"/>
      <c r="FG255" s="64"/>
      <c r="FH255" s="64"/>
      <c r="FI255" s="64"/>
    </row>
    <row r="256" spans="158:165" ht="15" customHeight="1" x14ac:dyDescent="0.15">
      <c r="FB256" s="63"/>
      <c r="FC256" s="64"/>
      <c r="FD256" s="64"/>
      <c r="FE256" s="64"/>
      <c r="FF256" s="64"/>
      <c r="FG256" s="64"/>
      <c r="FH256" s="64"/>
      <c r="FI256" s="64"/>
    </row>
    <row r="257" spans="158:165" ht="15" customHeight="1" x14ac:dyDescent="0.15">
      <c r="FB257" s="63"/>
      <c r="FC257" s="64"/>
      <c r="FD257" s="64"/>
      <c r="FE257" s="64"/>
      <c r="FF257" s="64"/>
      <c r="FG257" s="64"/>
      <c r="FH257" s="64"/>
      <c r="FI257" s="64"/>
    </row>
    <row r="258" spans="158:165" ht="15" customHeight="1" x14ac:dyDescent="0.15">
      <c r="FB258" s="63"/>
      <c r="FC258" s="64"/>
      <c r="FD258" s="64"/>
      <c r="FE258" s="64"/>
      <c r="FF258" s="64"/>
      <c r="FG258" s="64"/>
      <c r="FH258" s="64"/>
      <c r="FI258" s="64"/>
    </row>
    <row r="259" spans="158:165" ht="15" customHeight="1" x14ac:dyDescent="0.15">
      <c r="FB259" s="63"/>
      <c r="FC259" s="64"/>
      <c r="FD259" s="64"/>
      <c r="FE259" s="64"/>
      <c r="FF259" s="64"/>
      <c r="FG259" s="64"/>
      <c r="FH259" s="64"/>
      <c r="FI259" s="64"/>
    </row>
    <row r="260" spans="158:165" ht="15" customHeight="1" x14ac:dyDescent="0.15">
      <c r="FB260" s="63"/>
      <c r="FC260" s="64"/>
      <c r="FD260" s="64"/>
      <c r="FE260" s="64"/>
      <c r="FF260" s="64"/>
      <c r="FG260" s="64"/>
      <c r="FH260" s="64"/>
      <c r="FI260" s="64"/>
    </row>
    <row r="261" spans="158:165" ht="15" customHeight="1" x14ac:dyDescent="0.15">
      <c r="FB261" s="63"/>
      <c r="FC261" s="64"/>
      <c r="FD261" s="64"/>
      <c r="FE261" s="64"/>
      <c r="FF261" s="64"/>
      <c r="FG261" s="64"/>
      <c r="FH261" s="64"/>
      <c r="FI261" s="64"/>
    </row>
    <row r="262" spans="158:165" ht="15" customHeight="1" x14ac:dyDescent="0.15">
      <c r="FB262" s="63"/>
      <c r="FC262" s="64"/>
      <c r="FD262" s="64"/>
      <c r="FE262" s="64"/>
      <c r="FF262" s="64"/>
      <c r="FG262" s="64"/>
      <c r="FH262" s="64"/>
      <c r="FI262" s="64"/>
    </row>
    <row r="263" spans="158:165" ht="15" customHeight="1" x14ac:dyDescent="0.15">
      <c r="FB263" s="63"/>
      <c r="FC263" s="64"/>
      <c r="FD263" s="64"/>
      <c r="FE263" s="64"/>
      <c r="FF263" s="64"/>
      <c r="FG263" s="64"/>
      <c r="FH263" s="64"/>
      <c r="FI263" s="64"/>
    </row>
    <row r="264" spans="158:165" ht="15" customHeight="1" x14ac:dyDescent="0.15">
      <c r="FB264" s="63"/>
      <c r="FC264" s="64"/>
      <c r="FD264" s="64"/>
      <c r="FE264" s="64"/>
      <c r="FF264" s="64"/>
      <c r="FG264" s="64"/>
      <c r="FH264" s="64"/>
      <c r="FI264" s="64"/>
    </row>
    <row r="265" spans="158:165" ht="15" customHeight="1" x14ac:dyDescent="0.15">
      <c r="FB265" s="63"/>
      <c r="FC265" s="64"/>
      <c r="FD265" s="64"/>
      <c r="FE265" s="64"/>
      <c r="FF265" s="64"/>
      <c r="FG265" s="64"/>
      <c r="FH265" s="64"/>
      <c r="FI265" s="64"/>
    </row>
    <row r="266" spans="158:165" ht="15" customHeight="1" x14ac:dyDescent="0.15">
      <c r="FB266" s="63"/>
      <c r="FC266" s="64"/>
      <c r="FD266" s="64"/>
      <c r="FE266" s="64"/>
      <c r="FF266" s="64"/>
      <c r="FG266" s="64"/>
      <c r="FH266" s="64"/>
      <c r="FI266" s="64"/>
    </row>
    <row r="267" spans="158:165" ht="15" customHeight="1" x14ac:dyDescent="0.15">
      <c r="FB267" s="63"/>
      <c r="FC267" s="64"/>
      <c r="FD267" s="64"/>
      <c r="FE267" s="64"/>
      <c r="FF267" s="64"/>
      <c r="FG267" s="64"/>
      <c r="FH267" s="64"/>
      <c r="FI267" s="64"/>
    </row>
    <row r="268" spans="158:165" ht="15" customHeight="1" x14ac:dyDescent="0.15">
      <c r="FB268" s="63"/>
      <c r="FC268" s="64"/>
      <c r="FD268" s="64"/>
      <c r="FE268" s="64"/>
      <c r="FF268" s="64"/>
      <c r="FG268" s="64"/>
      <c r="FH268" s="64"/>
      <c r="FI268" s="64"/>
    </row>
    <row r="269" spans="158:165" ht="15" customHeight="1" x14ac:dyDescent="0.15">
      <c r="FB269" s="63"/>
      <c r="FC269" s="64"/>
      <c r="FD269" s="64"/>
      <c r="FE269" s="64"/>
      <c r="FF269" s="64"/>
      <c r="FG269" s="64"/>
      <c r="FH269" s="64"/>
      <c r="FI269" s="64"/>
    </row>
    <row r="270" spans="158:165" ht="15" customHeight="1" x14ac:dyDescent="0.15">
      <c r="FB270" s="63"/>
      <c r="FC270" s="64"/>
      <c r="FD270" s="64"/>
      <c r="FE270" s="64"/>
      <c r="FF270" s="64"/>
      <c r="FG270" s="64"/>
      <c r="FH270" s="64"/>
      <c r="FI270" s="64"/>
    </row>
    <row r="271" spans="158:165" ht="15" customHeight="1" x14ac:dyDescent="0.15">
      <c r="FB271" s="63"/>
      <c r="FC271" s="64"/>
      <c r="FD271" s="64"/>
      <c r="FE271" s="64"/>
      <c r="FF271" s="64"/>
      <c r="FG271" s="64"/>
      <c r="FH271" s="64"/>
      <c r="FI271" s="64"/>
    </row>
    <row r="272" spans="158:165" ht="15" customHeight="1" x14ac:dyDescent="0.15">
      <c r="FB272" s="63"/>
      <c r="FC272" s="64"/>
      <c r="FD272" s="64"/>
      <c r="FE272" s="64"/>
      <c r="FF272" s="64"/>
      <c r="FG272" s="64"/>
      <c r="FH272" s="64"/>
      <c r="FI272" s="64"/>
    </row>
    <row r="273" spans="158:165" ht="15" customHeight="1" x14ac:dyDescent="0.15">
      <c r="FB273" s="63"/>
      <c r="FC273" s="64"/>
      <c r="FD273" s="64"/>
      <c r="FE273" s="64"/>
      <c r="FF273" s="64"/>
      <c r="FG273" s="64"/>
      <c r="FH273" s="64"/>
      <c r="FI273" s="64"/>
    </row>
    <row r="274" spans="158:165" ht="15" customHeight="1" x14ac:dyDescent="0.15">
      <c r="FB274" s="63"/>
      <c r="FC274" s="64"/>
      <c r="FD274" s="64"/>
      <c r="FE274" s="64"/>
      <c r="FF274" s="64"/>
      <c r="FG274" s="64"/>
      <c r="FH274" s="64"/>
      <c r="FI274" s="64"/>
    </row>
    <row r="275" spans="158:165" ht="15" customHeight="1" x14ac:dyDescent="0.15">
      <c r="FB275" s="63"/>
      <c r="FC275" s="64"/>
      <c r="FD275" s="64"/>
      <c r="FE275" s="64"/>
      <c r="FF275" s="64"/>
      <c r="FG275" s="64"/>
      <c r="FH275" s="64"/>
      <c r="FI275" s="64"/>
    </row>
    <row r="276" spans="158:165" ht="15" customHeight="1" x14ac:dyDescent="0.15">
      <c r="FB276" s="63"/>
      <c r="FC276" s="64"/>
      <c r="FD276" s="64"/>
      <c r="FE276" s="64"/>
      <c r="FF276" s="64"/>
      <c r="FG276" s="64"/>
      <c r="FH276" s="64"/>
      <c r="FI276" s="64"/>
    </row>
    <row r="277" spans="158:165" ht="15" customHeight="1" x14ac:dyDescent="0.15">
      <c r="FB277" s="63"/>
      <c r="FC277" s="64"/>
      <c r="FD277" s="64"/>
      <c r="FE277" s="64"/>
      <c r="FF277" s="64"/>
      <c r="FG277" s="64"/>
      <c r="FH277" s="64"/>
      <c r="FI277" s="64"/>
    </row>
    <row r="278" spans="158:165" ht="15" customHeight="1" x14ac:dyDescent="0.15">
      <c r="FB278" s="63"/>
      <c r="FC278" s="64"/>
      <c r="FD278" s="64"/>
      <c r="FE278" s="64"/>
      <c r="FF278" s="64"/>
      <c r="FG278" s="64"/>
      <c r="FH278" s="64"/>
      <c r="FI278" s="64"/>
    </row>
    <row r="279" spans="158:165" ht="15" customHeight="1" x14ac:dyDescent="0.15">
      <c r="FB279" s="63"/>
      <c r="FC279" s="64"/>
      <c r="FD279" s="64"/>
      <c r="FE279" s="64"/>
      <c r="FF279" s="64"/>
      <c r="FG279" s="64"/>
      <c r="FH279" s="64"/>
      <c r="FI279" s="64"/>
    </row>
    <row r="280" spans="158:165" ht="15" customHeight="1" x14ac:dyDescent="0.15">
      <c r="FB280" s="63"/>
      <c r="FC280" s="64"/>
      <c r="FD280" s="64"/>
      <c r="FE280" s="64"/>
      <c r="FF280" s="64"/>
      <c r="FG280" s="64"/>
      <c r="FH280" s="64"/>
      <c r="FI280" s="64"/>
    </row>
    <row r="281" spans="158:165" ht="15" customHeight="1" x14ac:dyDescent="0.15">
      <c r="FB281" s="63"/>
      <c r="FC281" s="64"/>
      <c r="FD281" s="64"/>
      <c r="FE281" s="64"/>
      <c r="FF281" s="64"/>
      <c r="FG281" s="64"/>
      <c r="FH281" s="64"/>
      <c r="FI281" s="64"/>
    </row>
    <row r="282" spans="158:165" ht="15" customHeight="1" x14ac:dyDescent="0.15">
      <c r="FB282" s="63"/>
      <c r="FC282" s="64"/>
      <c r="FD282" s="64"/>
      <c r="FE282" s="64"/>
      <c r="FF282" s="64"/>
      <c r="FG282" s="64"/>
      <c r="FH282" s="64"/>
      <c r="FI282" s="64"/>
    </row>
    <row r="283" spans="158:165" ht="15" customHeight="1" x14ac:dyDescent="0.15">
      <c r="FB283" s="63"/>
      <c r="FC283" s="64"/>
      <c r="FD283" s="64"/>
      <c r="FE283" s="64"/>
      <c r="FF283" s="64"/>
      <c r="FG283" s="64"/>
      <c r="FH283" s="64"/>
      <c r="FI283" s="64"/>
    </row>
    <row r="284" spans="158:165" ht="15" customHeight="1" x14ac:dyDescent="0.15">
      <c r="FB284" s="63"/>
      <c r="FC284" s="64"/>
      <c r="FD284" s="64"/>
      <c r="FE284" s="64"/>
      <c r="FF284" s="64"/>
      <c r="FG284" s="64"/>
      <c r="FH284" s="64"/>
      <c r="FI284" s="64"/>
    </row>
    <row r="285" spans="158:165" ht="15" customHeight="1" x14ac:dyDescent="0.15">
      <c r="FB285" s="63"/>
      <c r="FC285" s="64"/>
      <c r="FD285" s="64"/>
      <c r="FE285" s="64"/>
      <c r="FF285" s="64"/>
      <c r="FG285" s="64"/>
      <c r="FH285" s="64"/>
      <c r="FI285" s="64"/>
    </row>
    <row r="286" spans="158:165" ht="15" customHeight="1" x14ac:dyDescent="0.15">
      <c r="FB286" s="63"/>
      <c r="FC286" s="64"/>
      <c r="FD286" s="64"/>
      <c r="FE286" s="64"/>
      <c r="FF286" s="64"/>
      <c r="FG286" s="64"/>
      <c r="FH286" s="64"/>
      <c r="FI286" s="64"/>
    </row>
    <row r="287" spans="158:165" ht="15" customHeight="1" x14ac:dyDescent="0.15">
      <c r="FB287" s="63"/>
      <c r="FC287" s="64"/>
      <c r="FD287" s="64"/>
      <c r="FE287" s="64"/>
      <c r="FF287" s="64"/>
      <c r="FG287" s="64"/>
      <c r="FH287" s="64"/>
      <c r="FI287" s="64"/>
    </row>
    <row r="288" spans="158:165" ht="15" customHeight="1" x14ac:dyDescent="0.15">
      <c r="FB288" s="63"/>
      <c r="FC288" s="64"/>
      <c r="FD288" s="64"/>
      <c r="FE288" s="64"/>
      <c r="FF288" s="64"/>
      <c r="FG288" s="64"/>
      <c r="FH288" s="64"/>
      <c r="FI288" s="64"/>
    </row>
    <row r="289" spans="158:165" ht="15" customHeight="1" x14ac:dyDescent="0.15">
      <c r="FB289" s="63"/>
      <c r="FC289" s="64"/>
      <c r="FD289" s="64"/>
      <c r="FE289" s="64"/>
      <c r="FF289" s="64"/>
      <c r="FG289" s="64"/>
      <c r="FH289" s="64"/>
      <c r="FI289" s="64"/>
    </row>
    <row r="290" spans="158:165" ht="15" customHeight="1" x14ac:dyDescent="0.15">
      <c r="FB290" s="63"/>
      <c r="FC290" s="64"/>
      <c r="FD290" s="64"/>
      <c r="FE290" s="64"/>
      <c r="FF290" s="64"/>
      <c r="FG290" s="64"/>
      <c r="FH290" s="64"/>
      <c r="FI290" s="64"/>
    </row>
    <row r="291" spans="158:165" ht="15" customHeight="1" x14ac:dyDescent="0.15">
      <c r="FB291" s="63"/>
      <c r="FC291" s="64"/>
      <c r="FD291" s="64"/>
      <c r="FE291" s="64"/>
      <c r="FF291" s="64"/>
      <c r="FG291" s="64"/>
      <c r="FH291" s="64"/>
      <c r="FI291" s="64"/>
    </row>
    <row r="292" spans="158:165" ht="15" customHeight="1" x14ac:dyDescent="0.15">
      <c r="FB292" s="63"/>
      <c r="FC292" s="64"/>
      <c r="FD292" s="64"/>
      <c r="FE292" s="64"/>
      <c r="FF292" s="64"/>
      <c r="FG292" s="64"/>
      <c r="FH292" s="64"/>
      <c r="FI292" s="64"/>
    </row>
    <row r="293" spans="158:165" ht="15" customHeight="1" x14ac:dyDescent="0.15">
      <c r="FB293" s="63"/>
      <c r="FC293" s="64"/>
      <c r="FD293" s="64"/>
      <c r="FE293" s="64"/>
      <c r="FF293" s="64"/>
      <c r="FG293" s="64"/>
      <c r="FH293" s="64"/>
      <c r="FI293" s="64"/>
    </row>
    <row r="294" spans="158:165" ht="15" customHeight="1" x14ac:dyDescent="0.15">
      <c r="FB294" s="63"/>
      <c r="FC294" s="64"/>
      <c r="FD294" s="64"/>
      <c r="FE294" s="64"/>
      <c r="FF294" s="64"/>
      <c r="FG294" s="64"/>
      <c r="FH294" s="64"/>
      <c r="FI294" s="64"/>
    </row>
    <row r="295" spans="158:165" ht="15" customHeight="1" x14ac:dyDescent="0.15">
      <c r="FB295" s="63"/>
      <c r="FC295" s="64"/>
      <c r="FD295" s="64"/>
      <c r="FE295" s="64"/>
      <c r="FF295" s="64"/>
      <c r="FG295" s="64"/>
      <c r="FH295" s="64"/>
      <c r="FI295" s="64"/>
    </row>
    <row r="296" spans="158:165" ht="15" customHeight="1" x14ac:dyDescent="0.15">
      <c r="FB296" s="63"/>
      <c r="FC296" s="64"/>
      <c r="FD296" s="64"/>
      <c r="FE296" s="64"/>
      <c r="FF296" s="64"/>
      <c r="FG296" s="64"/>
      <c r="FH296" s="64"/>
      <c r="FI296" s="64"/>
    </row>
    <row r="297" spans="158:165" ht="15" customHeight="1" x14ac:dyDescent="0.15">
      <c r="FB297" s="63"/>
      <c r="FC297" s="64"/>
      <c r="FD297" s="64"/>
      <c r="FE297" s="64"/>
      <c r="FF297" s="64"/>
      <c r="FG297" s="64"/>
      <c r="FH297" s="64"/>
      <c r="FI297" s="64"/>
    </row>
    <row r="298" spans="158:165" ht="15" customHeight="1" x14ac:dyDescent="0.15">
      <c r="FB298" s="63"/>
      <c r="FC298" s="64"/>
      <c r="FD298" s="64"/>
      <c r="FE298" s="64"/>
      <c r="FF298" s="64"/>
      <c r="FG298" s="64"/>
      <c r="FH298" s="64"/>
      <c r="FI298" s="64"/>
    </row>
    <row r="299" spans="158:165" ht="15" customHeight="1" x14ac:dyDescent="0.15">
      <c r="FB299" s="63"/>
      <c r="FC299" s="64"/>
      <c r="FD299" s="64"/>
      <c r="FE299" s="64"/>
      <c r="FF299" s="64"/>
      <c r="FG299" s="64"/>
      <c r="FH299" s="64"/>
      <c r="FI299" s="64"/>
    </row>
    <row r="300" spans="158:165" ht="15" customHeight="1" x14ac:dyDescent="0.15">
      <c r="FB300" s="63"/>
      <c r="FC300" s="64"/>
      <c r="FD300" s="64"/>
      <c r="FE300" s="64"/>
      <c r="FF300" s="64"/>
      <c r="FG300" s="64"/>
      <c r="FH300" s="64"/>
      <c r="FI300" s="64"/>
    </row>
    <row r="301" spans="158:165" ht="15" customHeight="1" x14ac:dyDescent="0.15">
      <c r="FB301" s="63"/>
      <c r="FC301" s="64"/>
      <c r="FD301" s="64"/>
      <c r="FE301" s="64"/>
      <c r="FF301" s="64"/>
      <c r="FG301" s="64"/>
      <c r="FH301" s="64"/>
      <c r="FI301" s="64"/>
    </row>
    <row r="302" spans="158:165" ht="15" customHeight="1" x14ac:dyDescent="0.15">
      <c r="FB302" s="63"/>
      <c r="FC302" s="64"/>
      <c r="FD302" s="64"/>
      <c r="FE302" s="64"/>
      <c r="FF302" s="64"/>
      <c r="FG302" s="64"/>
      <c r="FH302" s="64"/>
      <c r="FI302" s="64"/>
    </row>
    <row r="303" spans="158:165" ht="15" customHeight="1" x14ac:dyDescent="0.15">
      <c r="FB303" s="63"/>
      <c r="FC303" s="64"/>
      <c r="FD303" s="64"/>
      <c r="FE303" s="64"/>
      <c r="FF303" s="64"/>
      <c r="FG303" s="64"/>
      <c r="FH303" s="64"/>
      <c r="FI303" s="64"/>
    </row>
    <row r="304" spans="158:165" ht="15" customHeight="1" x14ac:dyDescent="0.15">
      <c r="FB304" s="63"/>
      <c r="FC304" s="64"/>
      <c r="FD304" s="64"/>
      <c r="FE304" s="64"/>
      <c r="FF304" s="64"/>
      <c r="FG304" s="64"/>
      <c r="FH304" s="64"/>
      <c r="FI304" s="64"/>
    </row>
    <row r="305" spans="158:165" ht="15" customHeight="1" x14ac:dyDescent="0.15">
      <c r="FB305" s="63"/>
      <c r="FC305" s="64"/>
      <c r="FD305" s="64"/>
      <c r="FE305" s="64"/>
      <c r="FF305" s="64"/>
      <c r="FG305" s="64"/>
      <c r="FH305" s="64"/>
      <c r="FI305" s="64"/>
    </row>
    <row r="306" spans="158:165" ht="15" customHeight="1" x14ac:dyDescent="0.15">
      <c r="FB306" s="63"/>
      <c r="FC306" s="64"/>
      <c r="FD306" s="64"/>
      <c r="FE306" s="64"/>
      <c r="FF306" s="64"/>
      <c r="FG306" s="64"/>
      <c r="FH306" s="64"/>
      <c r="FI306" s="64"/>
    </row>
    <row r="307" spans="158:165" ht="15" customHeight="1" x14ac:dyDescent="0.15">
      <c r="FB307" s="63"/>
      <c r="FC307" s="64"/>
      <c r="FD307" s="64"/>
      <c r="FE307" s="64"/>
      <c r="FF307" s="64"/>
      <c r="FG307" s="64"/>
      <c r="FH307" s="64"/>
      <c r="FI307" s="64"/>
    </row>
    <row r="308" spans="158:165" ht="15" customHeight="1" x14ac:dyDescent="0.15">
      <c r="FB308" s="63"/>
      <c r="FC308" s="64"/>
      <c r="FD308" s="64"/>
      <c r="FE308" s="64"/>
      <c r="FF308" s="64"/>
      <c r="FG308" s="64"/>
      <c r="FH308" s="64"/>
      <c r="FI308" s="64"/>
    </row>
    <row r="309" spans="158:165" ht="15" customHeight="1" x14ac:dyDescent="0.15">
      <c r="FB309" s="63"/>
      <c r="FC309" s="64"/>
      <c r="FD309" s="64"/>
      <c r="FE309" s="64"/>
      <c r="FF309" s="64"/>
      <c r="FG309" s="64"/>
      <c r="FH309" s="64"/>
      <c r="FI309" s="64"/>
    </row>
    <row r="310" spans="158:165" ht="15" customHeight="1" x14ac:dyDescent="0.15">
      <c r="FB310" s="63"/>
      <c r="FC310" s="64"/>
      <c r="FD310" s="64"/>
      <c r="FE310" s="64"/>
      <c r="FF310" s="64"/>
      <c r="FG310" s="64"/>
      <c r="FH310" s="64"/>
      <c r="FI310" s="64"/>
    </row>
    <row r="311" spans="158:165" ht="15" customHeight="1" x14ac:dyDescent="0.15">
      <c r="FB311" s="63"/>
      <c r="FC311" s="64"/>
      <c r="FD311" s="64"/>
      <c r="FE311" s="64"/>
      <c r="FF311" s="64"/>
      <c r="FG311" s="64"/>
      <c r="FH311" s="64"/>
      <c r="FI311" s="64"/>
    </row>
    <row r="312" spans="158:165" ht="15" customHeight="1" x14ac:dyDescent="0.15">
      <c r="FB312" s="63"/>
      <c r="FC312" s="64"/>
      <c r="FD312" s="64"/>
      <c r="FE312" s="64"/>
      <c r="FF312" s="64"/>
      <c r="FG312" s="64"/>
      <c r="FH312" s="64"/>
      <c r="FI312" s="64"/>
    </row>
    <row r="313" spans="158:165" ht="15" customHeight="1" x14ac:dyDescent="0.15">
      <c r="FB313" s="63"/>
      <c r="FC313" s="64"/>
      <c r="FD313" s="64"/>
      <c r="FE313" s="64"/>
      <c r="FF313" s="64"/>
      <c r="FG313" s="64"/>
      <c r="FH313" s="64"/>
      <c r="FI313" s="64"/>
    </row>
    <row r="314" spans="158:165" ht="15" customHeight="1" x14ac:dyDescent="0.15">
      <c r="FB314" s="63"/>
      <c r="FC314" s="64"/>
      <c r="FD314" s="64"/>
      <c r="FE314" s="64"/>
      <c r="FF314" s="64"/>
      <c r="FG314" s="64"/>
      <c r="FH314" s="64"/>
      <c r="FI314" s="64"/>
    </row>
    <row r="315" spans="158:165" ht="15" customHeight="1" x14ac:dyDescent="0.15">
      <c r="FB315" s="63"/>
      <c r="FC315" s="64"/>
      <c r="FD315" s="64"/>
      <c r="FE315" s="64"/>
      <c r="FF315" s="64"/>
      <c r="FG315" s="64"/>
      <c r="FH315" s="64"/>
      <c r="FI315" s="64"/>
    </row>
    <row r="316" spans="158:165" ht="15" customHeight="1" x14ac:dyDescent="0.15">
      <c r="FB316" s="63"/>
      <c r="FC316" s="64"/>
      <c r="FD316" s="64"/>
      <c r="FE316" s="64"/>
      <c r="FF316" s="64"/>
      <c r="FG316" s="64"/>
      <c r="FH316" s="64"/>
      <c r="FI316" s="64"/>
    </row>
    <row r="317" spans="158:165" ht="15" customHeight="1" x14ac:dyDescent="0.15">
      <c r="FB317" s="63"/>
      <c r="FC317" s="64"/>
      <c r="FD317" s="64"/>
      <c r="FE317" s="64"/>
      <c r="FF317" s="64"/>
      <c r="FG317" s="64"/>
      <c r="FH317" s="64"/>
      <c r="FI317" s="64"/>
    </row>
    <row r="318" spans="158:165" ht="15" customHeight="1" x14ac:dyDescent="0.15">
      <c r="FB318" s="63"/>
      <c r="FC318" s="64"/>
      <c r="FD318" s="64"/>
      <c r="FE318" s="64"/>
      <c r="FF318" s="64"/>
      <c r="FG318" s="64"/>
      <c r="FH318" s="64"/>
      <c r="FI318" s="64"/>
    </row>
    <row r="319" spans="158:165" ht="15" customHeight="1" x14ac:dyDescent="0.15">
      <c r="FB319" s="63"/>
      <c r="FC319" s="64"/>
      <c r="FD319" s="64"/>
      <c r="FE319" s="64"/>
      <c r="FF319" s="64"/>
      <c r="FG319" s="64"/>
      <c r="FH319" s="64"/>
      <c r="FI319" s="64"/>
    </row>
    <row r="320" spans="158:165" ht="15" customHeight="1" x14ac:dyDescent="0.15">
      <c r="FB320" s="63"/>
      <c r="FC320" s="64"/>
      <c r="FD320" s="64"/>
      <c r="FE320" s="64"/>
      <c r="FF320" s="64"/>
      <c r="FG320" s="64"/>
      <c r="FH320" s="64"/>
      <c r="FI320" s="64"/>
    </row>
    <row r="321" spans="158:165" ht="15" customHeight="1" x14ac:dyDescent="0.15">
      <c r="FB321" s="63"/>
      <c r="FC321" s="64"/>
      <c r="FD321" s="64"/>
      <c r="FE321" s="64"/>
      <c r="FF321" s="64"/>
      <c r="FG321" s="64"/>
      <c r="FH321" s="64"/>
      <c r="FI321" s="64"/>
    </row>
    <row r="322" spans="158:165" ht="15" customHeight="1" x14ac:dyDescent="0.15">
      <c r="FB322" s="63"/>
      <c r="FC322" s="64"/>
      <c r="FD322" s="64"/>
      <c r="FE322" s="64"/>
      <c r="FF322" s="64"/>
      <c r="FG322" s="64"/>
      <c r="FH322" s="64"/>
      <c r="FI322" s="64"/>
    </row>
    <row r="323" spans="158:165" ht="15" customHeight="1" x14ac:dyDescent="0.15">
      <c r="FB323" s="63"/>
      <c r="FC323" s="64"/>
      <c r="FD323" s="64"/>
      <c r="FE323" s="64"/>
      <c r="FF323" s="64"/>
      <c r="FG323" s="64"/>
      <c r="FH323" s="64"/>
      <c r="FI323" s="64"/>
    </row>
    <row r="324" spans="158:165" ht="15" customHeight="1" x14ac:dyDescent="0.15">
      <c r="FB324" s="63"/>
      <c r="FC324" s="64"/>
      <c r="FD324" s="64"/>
      <c r="FE324" s="64"/>
      <c r="FF324" s="64"/>
      <c r="FG324" s="64"/>
      <c r="FH324" s="64"/>
      <c r="FI324" s="64"/>
    </row>
    <row r="325" spans="158:165" ht="15" customHeight="1" x14ac:dyDescent="0.15">
      <c r="FB325" s="63"/>
      <c r="FC325" s="64"/>
      <c r="FD325" s="64"/>
      <c r="FE325" s="64"/>
      <c r="FF325" s="64"/>
      <c r="FG325" s="64"/>
      <c r="FH325" s="64"/>
      <c r="FI325" s="64"/>
    </row>
    <row r="326" spans="158:165" ht="15" customHeight="1" x14ac:dyDescent="0.15">
      <c r="FB326" s="63"/>
      <c r="FC326" s="64"/>
      <c r="FD326" s="64"/>
      <c r="FE326" s="64"/>
      <c r="FF326" s="64"/>
      <c r="FG326" s="64"/>
      <c r="FH326" s="64"/>
      <c r="FI326" s="64"/>
    </row>
    <row r="327" spans="158:165" ht="15" customHeight="1" x14ac:dyDescent="0.15">
      <c r="FB327" s="63"/>
      <c r="FC327" s="64"/>
      <c r="FD327" s="64"/>
      <c r="FE327" s="64"/>
      <c r="FF327" s="64"/>
      <c r="FG327" s="64"/>
      <c r="FH327" s="64"/>
      <c r="FI327" s="64"/>
    </row>
    <row r="328" spans="158:165" ht="15" customHeight="1" x14ac:dyDescent="0.15">
      <c r="FB328" s="63"/>
      <c r="FC328" s="64"/>
      <c r="FD328" s="64"/>
      <c r="FE328" s="64"/>
      <c r="FF328" s="64"/>
      <c r="FG328" s="64"/>
      <c r="FH328" s="64"/>
      <c r="FI328" s="64"/>
    </row>
    <row r="329" spans="158:165" ht="15" customHeight="1" x14ac:dyDescent="0.15">
      <c r="FB329" s="63"/>
      <c r="FC329" s="64"/>
      <c r="FD329" s="64"/>
      <c r="FE329" s="64"/>
      <c r="FF329" s="64"/>
      <c r="FG329" s="64"/>
      <c r="FH329" s="64"/>
      <c r="FI329" s="64"/>
    </row>
    <row r="330" spans="158:165" ht="15" customHeight="1" x14ac:dyDescent="0.15">
      <c r="FB330" s="63"/>
      <c r="FC330" s="64"/>
      <c r="FD330" s="64"/>
      <c r="FE330" s="64"/>
      <c r="FF330" s="64"/>
      <c r="FG330" s="64"/>
      <c r="FH330" s="64"/>
      <c r="FI330" s="64"/>
    </row>
    <row r="331" spans="158:165" ht="15" customHeight="1" x14ac:dyDescent="0.15">
      <c r="FB331" s="63"/>
      <c r="FC331" s="64"/>
      <c r="FD331" s="64"/>
      <c r="FE331" s="64"/>
      <c r="FF331" s="64"/>
      <c r="FG331" s="64"/>
      <c r="FH331" s="64"/>
      <c r="FI331" s="64"/>
    </row>
    <row r="332" spans="158:165" ht="15" customHeight="1" x14ac:dyDescent="0.15">
      <c r="FB332" s="63"/>
      <c r="FC332" s="64"/>
      <c r="FD332" s="64"/>
      <c r="FE332" s="64"/>
      <c r="FF332" s="64"/>
      <c r="FG332" s="64"/>
      <c r="FH332" s="64"/>
      <c r="FI332" s="64"/>
    </row>
    <row r="333" spans="158:165" ht="15" customHeight="1" x14ac:dyDescent="0.15">
      <c r="FB333" s="63"/>
      <c r="FC333" s="64"/>
      <c r="FD333" s="64"/>
      <c r="FE333" s="64"/>
      <c r="FF333" s="64"/>
      <c r="FG333" s="64"/>
      <c r="FH333" s="64"/>
      <c r="FI333" s="64"/>
    </row>
    <row r="334" spans="158:165" ht="15" customHeight="1" x14ac:dyDescent="0.15">
      <c r="FB334" s="63"/>
      <c r="FC334" s="64"/>
      <c r="FD334" s="64"/>
      <c r="FE334" s="64"/>
      <c r="FF334" s="64"/>
      <c r="FG334" s="64"/>
      <c r="FH334" s="64"/>
      <c r="FI334" s="64"/>
    </row>
    <row r="335" spans="158:165" ht="15" customHeight="1" x14ac:dyDescent="0.15">
      <c r="FB335" s="63"/>
      <c r="FC335" s="64"/>
      <c r="FD335" s="64"/>
      <c r="FE335" s="64"/>
      <c r="FF335" s="64"/>
      <c r="FG335" s="64"/>
      <c r="FH335" s="64"/>
      <c r="FI335" s="64"/>
    </row>
    <row r="336" spans="158:165" ht="15" customHeight="1" x14ac:dyDescent="0.15">
      <c r="FB336" s="63"/>
      <c r="FC336" s="64"/>
      <c r="FD336" s="64"/>
      <c r="FE336" s="64"/>
      <c r="FF336" s="64"/>
      <c r="FG336" s="64"/>
      <c r="FH336" s="64"/>
      <c r="FI336" s="64"/>
    </row>
    <row r="337" spans="158:165" ht="15" customHeight="1" x14ac:dyDescent="0.15">
      <c r="FB337" s="63"/>
      <c r="FC337" s="64"/>
      <c r="FD337" s="64"/>
      <c r="FE337" s="64"/>
      <c r="FF337" s="64"/>
      <c r="FG337" s="64"/>
      <c r="FH337" s="64"/>
      <c r="FI337" s="64"/>
    </row>
    <row r="338" spans="158:165" ht="15" customHeight="1" x14ac:dyDescent="0.15">
      <c r="FB338" s="63"/>
      <c r="FC338" s="64"/>
      <c r="FD338" s="64"/>
      <c r="FE338" s="64"/>
      <c r="FF338" s="64"/>
      <c r="FG338" s="64"/>
      <c r="FH338" s="64"/>
      <c r="FI338" s="64"/>
    </row>
    <row r="339" spans="158:165" ht="15" customHeight="1" x14ac:dyDescent="0.15">
      <c r="FB339" s="63"/>
      <c r="FC339" s="64"/>
      <c r="FD339" s="64"/>
      <c r="FE339" s="64"/>
      <c r="FF339" s="64"/>
      <c r="FG339" s="64"/>
      <c r="FH339" s="64"/>
      <c r="FI339" s="64"/>
    </row>
    <row r="340" spans="158:165" ht="15" customHeight="1" x14ac:dyDescent="0.15">
      <c r="FB340" s="63"/>
      <c r="FC340" s="64"/>
      <c r="FD340" s="64"/>
      <c r="FE340" s="64"/>
      <c r="FF340" s="64"/>
      <c r="FG340" s="64"/>
      <c r="FH340" s="64"/>
      <c r="FI340" s="64"/>
    </row>
    <row r="341" spans="158:165" ht="15" customHeight="1" x14ac:dyDescent="0.15">
      <c r="FB341" s="63"/>
      <c r="FC341" s="64"/>
      <c r="FD341" s="64"/>
      <c r="FE341" s="64"/>
      <c r="FF341" s="64"/>
      <c r="FG341" s="64"/>
      <c r="FH341" s="64"/>
      <c r="FI341" s="64"/>
    </row>
    <row r="342" spans="158:165" ht="15" customHeight="1" x14ac:dyDescent="0.15">
      <c r="FB342" s="63"/>
      <c r="FC342" s="64"/>
      <c r="FD342" s="64"/>
      <c r="FE342" s="64"/>
      <c r="FF342" s="64"/>
      <c r="FG342" s="64"/>
      <c r="FH342" s="64"/>
      <c r="FI342" s="64"/>
    </row>
    <row r="400" spans="158:165" ht="15" customHeight="1" x14ac:dyDescent="0.15">
      <c r="FB400" s="62" t="s">
        <v>63</v>
      </c>
      <c r="FC400" s="62" t="s">
        <v>64</v>
      </c>
      <c r="FD400" s="62" t="s">
        <v>65</v>
      </c>
      <c r="FE400" s="62" t="s">
        <v>66</v>
      </c>
      <c r="FF400" s="62" t="s">
        <v>18</v>
      </c>
      <c r="FG400" s="62" t="s">
        <v>69</v>
      </c>
      <c r="FH400" s="62" t="s">
        <v>67</v>
      </c>
      <c r="FI400" s="62" t="s">
        <v>68</v>
      </c>
    </row>
    <row r="401" spans="158:165" ht="15" customHeight="1" x14ac:dyDescent="0.15">
      <c r="FB401" s="63"/>
      <c r="FC401" s="64"/>
      <c r="FD401" s="64"/>
      <c r="FE401" s="64"/>
      <c r="FF401" s="64"/>
      <c r="FG401" s="64"/>
      <c r="FH401" s="64"/>
      <c r="FI401" s="64"/>
    </row>
    <row r="402" spans="158:165" ht="15" customHeight="1" x14ac:dyDescent="0.15">
      <c r="FB402" s="63"/>
      <c r="FC402" s="64"/>
      <c r="FD402" s="64"/>
      <c r="FE402" s="64"/>
      <c r="FF402" s="64"/>
      <c r="FG402" s="64"/>
      <c r="FH402" s="64"/>
      <c r="FI402" s="64"/>
    </row>
    <row r="403" spans="158:165" ht="15" customHeight="1" x14ac:dyDescent="0.15">
      <c r="FB403" s="63"/>
      <c r="FC403" s="64"/>
      <c r="FD403" s="64"/>
      <c r="FE403" s="64"/>
      <c r="FF403" s="64"/>
      <c r="FG403" s="64"/>
      <c r="FH403" s="64"/>
      <c r="FI403" s="64"/>
    </row>
    <row r="404" spans="158:165" ht="15" customHeight="1" x14ac:dyDescent="0.15">
      <c r="FB404" s="63"/>
      <c r="FC404" s="64"/>
      <c r="FD404" s="64"/>
      <c r="FE404" s="64"/>
      <c r="FF404" s="64"/>
      <c r="FG404" s="64"/>
      <c r="FH404" s="64"/>
      <c r="FI404" s="64"/>
    </row>
    <row r="405" spans="158:165" ht="15" customHeight="1" x14ac:dyDescent="0.15">
      <c r="FB405" s="63"/>
      <c r="FC405" s="64"/>
      <c r="FD405" s="64"/>
      <c r="FE405" s="64"/>
      <c r="FF405" s="64"/>
      <c r="FG405" s="64"/>
      <c r="FH405" s="64"/>
      <c r="FI405" s="64"/>
    </row>
    <row r="406" spans="158:165" ht="15" customHeight="1" x14ac:dyDescent="0.15">
      <c r="FB406" s="63"/>
      <c r="FC406" s="64"/>
      <c r="FD406" s="64"/>
      <c r="FE406" s="64"/>
      <c r="FF406" s="64"/>
      <c r="FG406" s="64"/>
      <c r="FH406" s="64"/>
      <c r="FI406" s="64"/>
    </row>
    <row r="407" spans="158:165" ht="15" customHeight="1" x14ac:dyDescent="0.15">
      <c r="FB407" s="63"/>
      <c r="FC407" s="64"/>
      <c r="FD407" s="64"/>
      <c r="FE407" s="64"/>
      <c r="FF407" s="64"/>
      <c r="FG407" s="64"/>
      <c r="FH407" s="64"/>
      <c r="FI407" s="64"/>
    </row>
    <row r="408" spans="158:165" ht="15" customHeight="1" x14ac:dyDescent="0.15">
      <c r="FB408" s="63"/>
      <c r="FC408" s="64"/>
      <c r="FD408" s="64"/>
      <c r="FE408" s="64"/>
      <c r="FF408" s="64"/>
      <c r="FG408" s="64"/>
      <c r="FH408" s="64"/>
      <c r="FI408" s="64"/>
    </row>
    <row r="409" spans="158:165" ht="15" customHeight="1" x14ac:dyDescent="0.15">
      <c r="FB409" s="63"/>
      <c r="FC409" s="64"/>
      <c r="FD409" s="64"/>
      <c r="FE409" s="64"/>
      <c r="FF409" s="64"/>
      <c r="FG409" s="64"/>
      <c r="FH409" s="64"/>
      <c r="FI409" s="64"/>
    </row>
    <row r="410" spans="158:165" ht="15" customHeight="1" x14ac:dyDescent="0.15">
      <c r="FB410" s="63"/>
      <c r="FC410" s="64"/>
      <c r="FD410" s="64"/>
      <c r="FE410" s="64"/>
      <c r="FF410" s="64"/>
      <c r="FG410" s="64"/>
      <c r="FH410" s="64"/>
      <c r="FI410" s="64"/>
    </row>
    <row r="411" spans="158:165" ht="15" customHeight="1" x14ac:dyDescent="0.15">
      <c r="FB411" s="63"/>
      <c r="FC411" s="64"/>
      <c r="FD411" s="64"/>
      <c r="FE411" s="64"/>
      <c r="FF411" s="64"/>
      <c r="FG411" s="64"/>
      <c r="FH411" s="64"/>
      <c r="FI411" s="64"/>
    </row>
    <row r="412" spans="158:165" ht="15" customHeight="1" x14ac:dyDescent="0.15">
      <c r="FB412" s="63"/>
      <c r="FC412" s="64"/>
      <c r="FD412" s="64"/>
      <c r="FE412" s="64"/>
      <c r="FF412" s="64"/>
      <c r="FG412" s="64"/>
      <c r="FH412" s="64"/>
      <c r="FI412" s="64"/>
    </row>
    <row r="413" spans="158:165" ht="15" customHeight="1" x14ac:dyDescent="0.15">
      <c r="FB413" s="63"/>
      <c r="FC413" s="64"/>
      <c r="FD413" s="64"/>
      <c r="FE413" s="64"/>
      <c r="FF413" s="64"/>
      <c r="FG413" s="64"/>
      <c r="FH413" s="64"/>
      <c r="FI413" s="64"/>
    </row>
    <row r="414" spans="158:165" ht="15" customHeight="1" x14ac:dyDescent="0.15">
      <c r="FB414" s="63"/>
      <c r="FC414" s="64"/>
      <c r="FD414" s="64"/>
      <c r="FE414" s="64"/>
      <c r="FF414" s="64"/>
      <c r="FG414" s="64"/>
      <c r="FH414" s="64"/>
      <c r="FI414" s="64"/>
    </row>
    <row r="415" spans="158:165" ht="15" customHeight="1" x14ac:dyDescent="0.15">
      <c r="FB415" s="63"/>
      <c r="FC415" s="64"/>
      <c r="FD415" s="64"/>
      <c r="FE415" s="64"/>
      <c r="FF415" s="64"/>
      <c r="FG415" s="64"/>
      <c r="FH415" s="64"/>
      <c r="FI415" s="64"/>
    </row>
    <row r="416" spans="158:165" ht="15" customHeight="1" x14ac:dyDescent="0.15">
      <c r="FB416" s="63"/>
      <c r="FC416" s="64"/>
      <c r="FD416" s="64"/>
      <c r="FE416" s="64"/>
      <c r="FF416" s="64"/>
      <c r="FG416" s="64"/>
      <c r="FH416" s="64"/>
      <c r="FI416" s="64"/>
    </row>
    <row r="417" spans="158:165" ht="15" customHeight="1" x14ac:dyDescent="0.15">
      <c r="FB417" s="63"/>
      <c r="FC417" s="64"/>
      <c r="FD417" s="64"/>
      <c r="FE417" s="64"/>
      <c r="FF417" s="64"/>
      <c r="FG417" s="64"/>
      <c r="FH417" s="64"/>
      <c r="FI417" s="64"/>
    </row>
    <row r="418" spans="158:165" ht="15" customHeight="1" x14ac:dyDescent="0.15">
      <c r="FB418" s="63"/>
      <c r="FC418" s="64"/>
      <c r="FD418" s="64"/>
      <c r="FE418" s="64"/>
      <c r="FF418" s="64"/>
      <c r="FG418" s="64"/>
      <c r="FH418" s="64"/>
      <c r="FI418" s="64"/>
    </row>
    <row r="419" spans="158:165" ht="15" customHeight="1" x14ac:dyDescent="0.15">
      <c r="FB419" s="63"/>
      <c r="FC419" s="64"/>
      <c r="FD419" s="64"/>
      <c r="FE419" s="64"/>
      <c r="FF419" s="64"/>
      <c r="FG419" s="64"/>
      <c r="FH419" s="64"/>
      <c r="FI419" s="64"/>
    </row>
    <row r="420" spans="158:165" ht="15" customHeight="1" x14ac:dyDescent="0.15">
      <c r="FB420" s="63"/>
      <c r="FC420" s="64"/>
      <c r="FD420" s="64"/>
      <c r="FE420" s="64"/>
      <c r="FF420" s="64"/>
      <c r="FG420" s="64"/>
      <c r="FH420" s="64"/>
      <c r="FI420" s="64"/>
    </row>
    <row r="421" spans="158:165" ht="15" customHeight="1" x14ac:dyDescent="0.15">
      <c r="FB421" s="63"/>
      <c r="FC421" s="64"/>
      <c r="FD421" s="64"/>
      <c r="FE421" s="64"/>
      <c r="FF421" s="64"/>
      <c r="FG421" s="64"/>
      <c r="FH421" s="64"/>
      <c r="FI421" s="64"/>
    </row>
    <row r="422" spans="158:165" ht="15" customHeight="1" x14ac:dyDescent="0.15">
      <c r="FB422" s="63"/>
      <c r="FC422" s="64"/>
      <c r="FD422" s="64"/>
      <c r="FE422" s="64"/>
      <c r="FF422" s="64"/>
      <c r="FG422" s="64"/>
      <c r="FH422" s="64"/>
      <c r="FI422" s="64"/>
    </row>
    <row r="423" spans="158:165" ht="15" customHeight="1" x14ac:dyDescent="0.15">
      <c r="FB423" s="63"/>
      <c r="FC423" s="64"/>
      <c r="FD423" s="64"/>
      <c r="FE423" s="64"/>
      <c r="FF423" s="64"/>
      <c r="FG423" s="64"/>
      <c r="FH423" s="64"/>
      <c r="FI423" s="64"/>
    </row>
    <row r="424" spans="158:165" ht="15" customHeight="1" x14ac:dyDescent="0.15">
      <c r="FB424" s="63"/>
      <c r="FC424" s="64"/>
      <c r="FD424" s="64"/>
      <c r="FE424" s="64"/>
      <c r="FF424" s="64"/>
      <c r="FG424" s="64"/>
      <c r="FH424" s="64"/>
      <c r="FI424" s="64"/>
    </row>
    <row r="425" spans="158:165" ht="15" customHeight="1" x14ac:dyDescent="0.15">
      <c r="FB425" s="63"/>
      <c r="FC425" s="64"/>
      <c r="FD425" s="64"/>
      <c r="FE425" s="64"/>
      <c r="FF425" s="64"/>
      <c r="FG425" s="64"/>
      <c r="FH425" s="64"/>
      <c r="FI425" s="64"/>
    </row>
    <row r="426" spans="158:165" ht="15" customHeight="1" x14ac:dyDescent="0.15">
      <c r="FB426" s="63"/>
      <c r="FC426" s="64"/>
      <c r="FD426" s="64"/>
      <c r="FE426" s="64"/>
      <c r="FF426" s="64"/>
      <c r="FG426" s="64"/>
      <c r="FH426" s="64"/>
      <c r="FI426" s="64"/>
    </row>
    <row r="427" spans="158:165" ht="15" customHeight="1" x14ac:dyDescent="0.15">
      <c r="FB427" s="63"/>
      <c r="FC427" s="64"/>
      <c r="FD427" s="64"/>
      <c r="FE427" s="64"/>
      <c r="FF427" s="64"/>
      <c r="FG427" s="64"/>
      <c r="FH427" s="64"/>
      <c r="FI427" s="64"/>
    </row>
    <row r="428" spans="158:165" ht="15" customHeight="1" x14ac:dyDescent="0.15">
      <c r="FB428" s="63"/>
      <c r="FC428" s="64"/>
      <c r="FD428" s="64"/>
      <c r="FE428" s="64"/>
      <c r="FF428" s="64"/>
      <c r="FG428" s="64"/>
      <c r="FH428" s="64"/>
      <c r="FI428" s="64"/>
    </row>
    <row r="429" spans="158:165" ht="15" customHeight="1" x14ac:dyDescent="0.15">
      <c r="FB429" s="63"/>
      <c r="FC429" s="64"/>
      <c r="FD429" s="64"/>
      <c r="FE429" s="64"/>
      <c r="FF429" s="64"/>
      <c r="FG429" s="64"/>
      <c r="FH429" s="64"/>
      <c r="FI429" s="64"/>
    </row>
    <row r="430" spans="158:165" ht="15" customHeight="1" x14ac:dyDescent="0.15">
      <c r="FB430" s="63"/>
      <c r="FC430" s="64"/>
      <c r="FD430" s="64"/>
      <c r="FE430" s="64"/>
      <c r="FF430" s="64"/>
      <c r="FG430" s="64"/>
      <c r="FH430" s="64"/>
      <c r="FI430" s="64"/>
    </row>
    <row r="431" spans="158:165" ht="15" customHeight="1" x14ac:dyDescent="0.15">
      <c r="FB431" s="63"/>
      <c r="FC431" s="64"/>
      <c r="FD431" s="64"/>
      <c r="FE431" s="64"/>
      <c r="FF431" s="64"/>
      <c r="FG431" s="64"/>
      <c r="FH431" s="64"/>
      <c r="FI431" s="64"/>
    </row>
    <row r="432" spans="158:165" ht="15" customHeight="1" x14ac:dyDescent="0.15">
      <c r="FB432" s="63"/>
      <c r="FC432" s="64"/>
      <c r="FD432" s="64"/>
      <c r="FE432" s="64"/>
      <c r="FF432" s="64"/>
      <c r="FG432" s="64"/>
      <c r="FH432" s="64"/>
      <c r="FI432" s="64"/>
    </row>
    <row r="433" spans="158:165" ht="15" customHeight="1" x14ac:dyDescent="0.15">
      <c r="FB433" s="63"/>
      <c r="FC433" s="64"/>
      <c r="FD433" s="64"/>
      <c r="FE433" s="64"/>
      <c r="FF433" s="64"/>
      <c r="FG433" s="64"/>
      <c r="FH433" s="64"/>
      <c r="FI433" s="64"/>
    </row>
    <row r="434" spans="158:165" ht="15" customHeight="1" x14ac:dyDescent="0.15">
      <c r="FB434" s="63"/>
      <c r="FC434" s="64"/>
      <c r="FD434" s="64"/>
      <c r="FE434" s="64"/>
      <c r="FF434" s="64"/>
      <c r="FG434" s="64"/>
      <c r="FH434" s="64"/>
      <c r="FI434" s="64"/>
    </row>
    <row r="435" spans="158:165" ht="15" customHeight="1" x14ac:dyDescent="0.15">
      <c r="FB435" s="63"/>
      <c r="FC435" s="64"/>
      <c r="FD435" s="64"/>
      <c r="FE435" s="64"/>
      <c r="FF435" s="64"/>
      <c r="FG435" s="64"/>
      <c r="FH435" s="64"/>
      <c r="FI435" s="64"/>
    </row>
    <row r="436" spans="158:165" ht="15" customHeight="1" x14ac:dyDescent="0.15">
      <c r="FB436" s="63"/>
      <c r="FC436" s="64"/>
      <c r="FD436" s="64"/>
      <c r="FE436" s="64"/>
      <c r="FF436" s="64"/>
      <c r="FG436" s="64"/>
      <c r="FH436" s="64"/>
      <c r="FI436" s="64"/>
    </row>
    <row r="437" spans="158:165" ht="15" customHeight="1" x14ac:dyDescent="0.15">
      <c r="FB437" s="63"/>
      <c r="FC437" s="64"/>
      <c r="FD437" s="64"/>
      <c r="FE437" s="64"/>
      <c r="FF437" s="64"/>
      <c r="FG437" s="64"/>
      <c r="FH437" s="64"/>
      <c r="FI437" s="64"/>
    </row>
    <row r="438" spans="158:165" ht="15" customHeight="1" x14ac:dyDescent="0.15">
      <c r="FB438" s="63"/>
      <c r="FC438" s="64"/>
      <c r="FD438" s="64"/>
      <c r="FE438" s="64"/>
      <c r="FF438" s="64"/>
      <c r="FG438" s="64"/>
      <c r="FH438" s="64"/>
      <c r="FI438" s="64"/>
    </row>
    <row r="439" spans="158:165" ht="15" customHeight="1" x14ac:dyDescent="0.15">
      <c r="FB439" s="63"/>
      <c r="FC439" s="64"/>
      <c r="FD439" s="64"/>
      <c r="FE439" s="64"/>
      <c r="FF439" s="64"/>
      <c r="FG439" s="64"/>
      <c r="FH439" s="64"/>
      <c r="FI439" s="64"/>
    </row>
    <row r="440" spans="158:165" ht="15" customHeight="1" x14ac:dyDescent="0.15">
      <c r="FB440" s="63"/>
      <c r="FC440" s="64"/>
      <c r="FD440" s="64"/>
      <c r="FE440" s="64"/>
      <c r="FF440" s="64"/>
      <c r="FG440" s="64"/>
      <c r="FH440" s="64"/>
      <c r="FI440" s="64"/>
    </row>
    <row r="441" spans="158:165" ht="15" customHeight="1" x14ac:dyDescent="0.15">
      <c r="FB441" s="63"/>
      <c r="FC441" s="64"/>
      <c r="FD441" s="64"/>
      <c r="FE441" s="64"/>
      <c r="FF441" s="64"/>
      <c r="FG441" s="64"/>
      <c r="FH441" s="64"/>
      <c r="FI441" s="64"/>
    </row>
    <row r="442" spans="158:165" ht="15" customHeight="1" x14ac:dyDescent="0.15">
      <c r="FB442" s="63"/>
      <c r="FC442" s="64"/>
      <c r="FD442" s="64"/>
      <c r="FE442" s="64"/>
      <c r="FF442" s="64"/>
      <c r="FG442" s="64"/>
      <c r="FH442" s="64"/>
      <c r="FI442" s="64"/>
    </row>
    <row r="443" spans="158:165" ht="15" customHeight="1" x14ac:dyDescent="0.15">
      <c r="FB443" s="63"/>
      <c r="FC443" s="64"/>
      <c r="FD443" s="64"/>
      <c r="FE443" s="64"/>
      <c r="FF443" s="64"/>
      <c r="FG443" s="64"/>
      <c r="FH443" s="64"/>
      <c r="FI443" s="64"/>
    </row>
    <row r="444" spans="158:165" ht="15" customHeight="1" x14ac:dyDescent="0.15">
      <c r="FB444" s="63"/>
      <c r="FC444" s="64"/>
      <c r="FD444" s="64"/>
      <c r="FE444" s="64"/>
      <c r="FF444" s="64"/>
      <c r="FG444" s="64"/>
      <c r="FH444" s="64"/>
      <c r="FI444" s="64"/>
    </row>
    <row r="445" spans="158:165" ht="15" customHeight="1" x14ac:dyDescent="0.15">
      <c r="FB445" s="63"/>
      <c r="FC445" s="64"/>
      <c r="FD445" s="64"/>
      <c r="FE445" s="64"/>
      <c r="FF445" s="64"/>
      <c r="FG445" s="64"/>
      <c r="FH445" s="64"/>
      <c r="FI445" s="64"/>
    </row>
    <row r="446" spans="158:165" ht="15" customHeight="1" x14ac:dyDescent="0.15">
      <c r="FB446" s="63"/>
      <c r="FC446" s="64"/>
      <c r="FD446" s="64"/>
      <c r="FE446" s="64"/>
      <c r="FF446" s="64"/>
      <c r="FG446" s="64"/>
      <c r="FH446" s="64"/>
      <c r="FI446" s="64"/>
    </row>
    <row r="447" spans="158:165" ht="15" customHeight="1" x14ac:dyDescent="0.15">
      <c r="FB447" s="63"/>
      <c r="FC447" s="64"/>
      <c r="FD447" s="64"/>
      <c r="FE447" s="64"/>
      <c r="FF447" s="64"/>
      <c r="FG447" s="64"/>
      <c r="FH447" s="64"/>
      <c r="FI447" s="64"/>
    </row>
    <row r="448" spans="158:165" ht="15" customHeight="1" x14ac:dyDescent="0.15">
      <c r="FB448" s="63"/>
      <c r="FC448" s="64"/>
      <c r="FD448" s="64"/>
      <c r="FE448" s="64"/>
      <c r="FF448" s="64"/>
      <c r="FG448" s="64"/>
      <c r="FH448" s="64"/>
      <c r="FI448" s="64"/>
    </row>
    <row r="449" spans="158:165" ht="15" customHeight="1" x14ac:dyDescent="0.15">
      <c r="FB449" s="63"/>
      <c r="FC449" s="64"/>
      <c r="FD449" s="64"/>
      <c r="FE449" s="64"/>
      <c r="FF449" s="64"/>
      <c r="FG449" s="64"/>
      <c r="FH449" s="64"/>
      <c r="FI449" s="64"/>
    </row>
    <row r="450" spans="158:165" ht="15" customHeight="1" x14ac:dyDescent="0.15">
      <c r="FB450" s="63"/>
      <c r="FC450" s="64"/>
      <c r="FD450" s="64"/>
      <c r="FE450" s="64"/>
      <c r="FF450" s="64"/>
      <c r="FG450" s="64"/>
      <c r="FH450" s="64"/>
      <c r="FI450" s="64"/>
    </row>
    <row r="451" spans="158:165" ht="15" customHeight="1" x14ac:dyDescent="0.15">
      <c r="FB451" s="63"/>
      <c r="FC451" s="64"/>
      <c r="FD451" s="64"/>
      <c r="FE451" s="64"/>
      <c r="FF451" s="64"/>
      <c r="FG451" s="64"/>
      <c r="FH451" s="64"/>
      <c r="FI451" s="64"/>
    </row>
    <row r="452" spans="158:165" ht="15" customHeight="1" x14ac:dyDescent="0.15">
      <c r="FB452" s="63"/>
      <c r="FC452" s="64"/>
      <c r="FD452" s="64"/>
      <c r="FE452" s="64"/>
      <c r="FF452" s="64"/>
      <c r="FG452" s="64"/>
      <c r="FH452" s="64"/>
      <c r="FI452" s="64"/>
    </row>
    <row r="453" spans="158:165" ht="15" customHeight="1" x14ac:dyDescent="0.15">
      <c r="FB453" s="63"/>
      <c r="FC453" s="64"/>
      <c r="FD453" s="64"/>
      <c r="FE453" s="64"/>
      <c r="FF453" s="64"/>
      <c r="FG453" s="64"/>
      <c r="FH453" s="64"/>
      <c r="FI453" s="64"/>
    </row>
    <row r="454" spans="158:165" ht="15" customHeight="1" x14ac:dyDescent="0.15">
      <c r="FB454" s="63"/>
      <c r="FC454" s="64"/>
      <c r="FD454" s="64"/>
      <c r="FE454" s="64"/>
      <c r="FF454" s="64"/>
      <c r="FG454" s="64"/>
      <c r="FH454" s="64"/>
      <c r="FI454" s="64"/>
    </row>
    <row r="455" spans="158:165" ht="15" customHeight="1" x14ac:dyDescent="0.15">
      <c r="FB455" s="63"/>
      <c r="FC455" s="64"/>
      <c r="FD455" s="64"/>
      <c r="FE455" s="64"/>
      <c r="FF455" s="64"/>
      <c r="FG455" s="64"/>
      <c r="FH455" s="64"/>
      <c r="FI455" s="64"/>
    </row>
    <row r="456" spans="158:165" ht="15" customHeight="1" x14ac:dyDescent="0.15">
      <c r="FB456" s="63"/>
      <c r="FC456" s="64"/>
      <c r="FD456" s="64"/>
      <c r="FE456" s="64"/>
      <c r="FF456" s="64"/>
      <c r="FG456" s="64"/>
      <c r="FH456" s="64"/>
      <c r="FI456" s="64"/>
    </row>
    <row r="457" spans="158:165" ht="15" customHeight="1" x14ac:dyDescent="0.15">
      <c r="FB457" s="63"/>
      <c r="FC457" s="64"/>
      <c r="FD457" s="64"/>
      <c r="FE457" s="64"/>
      <c r="FF457" s="64"/>
      <c r="FG457" s="64"/>
      <c r="FH457" s="64"/>
      <c r="FI457" s="64"/>
    </row>
    <row r="458" spans="158:165" ht="15" customHeight="1" x14ac:dyDescent="0.15">
      <c r="FB458" s="63"/>
      <c r="FC458" s="64"/>
      <c r="FD458" s="64"/>
      <c r="FE458" s="64"/>
      <c r="FF458" s="64"/>
      <c r="FG458" s="64"/>
      <c r="FH458" s="64"/>
      <c r="FI458" s="64"/>
    </row>
    <row r="459" spans="158:165" ht="15" customHeight="1" x14ac:dyDescent="0.15">
      <c r="FB459" s="63"/>
      <c r="FC459" s="64"/>
      <c r="FD459" s="64"/>
      <c r="FE459" s="64"/>
      <c r="FF459" s="64"/>
      <c r="FG459" s="64"/>
      <c r="FH459" s="64"/>
      <c r="FI459" s="64"/>
    </row>
    <row r="460" spans="158:165" ht="15" customHeight="1" x14ac:dyDescent="0.15">
      <c r="FB460" s="63"/>
      <c r="FC460" s="64"/>
      <c r="FD460" s="64"/>
      <c r="FE460" s="64"/>
      <c r="FF460" s="64"/>
      <c r="FG460" s="64"/>
      <c r="FH460" s="64"/>
      <c r="FI460" s="64"/>
    </row>
    <row r="461" spans="158:165" ht="15" customHeight="1" x14ac:dyDescent="0.15">
      <c r="FB461" s="63"/>
      <c r="FC461" s="64"/>
      <c r="FD461" s="64"/>
      <c r="FE461" s="64"/>
      <c r="FF461" s="64"/>
      <c r="FG461" s="64"/>
      <c r="FH461" s="64"/>
      <c r="FI461" s="64"/>
    </row>
    <row r="462" spans="158:165" ht="15" customHeight="1" x14ac:dyDescent="0.15">
      <c r="FB462" s="63"/>
      <c r="FC462" s="64"/>
      <c r="FD462" s="64"/>
      <c r="FE462" s="64"/>
      <c r="FF462" s="64"/>
      <c r="FG462" s="64"/>
      <c r="FH462" s="64"/>
      <c r="FI462" s="64"/>
    </row>
    <row r="463" spans="158:165" ht="15" customHeight="1" x14ac:dyDescent="0.15">
      <c r="FB463" s="63"/>
      <c r="FC463" s="64"/>
      <c r="FD463" s="64"/>
      <c r="FE463" s="64"/>
      <c r="FF463" s="64"/>
      <c r="FG463" s="64"/>
      <c r="FH463" s="64"/>
      <c r="FI463" s="64"/>
    </row>
    <row r="464" spans="158:165" ht="15" customHeight="1" x14ac:dyDescent="0.15">
      <c r="FB464" s="63"/>
      <c r="FC464" s="64"/>
      <c r="FD464" s="64"/>
      <c r="FE464" s="64"/>
      <c r="FF464" s="64"/>
      <c r="FG464" s="64"/>
      <c r="FH464" s="64"/>
      <c r="FI464" s="64"/>
    </row>
    <row r="465" spans="158:165" ht="15" customHeight="1" x14ac:dyDescent="0.15">
      <c r="FB465" s="63"/>
      <c r="FC465" s="64"/>
      <c r="FD465" s="64"/>
      <c r="FE465" s="64"/>
      <c r="FF465" s="64"/>
      <c r="FG465" s="64"/>
      <c r="FH465" s="64"/>
      <c r="FI465" s="64"/>
    </row>
    <row r="466" spans="158:165" ht="15" customHeight="1" x14ac:dyDescent="0.15">
      <c r="FB466" s="63"/>
      <c r="FC466" s="64"/>
      <c r="FD466" s="64"/>
      <c r="FE466" s="64"/>
      <c r="FF466" s="64"/>
      <c r="FG466" s="64"/>
      <c r="FH466" s="64"/>
      <c r="FI466" s="64"/>
    </row>
    <row r="467" spans="158:165" ht="15" customHeight="1" x14ac:dyDescent="0.15">
      <c r="FB467" s="63"/>
      <c r="FC467" s="64"/>
      <c r="FD467" s="64"/>
      <c r="FE467" s="64"/>
      <c r="FF467" s="64"/>
      <c r="FG467" s="64"/>
      <c r="FH467" s="64"/>
      <c r="FI467" s="64"/>
    </row>
    <row r="468" spans="158:165" ht="15" customHeight="1" x14ac:dyDescent="0.15">
      <c r="FB468" s="63"/>
      <c r="FC468" s="64"/>
      <c r="FD468" s="64"/>
      <c r="FE468" s="64"/>
      <c r="FF468" s="64"/>
      <c r="FG468" s="64"/>
      <c r="FH468" s="64"/>
      <c r="FI468" s="64"/>
    </row>
    <row r="469" spans="158:165" ht="15" customHeight="1" x14ac:dyDescent="0.15">
      <c r="FB469" s="63"/>
      <c r="FC469" s="64"/>
      <c r="FD469" s="64"/>
      <c r="FE469" s="64"/>
      <c r="FF469" s="64"/>
      <c r="FG469" s="64"/>
      <c r="FH469" s="64"/>
      <c r="FI469" s="64"/>
    </row>
    <row r="470" spans="158:165" ht="15" customHeight="1" x14ac:dyDescent="0.15">
      <c r="FB470" s="63"/>
      <c r="FC470" s="64"/>
      <c r="FD470" s="64"/>
      <c r="FE470" s="64"/>
      <c r="FF470" s="64"/>
      <c r="FG470" s="64"/>
      <c r="FH470" s="64"/>
      <c r="FI470" s="64"/>
    </row>
    <row r="471" spans="158:165" ht="15" customHeight="1" x14ac:dyDescent="0.15">
      <c r="FB471" s="63"/>
      <c r="FC471" s="64"/>
      <c r="FD471" s="64"/>
      <c r="FE471" s="64"/>
      <c r="FF471" s="64"/>
      <c r="FG471" s="64"/>
      <c r="FH471" s="64"/>
      <c r="FI471" s="64"/>
    </row>
    <row r="472" spans="158:165" ht="15" customHeight="1" x14ac:dyDescent="0.15">
      <c r="FB472" s="63"/>
      <c r="FC472" s="64"/>
      <c r="FD472" s="64"/>
      <c r="FE472" s="64"/>
      <c r="FF472" s="64"/>
      <c r="FG472" s="64"/>
      <c r="FH472" s="64"/>
      <c r="FI472" s="64"/>
    </row>
    <row r="473" spans="158:165" ht="15" customHeight="1" x14ac:dyDescent="0.15">
      <c r="FB473" s="63"/>
      <c r="FC473" s="64"/>
      <c r="FD473" s="64"/>
      <c r="FE473" s="64"/>
      <c r="FF473" s="64"/>
      <c r="FG473" s="64"/>
      <c r="FH473" s="64"/>
      <c r="FI473" s="64"/>
    </row>
    <row r="474" spans="158:165" ht="15" customHeight="1" x14ac:dyDescent="0.15">
      <c r="FB474" s="63"/>
      <c r="FC474" s="64"/>
      <c r="FD474" s="64"/>
      <c r="FE474" s="64"/>
      <c r="FF474" s="64"/>
      <c r="FG474" s="64"/>
      <c r="FH474" s="64"/>
      <c r="FI474" s="64"/>
    </row>
    <row r="475" spans="158:165" ht="15" customHeight="1" x14ac:dyDescent="0.15">
      <c r="FB475" s="63"/>
      <c r="FC475" s="64"/>
      <c r="FD475" s="64"/>
      <c r="FE475" s="64"/>
      <c r="FF475" s="64"/>
      <c r="FG475" s="64"/>
      <c r="FH475" s="64"/>
      <c r="FI475" s="64"/>
    </row>
    <row r="476" spans="158:165" ht="15" customHeight="1" x14ac:dyDescent="0.15">
      <c r="FB476" s="63"/>
      <c r="FC476" s="64"/>
      <c r="FD476" s="64"/>
      <c r="FE476" s="64"/>
      <c r="FF476" s="64"/>
      <c r="FG476" s="64"/>
      <c r="FH476" s="64"/>
      <c r="FI476" s="64"/>
    </row>
    <row r="477" spans="158:165" ht="15" customHeight="1" x14ac:dyDescent="0.15">
      <c r="FB477" s="63"/>
      <c r="FC477" s="64"/>
      <c r="FD477" s="64"/>
      <c r="FE477" s="64"/>
      <c r="FF477" s="64"/>
      <c r="FG477" s="64"/>
      <c r="FH477" s="64"/>
      <c r="FI477" s="64"/>
    </row>
    <row r="478" spans="158:165" ht="15" customHeight="1" x14ac:dyDescent="0.15">
      <c r="FB478" s="63"/>
      <c r="FC478" s="64"/>
      <c r="FD478" s="64"/>
      <c r="FE478" s="64"/>
      <c r="FF478" s="64"/>
      <c r="FG478" s="64"/>
      <c r="FH478" s="64"/>
      <c r="FI478" s="64"/>
    </row>
    <row r="479" spans="158:165" ht="15" customHeight="1" x14ac:dyDescent="0.15">
      <c r="FB479" s="63"/>
      <c r="FC479" s="64"/>
      <c r="FD479" s="64"/>
      <c r="FE479" s="64"/>
      <c r="FF479" s="64"/>
      <c r="FG479" s="64"/>
      <c r="FH479" s="64"/>
      <c r="FI479" s="64"/>
    </row>
    <row r="480" spans="158:165" ht="15" customHeight="1" x14ac:dyDescent="0.15">
      <c r="FB480" s="63"/>
      <c r="FC480" s="64"/>
      <c r="FD480" s="64"/>
      <c r="FE480" s="64"/>
      <c r="FF480" s="64"/>
      <c r="FG480" s="64"/>
      <c r="FH480" s="64"/>
      <c r="FI480" s="64"/>
    </row>
    <row r="481" spans="158:165" ht="15" customHeight="1" x14ac:dyDescent="0.15">
      <c r="FB481" s="63"/>
      <c r="FC481" s="64"/>
      <c r="FD481" s="64"/>
      <c r="FE481" s="64"/>
      <c r="FF481" s="64"/>
      <c r="FG481" s="64"/>
      <c r="FH481" s="64"/>
      <c r="FI481" s="64"/>
    </row>
    <row r="482" spans="158:165" ht="15" customHeight="1" x14ac:dyDescent="0.15">
      <c r="FB482" s="63"/>
      <c r="FC482" s="64"/>
      <c r="FD482" s="64"/>
      <c r="FE482" s="64"/>
      <c r="FF482" s="64"/>
      <c r="FG482" s="64"/>
      <c r="FH482" s="64"/>
      <c r="FI482" s="64"/>
    </row>
    <row r="483" spans="158:165" ht="15" customHeight="1" x14ac:dyDescent="0.15">
      <c r="FB483" s="63"/>
      <c r="FC483" s="64"/>
      <c r="FD483" s="64"/>
      <c r="FE483" s="64"/>
      <c r="FF483" s="64"/>
      <c r="FG483" s="64"/>
      <c r="FH483" s="64"/>
      <c r="FI483" s="64"/>
    </row>
    <row r="484" spans="158:165" ht="15" customHeight="1" x14ac:dyDescent="0.15">
      <c r="FB484" s="63"/>
      <c r="FC484" s="64"/>
      <c r="FD484" s="64"/>
      <c r="FE484" s="64"/>
      <c r="FF484" s="64"/>
      <c r="FG484" s="64"/>
      <c r="FH484" s="64"/>
      <c r="FI484" s="64"/>
    </row>
    <row r="485" spans="158:165" ht="15" customHeight="1" x14ac:dyDescent="0.15">
      <c r="FB485" s="63"/>
      <c r="FC485" s="64"/>
      <c r="FD485" s="64"/>
      <c r="FE485" s="64"/>
      <c r="FF485" s="64"/>
      <c r="FG485" s="64"/>
      <c r="FH485" s="64"/>
      <c r="FI485" s="64"/>
    </row>
    <row r="486" spans="158:165" ht="15" customHeight="1" x14ac:dyDescent="0.15">
      <c r="FB486" s="63"/>
      <c r="FC486" s="64"/>
      <c r="FD486" s="64"/>
      <c r="FE486" s="64"/>
      <c r="FF486" s="64"/>
      <c r="FG486" s="64"/>
      <c r="FH486" s="64"/>
      <c r="FI486" s="64"/>
    </row>
    <row r="487" spans="158:165" ht="15" customHeight="1" x14ac:dyDescent="0.15">
      <c r="FB487" s="63"/>
      <c r="FC487" s="64"/>
      <c r="FD487" s="64"/>
      <c r="FE487" s="64"/>
      <c r="FF487" s="64"/>
      <c r="FG487" s="64"/>
      <c r="FH487" s="64"/>
      <c r="FI487" s="64"/>
    </row>
    <row r="488" spans="158:165" ht="15" customHeight="1" x14ac:dyDescent="0.15">
      <c r="FB488" s="63"/>
      <c r="FC488" s="64"/>
      <c r="FD488" s="64"/>
      <c r="FE488" s="64"/>
      <c r="FF488" s="64"/>
      <c r="FG488" s="64"/>
      <c r="FH488" s="64"/>
      <c r="FI488" s="64"/>
    </row>
    <row r="489" spans="158:165" ht="15" customHeight="1" x14ac:dyDescent="0.15">
      <c r="FB489" s="63"/>
      <c r="FC489" s="64"/>
      <c r="FD489" s="64"/>
      <c r="FE489" s="64"/>
      <c r="FF489" s="64"/>
      <c r="FG489" s="64"/>
      <c r="FH489" s="64"/>
      <c r="FI489" s="64"/>
    </row>
    <row r="490" spans="158:165" ht="15" customHeight="1" x14ac:dyDescent="0.15">
      <c r="FB490" s="63"/>
      <c r="FC490" s="64"/>
      <c r="FD490" s="64"/>
      <c r="FE490" s="64"/>
      <c r="FF490" s="64"/>
      <c r="FG490" s="64"/>
      <c r="FH490" s="64"/>
      <c r="FI490" s="64"/>
    </row>
    <row r="491" spans="158:165" ht="15" customHeight="1" x14ac:dyDescent="0.15">
      <c r="FB491" s="63"/>
      <c r="FC491" s="64"/>
      <c r="FD491" s="64"/>
      <c r="FE491" s="64"/>
      <c r="FF491" s="64"/>
      <c r="FG491" s="64"/>
      <c r="FH491" s="64"/>
      <c r="FI491" s="64"/>
    </row>
    <row r="492" spans="158:165" ht="15" customHeight="1" x14ac:dyDescent="0.15">
      <c r="FB492" s="63"/>
      <c r="FC492" s="64"/>
      <c r="FD492" s="64"/>
      <c r="FE492" s="64"/>
      <c r="FF492" s="64"/>
      <c r="FG492" s="64"/>
      <c r="FH492" s="64"/>
      <c r="FI492" s="64"/>
    </row>
    <row r="493" spans="158:165" ht="15" customHeight="1" x14ac:dyDescent="0.15">
      <c r="FB493" s="63"/>
      <c r="FC493" s="64"/>
      <c r="FD493" s="64"/>
      <c r="FE493" s="64"/>
      <c r="FF493" s="64"/>
      <c r="FG493" s="64"/>
      <c r="FH493" s="64"/>
      <c r="FI493" s="64"/>
    </row>
    <row r="494" spans="158:165" ht="15" customHeight="1" x14ac:dyDescent="0.15">
      <c r="FB494" s="63"/>
      <c r="FC494" s="64"/>
      <c r="FD494" s="64"/>
      <c r="FE494" s="64"/>
      <c r="FF494" s="64"/>
      <c r="FG494" s="64"/>
      <c r="FH494" s="64"/>
      <c r="FI494" s="64"/>
    </row>
    <row r="495" spans="158:165" ht="15" customHeight="1" x14ac:dyDescent="0.15">
      <c r="FB495" s="63"/>
      <c r="FC495" s="64"/>
      <c r="FD495" s="64"/>
      <c r="FE495" s="64"/>
      <c r="FF495" s="64"/>
      <c r="FG495" s="64"/>
      <c r="FH495" s="64"/>
      <c r="FI495" s="64"/>
    </row>
    <row r="496" spans="158:165" ht="15" customHeight="1" x14ac:dyDescent="0.15">
      <c r="FB496" s="63"/>
      <c r="FC496" s="64"/>
      <c r="FD496" s="64"/>
      <c r="FE496" s="64"/>
      <c r="FF496" s="64"/>
      <c r="FG496" s="64"/>
      <c r="FH496" s="64"/>
      <c r="FI496" s="64"/>
    </row>
    <row r="497" spans="158:165" ht="15" customHeight="1" x14ac:dyDescent="0.15">
      <c r="FB497" s="63"/>
      <c r="FC497" s="64"/>
      <c r="FD497" s="64"/>
      <c r="FE497" s="64"/>
      <c r="FF497" s="64"/>
      <c r="FG497" s="64"/>
      <c r="FH497" s="64"/>
      <c r="FI497" s="64"/>
    </row>
    <row r="498" spans="158:165" ht="15" customHeight="1" x14ac:dyDescent="0.15">
      <c r="FB498" s="63"/>
      <c r="FC498" s="64"/>
      <c r="FD498" s="64"/>
      <c r="FE498" s="64"/>
      <c r="FF498" s="64"/>
      <c r="FG498" s="64"/>
      <c r="FH498" s="64"/>
      <c r="FI498" s="64"/>
    </row>
    <row r="499" spans="158:165" ht="15" customHeight="1" x14ac:dyDescent="0.15">
      <c r="FB499" s="63"/>
      <c r="FC499" s="64"/>
      <c r="FD499" s="64"/>
      <c r="FE499" s="64"/>
      <c r="FF499" s="64"/>
      <c r="FG499" s="64"/>
      <c r="FH499" s="64"/>
      <c r="FI499" s="64"/>
    </row>
    <row r="500" spans="158:165" ht="15" customHeight="1" x14ac:dyDescent="0.15">
      <c r="FB500" s="63"/>
      <c r="FC500" s="64"/>
      <c r="FD500" s="64"/>
      <c r="FE500" s="64"/>
      <c r="FF500" s="64"/>
      <c r="FG500" s="64"/>
      <c r="FH500" s="64"/>
      <c r="FI500" s="64"/>
    </row>
    <row r="501" spans="158:165" ht="15" customHeight="1" x14ac:dyDescent="0.15">
      <c r="FB501" s="63"/>
      <c r="FC501" s="64"/>
      <c r="FD501" s="64"/>
      <c r="FE501" s="64"/>
      <c r="FF501" s="64"/>
      <c r="FG501" s="64"/>
      <c r="FH501" s="64"/>
      <c r="FI501" s="64"/>
    </row>
    <row r="502" spans="158:165" ht="15" customHeight="1" x14ac:dyDescent="0.15">
      <c r="FB502" s="63"/>
      <c r="FC502" s="64"/>
      <c r="FD502" s="64"/>
      <c r="FE502" s="64"/>
      <c r="FF502" s="64"/>
      <c r="FG502" s="64"/>
      <c r="FH502" s="64"/>
      <c r="FI502" s="64"/>
    </row>
    <row r="503" spans="158:165" ht="15" customHeight="1" x14ac:dyDescent="0.15">
      <c r="FB503" s="63"/>
      <c r="FC503" s="64"/>
      <c r="FD503" s="64"/>
      <c r="FE503" s="64"/>
      <c r="FF503" s="64"/>
      <c r="FG503" s="64"/>
      <c r="FH503" s="64"/>
      <c r="FI503" s="64"/>
    </row>
    <row r="504" spans="158:165" ht="15" customHeight="1" x14ac:dyDescent="0.15">
      <c r="FB504" s="63"/>
      <c r="FC504" s="64"/>
      <c r="FD504" s="64"/>
      <c r="FE504" s="64"/>
      <c r="FF504" s="64"/>
      <c r="FG504" s="64"/>
      <c r="FH504" s="64"/>
      <c r="FI504" s="64"/>
    </row>
    <row r="505" spans="158:165" ht="15" customHeight="1" x14ac:dyDescent="0.15">
      <c r="FB505" s="63"/>
      <c r="FC505" s="64"/>
      <c r="FD505" s="64"/>
      <c r="FE505" s="64"/>
      <c r="FF505" s="64"/>
      <c r="FG505" s="64"/>
      <c r="FH505" s="64"/>
      <c r="FI505" s="64"/>
    </row>
    <row r="506" spans="158:165" ht="15" customHeight="1" x14ac:dyDescent="0.15">
      <c r="FB506" s="63"/>
      <c r="FC506" s="64"/>
      <c r="FD506" s="64"/>
      <c r="FE506" s="64"/>
      <c r="FF506" s="64"/>
      <c r="FG506" s="64"/>
      <c r="FH506" s="64"/>
      <c r="FI506" s="64"/>
    </row>
    <row r="507" spans="158:165" ht="15" customHeight="1" x14ac:dyDescent="0.15">
      <c r="FB507" s="63"/>
      <c r="FC507" s="64"/>
      <c r="FD507" s="64"/>
      <c r="FE507" s="64"/>
      <c r="FF507" s="64"/>
      <c r="FG507" s="64"/>
      <c r="FH507" s="64"/>
      <c r="FI507" s="64"/>
    </row>
    <row r="508" spans="158:165" ht="15" customHeight="1" x14ac:dyDescent="0.15">
      <c r="FB508" s="63"/>
      <c r="FC508" s="64"/>
      <c r="FD508" s="64"/>
      <c r="FE508" s="64"/>
      <c r="FF508" s="64"/>
      <c r="FG508" s="64"/>
      <c r="FH508" s="64"/>
      <c r="FI508" s="64"/>
    </row>
    <row r="509" spans="158:165" ht="15" customHeight="1" x14ac:dyDescent="0.15">
      <c r="FB509" s="63"/>
      <c r="FC509" s="64"/>
      <c r="FD509" s="64"/>
      <c r="FE509" s="64"/>
      <c r="FF509" s="64"/>
      <c r="FG509" s="64"/>
      <c r="FH509" s="64"/>
      <c r="FI509" s="64"/>
    </row>
    <row r="510" spans="158:165" ht="15" customHeight="1" x14ac:dyDescent="0.15">
      <c r="FB510" s="63"/>
      <c r="FC510" s="64"/>
      <c r="FD510" s="64"/>
      <c r="FE510" s="64"/>
      <c r="FF510" s="64"/>
      <c r="FG510" s="64"/>
      <c r="FH510" s="64"/>
      <c r="FI510" s="64"/>
    </row>
    <row r="511" spans="158:165" ht="15" customHeight="1" x14ac:dyDescent="0.15">
      <c r="FB511" s="63"/>
      <c r="FC511" s="64"/>
      <c r="FD511" s="64"/>
      <c r="FE511" s="64"/>
      <c r="FF511" s="64"/>
      <c r="FG511" s="64"/>
      <c r="FH511" s="64"/>
      <c r="FI511" s="64"/>
    </row>
    <row r="512" spans="158:165" ht="15" customHeight="1" x14ac:dyDescent="0.15">
      <c r="FB512" s="63"/>
      <c r="FC512" s="64"/>
      <c r="FD512" s="64"/>
      <c r="FE512" s="64"/>
      <c r="FF512" s="64"/>
      <c r="FG512" s="64"/>
      <c r="FH512" s="64"/>
      <c r="FI512" s="64"/>
    </row>
    <row r="513" spans="158:165" ht="15" customHeight="1" x14ac:dyDescent="0.15">
      <c r="FB513" s="63"/>
      <c r="FC513" s="64"/>
      <c r="FD513" s="64"/>
      <c r="FE513" s="64"/>
      <c r="FF513" s="64"/>
      <c r="FG513" s="64"/>
      <c r="FH513" s="64"/>
      <c r="FI513" s="64"/>
    </row>
    <row r="514" spans="158:165" ht="15" customHeight="1" x14ac:dyDescent="0.15">
      <c r="FB514" s="63"/>
      <c r="FC514" s="64"/>
      <c r="FD514" s="64"/>
      <c r="FE514" s="64"/>
      <c r="FF514" s="64"/>
      <c r="FG514" s="64"/>
      <c r="FH514" s="64"/>
      <c r="FI514" s="64"/>
    </row>
    <row r="515" spans="158:165" ht="15" customHeight="1" x14ac:dyDescent="0.15">
      <c r="FB515" s="63"/>
      <c r="FC515" s="64"/>
      <c r="FD515" s="64"/>
      <c r="FE515" s="64"/>
      <c r="FF515" s="64"/>
      <c r="FG515" s="64"/>
      <c r="FH515" s="64"/>
      <c r="FI515" s="64"/>
    </row>
    <row r="516" spans="158:165" ht="15" customHeight="1" x14ac:dyDescent="0.15">
      <c r="FB516" s="63"/>
      <c r="FC516" s="64"/>
      <c r="FD516" s="64"/>
      <c r="FE516" s="64"/>
      <c r="FF516" s="64"/>
      <c r="FG516" s="64"/>
      <c r="FH516" s="64"/>
      <c r="FI516" s="64"/>
    </row>
    <row r="517" spans="158:165" ht="15" customHeight="1" x14ac:dyDescent="0.15">
      <c r="FB517" s="63"/>
      <c r="FC517" s="64"/>
      <c r="FD517" s="64"/>
      <c r="FE517" s="64"/>
      <c r="FF517" s="64"/>
      <c r="FG517" s="64"/>
      <c r="FH517" s="64"/>
      <c r="FI517" s="64"/>
    </row>
    <row r="518" spans="158:165" ht="15" customHeight="1" x14ac:dyDescent="0.15">
      <c r="FB518" s="63"/>
      <c r="FC518" s="64"/>
      <c r="FD518" s="64"/>
      <c r="FE518" s="64"/>
      <c r="FF518" s="64"/>
      <c r="FG518" s="64"/>
      <c r="FH518" s="64"/>
      <c r="FI518" s="64"/>
    </row>
    <row r="519" spans="158:165" ht="15" customHeight="1" x14ac:dyDescent="0.15">
      <c r="FB519" s="63"/>
      <c r="FC519" s="64"/>
      <c r="FD519" s="64"/>
      <c r="FE519" s="64"/>
      <c r="FF519" s="64"/>
      <c r="FG519" s="64"/>
      <c r="FH519" s="64"/>
      <c r="FI519" s="64"/>
    </row>
    <row r="520" spans="158:165" ht="15" customHeight="1" x14ac:dyDescent="0.15">
      <c r="FB520" s="63"/>
      <c r="FC520" s="64"/>
      <c r="FD520" s="64"/>
      <c r="FE520" s="64"/>
      <c r="FF520" s="64"/>
      <c r="FG520" s="64"/>
      <c r="FH520" s="64"/>
      <c r="FI520" s="64"/>
    </row>
    <row r="521" spans="158:165" ht="15" customHeight="1" x14ac:dyDescent="0.15">
      <c r="FB521" s="63"/>
      <c r="FC521" s="64"/>
      <c r="FD521" s="64"/>
      <c r="FE521" s="64"/>
      <c r="FF521" s="64"/>
      <c r="FG521" s="64"/>
      <c r="FH521" s="64"/>
      <c r="FI521" s="64"/>
    </row>
    <row r="522" spans="158:165" ht="15" customHeight="1" x14ac:dyDescent="0.15">
      <c r="FB522" s="63"/>
      <c r="FC522" s="64"/>
      <c r="FD522" s="64"/>
      <c r="FE522" s="64"/>
      <c r="FF522" s="64"/>
      <c r="FG522" s="64"/>
      <c r="FH522" s="64"/>
      <c r="FI522" s="64"/>
    </row>
    <row r="523" spans="158:165" ht="15" customHeight="1" x14ac:dyDescent="0.15">
      <c r="FB523" s="63"/>
      <c r="FC523" s="64"/>
      <c r="FD523" s="64"/>
      <c r="FE523" s="64"/>
      <c r="FF523" s="64"/>
      <c r="FG523" s="64"/>
      <c r="FH523" s="64"/>
      <c r="FI523" s="64"/>
    </row>
    <row r="524" spans="158:165" ht="15" customHeight="1" x14ac:dyDescent="0.15">
      <c r="FB524" s="63"/>
      <c r="FC524" s="64"/>
      <c r="FD524" s="64"/>
      <c r="FE524" s="64"/>
      <c r="FF524" s="64"/>
      <c r="FG524" s="64"/>
      <c r="FH524" s="64"/>
      <c r="FI524" s="64"/>
    </row>
    <row r="525" spans="158:165" ht="15" customHeight="1" x14ac:dyDescent="0.15">
      <c r="FB525" s="63"/>
      <c r="FC525" s="64"/>
      <c r="FD525" s="64"/>
      <c r="FE525" s="64"/>
      <c r="FF525" s="64"/>
      <c r="FG525" s="64"/>
      <c r="FH525" s="64"/>
      <c r="FI525" s="64"/>
    </row>
    <row r="526" spans="158:165" ht="15" customHeight="1" x14ac:dyDescent="0.15">
      <c r="FB526" s="63"/>
      <c r="FC526" s="64"/>
      <c r="FD526" s="64"/>
      <c r="FE526" s="64"/>
      <c r="FF526" s="64"/>
      <c r="FG526" s="64"/>
      <c r="FH526" s="64"/>
      <c r="FI526" s="64"/>
    </row>
    <row r="527" spans="158:165" ht="15" customHeight="1" x14ac:dyDescent="0.15">
      <c r="FB527" s="63"/>
      <c r="FC527" s="64"/>
      <c r="FD527" s="64"/>
      <c r="FE527" s="64"/>
      <c r="FF527" s="64"/>
      <c r="FG527" s="64"/>
      <c r="FH527" s="64"/>
      <c r="FI527" s="64"/>
    </row>
    <row r="528" spans="158:165" ht="15" customHeight="1" x14ac:dyDescent="0.15">
      <c r="FB528" s="63"/>
      <c r="FC528" s="64"/>
      <c r="FD528" s="64"/>
      <c r="FE528" s="64"/>
      <c r="FF528" s="64"/>
      <c r="FG528" s="64"/>
      <c r="FH528" s="64"/>
      <c r="FI528" s="64"/>
    </row>
    <row r="529" spans="158:165" ht="15" customHeight="1" x14ac:dyDescent="0.15">
      <c r="FB529" s="63"/>
      <c r="FC529" s="64"/>
      <c r="FD529" s="64"/>
      <c r="FE529" s="64"/>
      <c r="FF529" s="64"/>
      <c r="FG529" s="64"/>
      <c r="FH529" s="64"/>
      <c r="FI529" s="64"/>
    </row>
    <row r="530" spans="158:165" ht="15" customHeight="1" x14ac:dyDescent="0.15">
      <c r="FB530" s="63"/>
      <c r="FC530" s="64"/>
      <c r="FD530" s="64"/>
      <c r="FE530" s="64"/>
      <c r="FF530" s="64"/>
      <c r="FG530" s="64"/>
      <c r="FH530" s="64"/>
      <c r="FI530" s="64"/>
    </row>
    <row r="531" spans="158:165" ht="15" customHeight="1" x14ac:dyDescent="0.15">
      <c r="FB531" s="63"/>
      <c r="FC531" s="64"/>
      <c r="FD531" s="64"/>
      <c r="FE531" s="64"/>
      <c r="FF531" s="64"/>
      <c r="FG531" s="64"/>
      <c r="FH531" s="64"/>
      <c r="FI531" s="64"/>
    </row>
    <row r="532" spans="158:165" ht="15" customHeight="1" x14ac:dyDescent="0.15">
      <c r="FB532" s="63"/>
      <c r="FC532" s="64"/>
      <c r="FD532" s="64"/>
      <c r="FE532" s="64"/>
      <c r="FF532" s="64"/>
      <c r="FG532" s="64"/>
      <c r="FH532" s="64"/>
      <c r="FI532" s="64"/>
    </row>
    <row r="533" spans="158:165" ht="15" customHeight="1" x14ac:dyDescent="0.15">
      <c r="FB533" s="63"/>
      <c r="FC533" s="64"/>
      <c r="FD533" s="64"/>
      <c r="FE533" s="64"/>
      <c r="FF533" s="64"/>
      <c r="FG533" s="64"/>
      <c r="FH533" s="64"/>
      <c r="FI533" s="64"/>
    </row>
    <row r="534" spans="158:165" ht="15" customHeight="1" x14ac:dyDescent="0.15">
      <c r="FB534" s="63"/>
      <c r="FC534" s="64"/>
      <c r="FD534" s="64"/>
      <c r="FE534" s="64"/>
      <c r="FF534" s="64"/>
      <c r="FG534" s="64"/>
      <c r="FH534" s="64"/>
      <c r="FI534" s="64"/>
    </row>
    <row r="535" spans="158:165" ht="15" customHeight="1" x14ac:dyDescent="0.15">
      <c r="FB535" s="63"/>
      <c r="FC535" s="64"/>
      <c r="FD535" s="64"/>
      <c r="FE535" s="64"/>
      <c r="FF535" s="64"/>
      <c r="FG535" s="64"/>
      <c r="FH535" s="64"/>
      <c r="FI535" s="64"/>
    </row>
    <row r="536" spans="158:165" ht="15" customHeight="1" x14ac:dyDescent="0.15">
      <c r="FB536" s="63"/>
      <c r="FC536" s="64"/>
      <c r="FD536" s="64"/>
      <c r="FE536" s="64"/>
      <c r="FF536" s="64"/>
      <c r="FG536" s="64"/>
      <c r="FH536" s="64"/>
      <c r="FI536" s="64"/>
    </row>
    <row r="537" spans="158:165" ht="15" customHeight="1" x14ac:dyDescent="0.15">
      <c r="FB537" s="63"/>
      <c r="FC537" s="64"/>
      <c r="FD537" s="64"/>
      <c r="FE537" s="64"/>
      <c r="FF537" s="64"/>
      <c r="FG537" s="64"/>
      <c r="FH537" s="64"/>
      <c r="FI537" s="64"/>
    </row>
    <row r="538" spans="158:165" ht="15" customHeight="1" x14ac:dyDescent="0.15">
      <c r="FB538" s="63"/>
      <c r="FC538" s="64"/>
      <c r="FD538" s="64"/>
      <c r="FE538" s="64"/>
      <c r="FF538" s="64"/>
      <c r="FG538" s="64"/>
      <c r="FH538" s="64"/>
      <c r="FI538" s="64"/>
    </row>
    <row r="539" spans="158:165" ht="15" customHeight="1" x14ac:dyDescent="0.15">
      <c r="FB539" s="63"/>
      <c r="FC539" s="64"/>
      <c r="FD539" s="64"/>
      <c r="FE539" s="64"/>
      <c r="FF539" s="64"/>
      <c r="FG539" s="64"/>
      <c r="FH539" s="64"/>
      <c r="FI539" s="64"/>
    </row>
    <row r="540" spans="158:165" ht="15" customHeight="1" x14ac:dyDescent="0.15">
      <c r="FB540" s="63"/>
      <c r="FC540" s="64"/>
      <c r="FD540" s="64"/>
      <c r="FE540" s="64"/>
      <c r="FF540" s="64"/>
      <c r="FG540" s="64"/>
      <c r="FH540" s="64"/>
      <c r="FI540" s="64"/>
    </row>
    <row r="541" spans="158:165" ht="15" customHeight="1" x14ac:dyDescent="0.15">
      <c r="FB541" s="63"/>
      <c r="FC541" s="64"/>
      <c r="FD541" s="64"/>
      <c r="FE541" s="64"/>
      <c r="FF541" s="64"/>
      <c r="FG541" s="64"/>
      <c r="FH541" s="64"/>
      <c r="FI541" s="64"/>
    </row>
    <row r="542" spans="158:165" ht="15" customHeight="1" x14ac:dyDescent="0.15">
      <c r="FB542" s="63"/>
      <c r="FC542" s="64"/>
      <c r="FD542" s="64"/>
      <c r="FE542" s="64"/>
      <c r="FF542" s="64"/>
      <c r="FG542" s="64"/>
      <c r="FH542" s="64"/>
      <c r="FI542" s="64"/>
    </row>
    <row r="543" spans="158:165" ht="15" customHeight="1" x14ac:dyDescent="0.15">
      <c r="FB543" s="63"/>
      <c r="FC543" s="64"/>
      <c r="FD543" s="64"/>
      <c r="FE543" s="64"/>
      <c r="FF543" s="64"/>
      <c r="FG543" s="64"/>
      <c r="FH543" s="64"/>
      <c r="FI543" s="64"/>
    </row>
    <row r="544" spans="158:165" ht="15" customHeight="1" x14ac:dyDescent="0.15">
      <c r="FB544" s="63"/>
      <c r="FC544" s="64"/>
      <c r="FD544" s="64"/>
      <c r="FE544" s="64"/>
      <c r="FF544" s="64"/>
      <c r="FG544" s="64"/>
      <c r="FH544" s="64"/>
      <c r="FI544" s="64"/>
    </row>
    <row r="545" spans="158:165" ht="15" customHeight="1" x14ac:dyDescent="0.15">
      <c r="FB545" s="63"/>
      <c r="FC545" s="64"/>
      <c r="FD545" s="64"/>
      <c r="FE545" s="64"/>
      <c r="FF545" s="64"/>
      <c r="FG545" s="64"/>
      <c r="FH545" s="64"/>
      <c r="FI545" s="64"/>
    </row>
    <row r="546" spans="158:165" ht="15" customHeight="1" x14ac:dyDescent="0.15">
      <c r="FB546" s="63"/>
      <c r="FC546" s="64"/>
      <c r="FD546" s="64"/>
      <c r="FE546" s="64"/>
      <c r="FF546" s="64"/>
      <c r="FG546" s="64"/>
      <c r="FH546" s="64"/>
      <c r="FI546" s="64"/>
    </row>
    <row r="547" spans="158:165" ht="15" customHeight="1" x14ac:dyDescent="0.15">
      <c r="FB547" s="63"/>
      <c r="FC547" s="64"/>
      <c r="FD547" s="64"/>
      <c r="FE547" s="64"/>
      <c r="FF547" s="64"/>
      <c r="FG547" s="64"/>
      <c r="FH547" s="64"/>
      <c r="FI547" s="64"/>
    </row>
    <row r="548" spans="158:165" ht="15" customHeight="1" x14ac:dyDescent="0.15">
      <c r="FB548" s="63"/>
      <c r="FC548" s="64"/>
      <c r="FD548" s="64"/>
      <c r="FE548" s="64"/>
      <c r="FF548" s="64"/>
      <c r="FG548" s="64"/>
      <c r="FH548" s="64"/>
      <c r="FI548" s="64"/>
    </row>
    <row r="549" spans="158:165" ht="15" customHeight="1" x14ac:dyDescent="0.15">
      <c r="FB549" s="63"/>
      <c r="FC549" s="64"/>
      <c r="FD549" s="64"/>
      <c r="FE549" s="64"/>
      <c r="FF549" s="64"/>
      <c r="FG549" s="64"/>
      <c r="FH549" s="64"/>
      <c r="FI549" s="64"/>
    </row>
    <row r="550" spans="158:165" ht="15" customHeight="1" x14ac:dyDescent="0.15">
      <c r="FB550" s="63"/>
      <c r="FC550" s="64"/>
      <c r="FD550" s="64"/>
      <c r="FE550" s="64"/>
      <c r="FF550" s="64"/>
      <c r="FG550" s="64"/>
      <c r="FH550" s="64"/>
      <c r="FI550" s="64"/>
    </row>
    <row r="551" spans="158:165" ht="15" customHeight="1" x14ac:dyDescent="0.15">
      <c r="FB551" s="63"/>
      <c r="FC551" s="64"/>
      <c r="FD551" s="64"/>
      <c r="FE551" s="64"/>
      <c r="FF551" s="64"/>
      <c r="FG551" s="64"/>
      <c r="FH551" s="64"/>
      <c r="FI551" s="64"/>
    </row>
    <row r="552" spans="158:165" ht="15" customHeight="1" x14ac:dyDescent="0.15">
      <c r="FB552" s="63"/>
      <c r="FC552" s="64"/>
      <c r="FD552" s="64"/>
      <c r="FE552" s="64"/>
      <c r="FF552" s="64"/>
      <c r="FG552" s="64"/>
      <c r="FH552" s="64"/>
      <c r="FI552" s="64"/>
    </row>
    <row r="553" spans="158:165" ht="15" customHeight="1" x14ac:dyDescent="0.15">
      <c r="FB553" s="63"/>
      <c r="FC553" s="64"/>
      <c r="FD553" s="64"/>
      <c r="FE553" s="64"/>
      <c r="FF553" s="64"/>
      <c r="FG553" s="64"/>
      <c r="FH553" s="64"/>
      <c r="FI553" s="64"/>
    </row>
    <row r="554" spans="158:165" ht="15" customHeight="1" x14ac:dyDescent="0.15">
      <c r="FB554" s="63"/>
      <c r="FC554" s="64"/>
      <c r="FD554" s="64"/>
      <c r="FE554" s="64"/>
      <c r="FF554" s="64"/>
      <c r="FG554" s="64"/>
      <c r="FH554" s="64"/>
      <c r="FI554" s="64"/>
    </row>
    <row r="555" spans="158:165" ht="15" customHeight="1" x14ac:dyDescent="0.15">
      <c r="FB555" s="63"/>
      <c r="FC555" s="64"/>
      <c r="FD555" s="64"/>
      <c r="FE555" s="64"/>
      <c r="FF555" s="64"/>
      <c r="FG555" s="64"/>
      <c r="FH555" s="64"/>
      <c r="FI555" s="64"/>
    </row>
    <row r="556" spans="158:165" ht="15" customHeight="1" x14ac:dyDescent="0.15">
      <c r="FB556" s="63"/>
      <c r="FC556" s="64"/>
      <c r="FD556" s="64"/>
      <c r="FE556" s="64"/>
      <c r="FF556" s="64"/>
      <c r="FG556" s="64"/>
      <c r="FH556" s="64"/>
      <c r="FI556" s="64"/>
    </row>
    <row r="557" spans="158:165" ht="15" customHeight="1" x14ac:dyDescent="0.15">
      <c r="FB557" s="63"/>
      <c r="FC557" s="64"/>
      <c r="FD557" s="64"/>
      <c r="FE557" s="64"/>
      <c r="FF557" s="64"/>
      <c r="FG557" s="64"/>
      <c r="FH557" s="64"/>
      <c r="FI557" s="64"/>
    </row>
    <row r="558" spans="158:165" ht="15" customHeight="1" x14ac:dyDescent="0.15">
      <c r="FB558" s="63"/>
      <c r="FC558" s="64"/>
      <c r="FD558" s="64"/>
      <c r="FE558" s="64"/>
      <c r="FF558" s="64"/>
      <c r="FG558" s="64"/>
      <c r="FH558" s="64"/>
      <c r="FI558" s="64"/>
    </row>
    <row r="559" spans="158:165" ht="15" customHeight="1" x14ac:dyDescent="0.15">
      <c r="FB559" s="63"/>
      <c r="FC559" s="64"/>
      <c r="FD559" s="64"/>
      <c r="FE559" s="64"/>
      <c r="FF559" s="64"/>
      <c r="FG559" s="64"/>
      <c r="FH559" s="64"/>
      <c r="FI559" s="64"/>
    </row>
    <row r="560" spans="158:165" ht="15" customHeight="1" x14ac:dyDescent="0.15">
      <c r="FB560" s="63"/>
      <c r="FC560" s="64"/>
      <c r="FD560" s="64"/>
      <c r="FE560" s="64"/>
      <c r="FF560" s="64"/>
      <c r="FG560" s="64"/>
      <c r="FH560" s="64"/>
      <c r="FI560" s="64"/>
    </row>
    <row r="561" spans="158:165" ht="15" customHeight="1" x14ac:dyDescent="0.15">
      <c r="FB561" s="63"/>
      <c r="FC561" s="64"/>
      <c r="FD561" s="64"/>
      <c r="FE561" s="64"/>
      <c r="FF561" s="64"/>
      <c r="FG561" s="64"/>
      <c r="FH561" s="64"/>
      <c r="FI561" s="64"/>
    </row>
    <row r="562" spans="158:165" ht="15" customHeight="1" x14ac:dyDescent="0.15">
      <c r="FB562" s="63"/>
      <c r="FC562" s="64"/>
      <c r="FD562" s="64"/>
      <c r="FE562" s="64"/>
      <c r="FF562" s="64"/>
      <c r="FG562" s="64"/>
      <c r="FH562" s="64"/>
      <c r="FI562" s="64"/>
    </row>
    <row r="563" spans="158:165" ht="15" customHeight="1" x14ac:dyDescent="0.15">
      <c r="FB563" s="63"/>
      <c r="FC563" s="64"/>
      <c r="FD563" s="64"/>
      <c r="FE563" s="64"/>
      <c r="FF563" s="64"/>
      <c r="FG563" s="64"/>
      <c r="FH563" s="64"/>
      <c r="FI563" s="64"/>
    </row>
    <row r="564" spans="158:165" ht="15" customHeight="1" x14ac:dyDescent="0.15">
      <c r="FB564" s="63"/>
      <c r="FC564" s="64"/>
      <c r="FD564" s="64"/>
      <c r="FE564" s="64"/>
      <c r="FF564" s="64"/>
      <c r="FG564" s="64"/>
      <c r="FH564" s="64"/>
      <c r="FI564" s="64"/>
    </row>
    <row r="565" spans="158:165" ht="15" customHeight="1" x14ac:dyDescent="0.15">
      <c r="FB565" s="63"/>
      <c r="FC565" s="64"/>
      <c r="FD565" s="64"/>
      <c r="FE565" s="64"/>
      <c r="FF565" s="64"/>
      <c r="FG565" s="64"/>
      <c r="FH565" s="64"/>
      <c r="FI565" s="64"/>
    </row>
    <row r="566" spans="158:165" ht="15" customHeight="1" x14ac:dyDescent="0.15">
      <c r="FB566" s="63"/>
      <c r="FC566" s="64"/>
      <c r="FD566" s="64"/>
      <c r="FE566" s="64"/>
      <c r="FF566" s="64"/>
      <c r="FG566" s="64"/>
      <c r="FH566" s="64"/>
      <c r="FI566" s="64"/>
    </row>
    <row r="567" spans="158:165" ht="15" customHeight="1" x14ac:dyDescent="0.15">
      <c r="FB567" s="63"/>
      <c r="FC567" s="64"/>
      <c r="FD567" s="64"/>
      <c r="FE567" s="64"/>
      <c r="FF567" s="64"/>
      <c r="FG567" s="64"/>
      <c r="FH567" s="64"/>
      <c r="FI567" s="64"/>
    </row>
    <row r="568" spans="158:165" ht="15" customHeight="1" x14ac:dyDescent="0.15">
      <c r="FB568" s="63"/>
      <c r="FC568" s="64"/>
      <c r="FD568" s="64"/>
      <c r="FE568" s="64"/>
      <c r="FF568" s="64"/>
      <c r="FG568" s="64"/>
      <c r="FH568" s="64"/>
      <c r="FI568" s="64"/>
    </row>
    <row r="569" spans="158:165" ht="15" customHeight="1" x14ac:dyDescent="0.15">
      <c r="FB569" s="63"/>
      <c r="FC569" s="64"/>
      <c r="FD569" s="64"/>
      <c r="FE569" s="64"/>
      <c r="FF569" s="64"/>
      <c r="FG569" s="64"/>
      <c r="FH569" s="64"/>
      <c r="FI569" s="64"/>
    </row>
    <row r="570" spans="158:165" ht="15" customHeight="1" x14ac:dyDescent="0.15">
      <c r="FB570" s="63"/>
      <c r="FC570" s="64"/>
      <c r="FD570" s="64"/>
      <c r="FE570" s="64"/>
      <c r="FF570" s="64"/>
      <c r="FG570" s="64"/>
      <c r="FH570" s="64"/>
      <c r="FI570" s="64"/>
    </row>
    <row r="571" spans="158:165" ht="15" customHeight="1" x14ac:dyDescent="0.15">
      <c r="FB571" s="63"/>
      <c r="FC571" s="64"/>
      <c r="FD571" s="64"/>
      <c r="FE571" s="64"/>
      <c r="FF571" s="64"/>
      <c r="FG571" s="64"/>
      <c r="FH571" s="64"/>
      <c r="FI571" s="64"/>
    </row>
    <row r="572" spans="158:165" ht="15" customHeight="1" x14ac:dyDescent="0.15">
      <c r="FB572" s="63"/>
      <c r="FC572" s="64"/>
      <c r="FD572" s="64"/>
      <c r="FE572" s="64"/>
      <c r="FF572" s="64"/>
      <c r="FG572" s="64"/>
      <c r="FH572" s="64"/>
      <c r="FI572" s="64"/>
    </row>
    <row r="573" spans="158:165" ht="15" customHeight="1" x14ac:dyDescent="0.15">
      <c r="FB573" s="63"/>
      <c r="FC573" s="64"/>
      <c r="FD573" s="64"/>
      <c r="FE573" s="64"/>
      <c r="FF573" s="64"/>
      <c r="FG573" s="64"/>
      <c r="FH573" s="64"/>
      <c r="FI573" s="64"/>
    </row>
    <row r="574" spans="158:165" ht="15" customHeight="1" x14ac:dyDescent="0.15">
      <c r="FB574" s="63"/>
      <c r="FC574" s="64"/>
      <c r="FD574" s="64"/>
      <c r="FE574" s="64"/>
      <c r="FF574" s="64"/>
      <c r="FG574" s="64"/>
      <c r="FH574" s="64"/>
      <c r="FI574" s="64"/>
    </row>
    <row r="575" spans="158:165" ht="15" customHeight="1" x14ac:dyDescent="0.15">
      <c r="FB575" s="63"/>
      <c r="FC575" s="64"/>
      <c r="FD575" s="64"/>
      <c r="FE575" s="64"/>
      <c r="FF575" s="64"/>
      <c r="FG575" s="64"/>
      <c r="FH575" s="64"/>
      <c r="FI575" s="64"/>
    </row>
    <row r="576" spans="158:165" ht="15" customHeight="1" x14ac:dyDescent="0.15">
      <c r="FB576" s="63"/>
      <c r="FC576" s="64"/>
      <c r="FD576" s="64"/>
      <c r="FE576" s="64"/>
      <c r="FF576" s="64"/>
      <c r="FG576" s="64"/>
      <c r="FH576" s="64"/>
      <c r="FI576" s="64"/>
    </row>
    <row r="577" spans="158:165" ht="15" customHeight="1" x14ac:dyDescent="0.15">
      <c r="FB577" s="63"/>
      <c r="FC577" s="64"/>
      <c r="FD577" s="64"/>
      <c r="FE577" s="64"/>
      <c r="FF577" s="64"/>
      <c r="FG577" s="64"/>
      <c r="FH577" s="64"/>
      <c r="FI577" s="64"/>
    </row>
    <row r="578" spans="158:165" ht="15" customHeight="1" x14ac:dyDescent="0.15">
      <c r="FB578" s="63"/>
      <c r="FC578" s="64"/>
      <c r="FD578" s="64"/>
      <c r="FE578" s="64"/>
      <c r="FF578" s="64"/>
      <c r="FG578" s="64"/>
      <c r="FH578" s="64"/>
      <c r="FI578" s="64"/>
    </row>
    <row r="579" spans="158:165" ht="15" customHeight="1" x14ac:dyDescent="0.15">
      <c r="FB579" s="63"/>
      <c r="FC579" s="64"/>
      <c r="FD579" s="64"/>
      <c r="FE579" s="64"/>
      <c r="FF579" s="64"/>
      <c r="FG579" s="64"/>
      <c r="FH579" s="64"/>
      <c r="FI579" s="64"/>
    </row>
    <row r="580" spans="158:165" ht="15" customHeight="1" x14ac:dyDescent="0.15">
      <c r="FB580" s="63"/>
      <c r="FC580" s="64"/>
      <c r="FD580" s="64"/>
      <c r="FE580" s="64"/>
      <c r="FF580" s="64"/>
      <c r="FG580" s="64"/>
      <c r="FH580" s="64"/>
      <c r="FI580" s="64"/>
    </row>
    <row r="581" spans="158:165" ht="15" customHeight="1" x14ac:dyDescent="0.15">
      <c r="FB581" s="63"/>
      <c r="FC581" s="64"/>
      <c r="FD581" s="64"/>
      <c r="FE581" s="64"/>
      <c r="FF581" s="64"/>
      <c r="FG581" s="64"/>
      <c r="FH581" s="64"/>
      <c r="FI581" s="64"/>
    </row>
    <row r="582" spans="158:165" ht="15" customHeight="1" x14ac:dyDescent="0.15">
      <c r="FB582" s="63"/>
      <c r="FC582" s="64"/>
      <c r="FD582" s="64"/>
      <c r="FE582" s="64"/>
      <c r="FF582" s="64"/>
      <c r="FG582" s="64"/>
      <c r="FH582" s="64"/>
      <c r="FI582" s="64"/>
    </row>
    <row r="583" spans="158:165" ht="15" customHeight="1" x14ac:dyDescent="0.15">
      <c r="FB583" s="63"/>
      <c r="FC583" s="64"/>
      <c r="FD583" s="64"/>
      <c r="FE583" s="64"/>
      <c r="FF583" s="64"/>
      <c r="FG583" s="64"/>
      <c r="FH583" s="64"/>
      <c r="FI583" s="64"/>
    </row>
    <row r="584" spans="158:165" ht="15" customHeight="1" x14ac:dyDescent="0.15">
      <c r="FB584" s="63"/>
      <c r="FC584" s="64"/>
      <c r="FD584" s="64"/>
      <c r="FE584" s="64"/>
      <c r="FF584" s="64"/>
      <c r="FG584" s="64"/>
      <c r="FH584" s="64"/>
      <c r="FI584" s="64"/>
    </row>
    <row r="585" spans="158:165" ht="15" customHeight="1" x14ac:dyDescent="0.15">
      <c r="FB585" s="63"/>
      <c r="FC585" s="64"/>
      <c r="FD585" s="64"/>
      <c r="FE585" s="64"/>
      <c r="FF585" s="64"/>
      <c r="FG585" s="64"/>
      <c r="FH585" s="64"/>
      <c r="FI585" s="64"/>
    </row>
    <row r="586" spans="158:165" ht="15" customHeight="1" x14ac:dyDescent="0.15">
      <c r="FB586" s="63"/>
      <c r="FC586" s="64"/>
      <c r="FD586" s="64"/>
      <c r="FE586" s="64"/>
      <c r="FF586" s="64"/>
      <c r="FG586" s="64"/>
      <c r="FH586" s="64"/>
      <c r="FI586" s="64"/>
    </row>
    <row r="587" spans="158:165" ht="15" customHeight="1" x14ac:dyDescent="0.15">
      <c r="FB587" s="63"/>
      <c r="FC587" s="64"/>
      <c r="FD587" s="64"/>
      <c r="FE587" s="64"/>
      <c r="FF587" s="64"/>
      <c r="FG587" s="64"/>
      <c r="FH587" s="64"/>
      <c r="FI587" s="64"/>
    </row>
    <row r="588" spans="158:165" ht="15" customHeight="1" x14ac:dyDescent="0.15">
      <c r="FB588" s="63"/>
      <c r="FC588" s="64"/>
      <c r="FD588" s="64"/>
      <c r="FE588" s="64"/>
      <c r="FF588" s="64"/>
      <c r="FG588" s="64"/>
      <c r="FH588" s="64"/>
      <c r="FI588" s="64"/>
    </row>
    <row r="589" spans="158:165" ht="15" customHeight="1" x14ac:dyDescent="0.15">
      <c r="FB589" s="63"/>
      <c r="FC589" s="64"/>
      <c r="FD589" s="64"/>
      <c r="FE589" s="64"/>
      <c r="FF589" s="64"/>
      <c r="FG589" s="64"/>
      <c r="FH589" s="64"/>
      <c r="FI589" s="64"/>
    </row>
    <row r="590" spans="158:165" ht="15" customHeight="1" x14ac:dyDescent="0.15">
      <c r="FB590" s="63"/>
      <c r="FC590" s="64"/>
      <c r="FD590" s="64"/>
      <c r="FE590" s="64"/>
      <c r="FF590" s="64"/>
      <c r="FG590" s="64"/>
      <c r="FH590" s="64"/>
      <c r="FI590" s="64"/>
    </row>
    <row r="591" spans="158:165" ht="15" customHeight="1" x14ac:dyDescent="0.15">
      <c r="FB591" s="63"/>
      <c r="FC591" s="64"/>
      <c r="FD591" s="64"/>
      <c r="FE591" s="64"/>
      <c r="FF591" s="64"/>
      <c r="FG591" s="64"/>
      <c r="FH591" s="64"/>
      <c r="FI591" s="64"/>
    </row>
    <row r="592" spans="158:165" ht="15" customHeight="1" x14ac:dyDescent="0.15">
      <c r="FB592" s="63"/>
      <c r="FC592" s="64"/>
      <c r="FD592" s="64"/>
      <c r="FE592" s="64"/>
      <c r="FF592" s="64"/>
      <c r="FG592" s="64"/>
      <c r="FH592" s="64"/>
      <c r="FI592" s="64"/>
    </row>
    <row r="593" spans="158:165" ht="15" customHeight="1" x14ac:dyDescent="0.15">
      <c r="FB593" s="63"/>
      <c r="FC593" s="64"/>
      <c r="FD593" s="64"/>
      <c r="FE593" s="64"/>
      <c r="FF593" s="64"/>
      <c r="FG593" s="64"/>
      <c r="FH593" s="64"/>
      <c r="FI593" s="64"/>
    </row>
    <row r="594" spans="158:165" ht="15" customHeight="1" x14ac:dyDescent="0.15">
      <c r="FB594" s="63"/>
      <c r="FC594" s="64"/>
      <c r="FD594" s="64"/>
      <c r="FE594" s="64"/>
      <c r="FF594" s="64"/>
      <c r="FG594" s="64"/>
      <c r="FH594" s="64"/>
      <c r="FI594" s="64"/>
    </row>
    <row r="595" spans="158:165" ht="15" customHeight="1" x14ac:dyDescent="0.15">
      <c r="FB595" s="63"/>
      <c r="FC595" s="64"/>
      <c r="FD595" s="64"/>
      <c r="FE595" s="64"/>
      <c r="FF595" s="64"/>
      <c r="FG595" s="64"/>
      <c r="FH595" s="64"/>
      <c r="FI595" s="64"/>
    </row>
    <row r="596" spans="158:165" ht="15" customHeight="1" x14ac:dyDescent="0.15">
      <c r="FB596" s="63"/>
      <c r="FC596" s="64"/>
      <c r="FD596" s="64"/>
      <c r="FE596" s="64"/>
      <c r="FF596" s="64"/>
      <c r="FG596" s="64"/>
      <c r="FH596" s="64"/>
      <c r="FI596" s="64"/>
    </row>
    <row r="597" spans="158:165" ht="15" customHeight="1" x14ac:dyDescent="0.15">
      <c r="FB597" s="63"/>
      <c r="FC597" s="64"/>
      <c r="FD597" s="64"/>
      <c r="FE597" s="64"/>
      <c r="FF597" s="64"/>
      <c r="FG597" s="64"/>
      <c r="FH597" s="64"/>
      <c r="FI597" s="64"/>
    </row>
    <row r="598" spans="158:165" ht="15" customHeight="1" x14ac:dyDescent="0.15">
      <c r="FB598" s="63"/>
      <c r="FC598" s="64"/>
      <c r="FD598" s="64"/>
      <c r="FE598" s="64"/>
      <c r="FF598" s="64"/>
      <c r="FG598" s="64"/>
      <c r="FH598" s="64"/>
      <c r="FI598" s="64"/>
    </row>
    <row r="599" spans="158:165" ht="15" customHeight="1" x14ac:dyDescent="0.15">
      <c r="FB599" s="63"/>
      <c r="FC599" s="64"/>
      <c r="FD599" s="64"/>
      <c r="FE599" s="64"/>
      <c r="FF599" s="64"/>
      <c r="FG599" s="64"/>
      <c r="FH599" s="64"/>
      <c r="FI599" s="64"/>
    </row>
    <row r="600" spans="158:165" ht="15" customHeight="1" x14ac:dyDescent="0.15">
      <c r="FB600" s="63"/>
      <c r="FC600" s="64"/>
      <c r="FD600" s="64"/>
      <c r="FE600" s="64"/>
      <c r="FF600" s="64"/>
      <c r="FG600" s="64"/>
      <c r="FH600" s="64"/>
      <c r="FI600" s="64"/>
    </row>
    <row r="601" spans="158:165" ht="15" customHeight="1" x14ac:dyDescent="0.15">
      <c r="FB601" s="63"/>
      <c r="FC601" s="64"/>
      <c r="FD601" s="64"/>
      <c r="FE601" s="64"/>
      <c r="FF601" s="64"/>
      <c r="FG601" s="64"/>
      <c r="FH601" s="64"/>
      <c r="FI601" s="64"/>
    </row>
    <row r="602" spans="158:165" ht="15" customHeight="1" x14ac:dyDescent="0.15">
      <c r="FB602" s="63"/>
      <c r="FC602" s="64"/>
      <c r="FD602" s="64"/>
      <c r="FE602" s="64"/>
      <c r="FF602" s="64"/>
      <c r="FG602" s="64"/>
      <c r="FH602" s="64"/>
      <c r="FI602" s="64"/>
    </row>
    <row r="603" spans="158:165" ht="15" customHeight="1" x14ac:dyDescent="0.15">
      <c r="FB603" s="63"/>
      <c r="FC603" s="64"/>
      <c r="FD603" s="64"/>
      <c r="FE603" s="64"/>
      <c r="FF603" s="64"/>
      <c r="FG603" s="64"/>
      <c r="FH603" s="64"/>
      <c r="FI603" s="64"/>
    </row>
    <row r="604" spans="158:165" ht="15" customHeight="1" x14ac:dyDescent="0.15">
      <c r="FB604" s="63"/>
      <c r="FC604" s="64"/>
      <c r="FD604" s="64"/>
      <c r="FE604" s="64"/>
      <c r="FF604" s="64"/>
      <c r="FG604" s="64"/>
      <c r="FH604" s="64"/>
      <c r="FI604" s="64"/>
    </row>
    <row r="605" spans="158:165" ht="15" customHeight="1" x14ac:dyDescent="0.15">
      <c r="FB605" s="63"/>
      <c r="FC605" s="64"/>
      <c r="FD605" s="64"/>
      <c r="FE605" s="64"/>
      <c r="FF605" s="64"/>
      <c r="FG605" s="64"/>
      <c r="FH605" s="64"/>
      <c r="FI605" s="64"/>
    </row>
    <row r="606" spans="158:165" ht="15" customHeight="1" x14ac:dyDescent="0.15">
      <c r="FB606" s="63"/>
      <c r="FC606" s="64"/>
      <c r="FD606" s="64"/>
      <c r="FE606" s="64"/>
      <c r="FF606" s="64"/>
      <c r="FG606" s="64"/>
      <c r="FH606" s="64"/>
      <c r="FI606" s="64"/>
    </row>
    <row r="607" spans="158:165" ht="15" customHeight="1" x14ac:dyDescent="0.15">
      <c r="FB607" s="63"/>
      <c r="FC607" s="64"/>
      <c r="FD607" s="64"/>
      <c r="FE607" s="64"/>
      <c r="FF607" s="64"/>
      <c r="FG607" s="64"/>
      <c r="FH607" s="64"/>
      <c r="FI607" s="64"/>
    </row>
    <row r="608" spans="158:165" ht="15" customHeight="1" x14ac:dyDescent="0.15">
      <c r="FB608" s="63"/>
      <c r="FC608" s="64"/>
      <c r="FD608" s="64"/>
      <c r="FE608" s="64"/>
      <c r="FF608" s="64"/>
      <c r="FG608" s="64"/>
      <c r="FH608" s="64"/>
      <c r="FI608" s="64"/>
    </row>
    <row r="609" spans="158:165" ht="15" customHeight="1" x14ac:dyDescent="0.15">
      <c r="FB609" s="63"/>
      <c r="FC609" s="64"/>
      <c r="FD609" s="64"/>
      <c r="FE609" s="64"/>
      <c r="FF609" s="64"/>
      <c r="FG609" s="64"/>
      <c r="FH609" s="64"/>
      <c r="FI609" s="64"/>
    </row>
    <row r="610" spans="158:165" ht="15" customHeight="1" x14ac:dyDescent="0.15">
      <c r="FB610" s="63"/>
      <c r="FC610" s="64"/>
      <c r="FD610" s="64"/>
      <c r="FE610" s="64"/>
      <c r="FF610" s="64"/>
      <c r="FG610" s="64"/>
      <c r="FH610" s="64"/>
      <c r="FI610" s="64"/>
    </row>
    <row r="611" spans="158:165" ht="15" customHeight="1" x14ac:dyDescent="0.15">
      <c r="FB611" s="63"/>
      <c r="FC611" s="64"/>
      <c r="FD611" s="64"/>
      <c r="FE611" s="64"/>
      <c r="FF611" s="64"/>
      <c r="FG611" s="64"/>
      <c r="FH611" s="64"/>
      <c r="FI611" s="64"/>
    </row>
    <row r="612" spans="158:165" ht="15" customHeight="1" x14ac:dyDescent="0.15">
      <c r="FB612" s="63"/>
      <c r="FC612" s="64"/>
      <c r="FD612" s="64"/>
      <c r="FE612" s="64"/>
      <c r="FF612" s="64"/>
      <c r="FG612" s="64"/>
      <c r="FH612" s="64"/>
      <c r="FI612" s="64"/>
    </row>
    <row r="613" spans="158:165" ht="15" customHeight="1" x14ac:dyDescent="0.15">
      <c r="FB613" s="63"/>
      <c r="FC613" s="64"/>
      <c r="FD613" s="64"/>
      <c r="FE613" s="64"/>
      <c r="FF613" s="64"/>
      <c r="FG613" s="64"/>
      <c r="FH613" s="64"/>
      <c r="FI613" s="64"/>
    </row>
    <row r="614" spans="158:165" ht="15" customHeight="1" x14ac:dyDescent="0.15">
      <c r="FB614" s="63"/>
      <c r="FC614" s="64"/>
      <c r="FD614" s="64"/>
      <c r="FE614" s="64"/>
      <c r="FF614" s="64"/>
      <c r="FG614" s="64"/>
      <c r="FH614" s="64"/>
      <c r="FI614" s="64"/>
    </row>
    <row r="615" spans="158:165" ht="15" customHeight="1" x14ac:dyDescent="0.15">
      <c r="FB615" s="63"/>
      <c r="FC615" s="64"/>
      <c r="FD615" s="64"/>
      <c r="FE615" s="64"/>
      <c r="FF615" s="64"/>
      <c r="FG615" s="64"/>
      <c r="FH615" s="64"/>
      <c r="FI615" s="64"/>
    </row>
    <row r="616" spans="158:165" ht="15" customHeight="1" x14ac:dyDescent="0.15">
      <c r="FB616" s="63"/>
      <c r="FC616" s="64"/>
      <c r="FD616" s="64"/>
      <c r="FE616" s="64"/>
      <c r="FF616" s="64"/>
      <c r="FG616" s="64"/>
      <c r="FH616" s="64"/>
      <c r="FI616" s="64"/>
    </row>
    <row r="617" spans="158:165" ht="15" customHeight="1" x14ac:dyDescent="0.15">
      <c r="FB617" s="63"/>
      <c r="FC617" s="64"/>
      <c r="FD617" s="64"/>
      <c r="FE617" s="64"/>
      <c r="FF617" s="64"/>
      <c r="FG617" s="64"/>
      <c r="FH617" s="64"/>
      <c r="FI617" s="64"/>
    </row>
    <row r="618" spans="158:165" ht="15" customHeight="1" x14ac:dyDescent="0.15">
      <c r="FB618" s="63"/>
      <c r="FC618" s="64"/>
      <c r="FD618" s="64"/>
      <c r="FE618" s="64"/>
      <c r="FF618" s="64"/>
      <c r="FG618" s="64"/>
      <c r="FH618" s="64"/>
      <c r="FI618" s="64"/>
    </row>
    <row r="619" spans="158:165" ht="15" customHeight="1" x14ac:dyDescent="0.15">
      <c r="FB619" s="63"/>
      <c r="FC619" s="64"/>
      <c r="FD619" s="64"/>
      <c r="FE619" s="64"/>
      <c r="FF619" s="64"/>
      <c r="FG619" s="64"/>
      <c r="FH619" s="64"/>
      <c r="FI619" s="64"/>
    </row>
    <row r="620" spans="158:165" ht="15" customHeight="1" x14ac:dyDescent="0.15">
      <c r="FB620" s="63"/>
      <c r="FC620" s="64"/>
      <c r="FD620" s="64"/>
      <c r="FE620" s="64"/>
      <c r="FF620" s="64"/>
      <c r="FG620" s="64"/>
      <c r="FH620" s="64"/>
      <c r="FI620" s="64"/>
    </row>
    <row r="621" spans="158:165" ht="15" customHeight="1" x14ac:dyDescent="0.15">
      <c r="FB621" s="63"/>
      <c r="FC621" s="64"/>
      <c r="FD621" s="64"/>
      <c r="FE621" s="64"/>
      <c r="FF621" s="64"/>
      <c r="FG621" s="64"/>
      <c r="FH621" s="64"/>
      <c r="FI621" s="64"/>
    </row>
    <row r="622" spans="158:165" ht="15" customHeight="1" x14ac:dyDescent="0.15">
      <c r="FB622" s="63"/>
      <c r="FC622" s="64"/>
      <c r="FD622" s="64"/>
      <c r="FE622" s="64"/>
      <c r="FF622" s="64"/>
      <c r="FG622" s="64"/>
      <c r="FH622" s="64"/>
      <c r="FI622" s="64"/>
    </row>
    <row r="623" spans="158:165" ht="15" customHeight="1" x14ac:dyDescent="0.15">
      <c r="FB623" s="63"/>
      <c r="FC623" s="64"/>
      <c r="FD623" s="64"/>
      <c r="FE623" s="64"/>
      <c r="FF623" s="64"/>
      <c r="FG623" s="64"/>
      <c r="FH623" s="64"/>
      <c r="FI623" s="64"/>
    </row>
    <row r="624" spans="158:165" ht="15" customHeight="1" x14ac:dyDescent="0.15">
      <c r="FB624" s="63"/>
      <c r="FC624" s="64"/>
      <c r="FD624" s="64"/>
      <c r="FE624" s="64"/>
      <c r="FF624" s="64"/>
      <c r="FG624" s="64"/>
      <c r="FH624" s="64"/>
      <c r="FI624" s="64"/>
    </row>
    <row r="625" spans="158:165" ht="15" customHeight="1" x14ac:dyDescent="0.15">
      <c r="FB625" s="63"/>
      <c r="FC625" s="64"/>
      <c r="FD625" s="64"/>
      <c r="FE625" s="64"/>
      <c r="FF625" s="64"/>
      <c r="FG625" s="64"/>
      <c r="FH625" s="64"/>
      <c r="FI625" s="64"/>
    </row>
    <row r="626" spans="158:165" ht="15" customHeight="1" x14ac:dyDescent="0.15">
      <c r="FB626" s="63"/>
      <c r="FC626" s="64"/>
      <c r="FD626" s="64"/>
      <c r="FE626" s="64"/>
      <c r="FF626" s="64"/>
      <c r="FG626" s="64"/>
      <c r="FH626" s="64"/>
      <c r="FI626" s="64"/>
    </row>
    <row r="627" spans="158:165" ht="15" customHeight="1" x14ac:dyDescent="0.15">
      <c r="FB627" s="63"/>
      <c r="FC627" s="64"/>
      <c r="FD627" s="64"/>
      <c r="FE627" s="64"/>
      <c r="FF627" s="64"/>
      <c r="FG627" s="64"/>
      <c r="FH627" s="64"/>
      <c r="FI627" s="64"/>
    </row>
    <row r="628" spans="158:165" ht="15" customHeight="1" x14ac:dyDescent="0.15">
      <c r="FB628" s="63"/>
      <c r="FC628" s="64"/>
      <c r="FD628" s="64"/>
      <c r="FE628" s="64"/>
      <c r="FF628" s="64"/>
      <c r="FG628" s="64"/>
      <c r="FH628" s="64"/>
      <c r="FI628" s="64"/>
    </row>
    <row r="629" spans="158:165" ht="15" customHeight="1" x14ac:dyDescent="0.15">
      <c r="FB629" s="63"/>
      <c r="FC629" s="64"/>
      <c r="FD629" s="64"/>
      <c r="FE629" s="64"/>
      <c r="FF629" s="64"/>
      <c r="FG629" s="64"/>
      <c r="FH629" s="64"/>
      <c r="FI629" s="64"/>
    </row>
    <row r="630" spans="158:165" ht="15" customHeight="1" x14ac:dyDescent="0.15">
      <c r="FB630" s="63"/>
      <c r="FC630" s="64"/>
      <c r="FD630" s="64"/>
      <c r="FE630" s="64"/>
      <c r="FF630" s="64"/>
      <c r="FG630" s="64"/>
      <c r="FH630" s="64"/>
      <c r="FI630" s="64"/>
    </row>
    <row r="631" spans="158:165" ht="15" customHeight="1" x14ac:dyDescent="0.15">
      <c r="FB631" s="63"/>
      <c r="FC631" s="64"/>
      <c r="FD631" s="64"/>
      <c r="FE631" s="64"/>
      <c r="FF631" s="64"/>
      <c r="FG631" s="64"/>
      <c r="FH631" s="64"/>
      <c r="FI631" s="64"/>
    </row>
    <row r="632" spans="158:165" ht="15" customHeight="1" x14ac:dyDescent="0.15">
      <c r="FB632" s="63"/>
      <c r="FC632" s="64"/>
      <c r="FD632" s="64"/>
      <c r="FE632" s="64"/>
      <c r="FF632" s="64"/>
      <c r="FG632" s="64"/>
      <c r="FH632" s="64"/>
      <c r="FI632" s="64"/>
    </row>
    <row r="633" spans="158:165" ht="15" customHeight="1" x14ac:dyDescent="0.15">
      <c r="FB633" s="63"/>
      <c r="FC633" s="64"/>
      <c r="FD633" s="64"/>
      <c r="FE633" s="64"/>
      <c r="FF633" s="64"/>
      <c r="FG633" s="64"/>
      <c r="FH633" s="64"/>
      <c r="FI633" s="64"/>
    </row>
    <row r="634" spans="158:165" ht="15" customHeight="1" x14ac:dyDescent="0.15">
      <c r="FB634" s="63"/>
      <c r="FC634" s="64"/>
      <c r="FD634" s="64"/>
      <c r="FE634" s="64"/>
      <c r="FF634" s="64"/>
      <c r="FG634" s="64"/>
      <c r="FH634" s="64"/>
      <c r="FI634" s="64"/>
    </row>
    <row r="635" spans="158:165" ht="15" customHeight="1" x14ac:dyDescent="0.15">
      <c r="FB635" s="63"/>
      <c r="FC635" s="64"/>
      <c r="FD635" s="64"/>
      <c r="FE635" s="64"/>
      <c r="FF635" s="64"/>
      <c r="FG635" s="64"/>
      <c r="FH635" s="64"/>
      <c r="FI635" s="64"/>
    </row>
    <row r="636" spans="158:165" ht="15" customHeight="1" x14ac:dyDescent="0.15">
      <c r="FB636" s="63"/>
      <c r="FC636" s="64"/>
      <c r="FD636" s="64"/>
      <c r="FE636" s="64"/>
      <c r="FF636" s="64"/>
      <c r="FG636" s="64"/>
      <c r="FH636" s="64"/>
      <c r="FI636" s="64"/>
    </row>
    <row r="637" spans="158:165" ht="15" customHeight="1" x14ac:dyDescent="0.15">
      <c r="FB637" s="63"/>
      <c r="FC637" s="64"/>
      <c r="FD637" s="64"/>
      <c r="FE637" s="64"/>
      <c r="FF637" s="64"/>
      <c r="FG637" s="64"/>
      <c r="FH637" s="64"/>
      <c r="FI637" s="64"/>
    </row>
    <row r="638" spans="158:165" ht="15" customHeight="1" x14ac:dyDescent="0.15">
      <c r="FB638" s="63"/>
      <c r="FC638" s="64"/>
      <c r="FD638" s="64"/>
      <c r="FE638" s="64"/>
      <c r="FF638" s="64"/>
      <c r="FG638" s="64"/>
      <c r="FH638" s="64"/>
      <c r="FI638" s="64"/>
    </row>
    <row r="639" spans="158:165" ht="15" customHeight="1" x14ac:dyDescent="0.15">
      <c r="FB639" s="63"/>
      <c r="FC639" s="64"/>
      <c r="FD639" s="64"/>
      <c r="FE639" s="64"/>
      <c r="FF639" s="64"/>
      <c r="FG639" s="64"/>
      <c r="FH639" s="64"/>
      <c r="FI639" s="64"/>
    </row>
    <row r="640" spans="158:165" ht="15" customHeight="1" x14ac:dyDescent="0.15">
      <c r="FB640" s="63"/>
      <c r="FC640" s="64"/>
      <c r="FD640" s="64"/>
      <c r="FE640" s="64"/>
      <c r="FF640" s="64"/>
      <c r="FG640" s="64"/>
      <c r="FH640" s="64"/>
      <c r="FI640" s="64"/>
    </row>
    <row r="641" spans="158:165" ht="15" customHeight="1" x14ac:dyDescent="0.15">
      <c r="FB641" s="63"/>
      <c r="FC641" s="64"/>
      <c r="FD641" s="64"/>
      <c r="FE641" s="64"/>
      <c r="FF641" s="64"/>
      <c r="FG641" s="64"/>
      <c r="FH641" s="64"/>
      <c r="FI641" s="64"/>
    </row>
    <row r="642" spans="158:165" ht="15" customHeight="1" x14ac:dyDescent="0.15">
      <c r="FB642" s="63"/>
      <c r="FC642" s="63"/>
      <c r="FD642" s="63"/>
      <c r="FE642" s="63"/>
      <c r="FF642" s="63"/>
      <c r="FG642" s="63"/>
      <c r="FH642" s="63"/>
      <c r="FI642" s="63"/>
    </row>
  </sheetData>
  <mergeCells count="229">
    <mergeCell ref="CI119:CL119"/>
    <mergeCell ref="CM119:DK119"/>
    <mergeCell ref="DM119:DN119"/>
    <mergeCell ref="DO119:DU119"/>
    <mergeCell ref="CI120:CL120"/>
    <mergeCell ref="CM120:DK120"/>
    <mergeCell ref="CI114:CJ114"/>
    <mergeCell ref="CK114:CQ114"/>
    <mergeCell ref="CW114:DD114"/>
    <mergeCell ref="DE114:DK114"/>
    <mergeCell ref="DR114:EC114"/>
    <mergeCell ref="CI115:CJ115"/>
    <mergeCell ref="CK115:CQ115"/>
    <mergeCell ref="CW115:DD115"/>
    <mergeCell ref="DE115:DK115"/>
    <mergeCell ref="DR115:EC115"/>
    <mergeCell ref="CI112:CJ112"/>
    <mergeCell ref="CK112:CQ112"/>
    <mergeCell ref="CW112:DD112"/>
    <mergeCell ref="DE112:DK112"/>
    <mergeCell ref="DR112:EC112"/>
    <mergeCell ref="CI113:CJ113"/>
    <mergeCell ref="CK113:CQ113"/>
    <mergeCell ref="CW113:DD113"/>
    <mergeCell ref="DE113:DK113"/>
    <mergeCell ref="DR113:EC113"/>
    <mergeCell ref="CI110:CJ110"/>
    <mergeCell ref="CK110:CQ110"/>
    <mergeCell ref="CV110:DD110"/>
    <mergeCell ref="DE110:DK110"/>
    <mergeCell ref="DR110:EC110"/>
    <mergeCell ref="CI111:CJ111"/>
    <mergeCell ref="CK111:CQ111"/>
    <mergeCell ref="CW111:DD111"/>
    <mergeCell ref="DE111:DK111"/>
    <mergeCell ref="DR111:EC111"/>
    <mergeCell ref="CI108:CJ108"/>
    <mergeCell ref="CK108:CQ108"/>
    <mergeCell ref="CW108:CY108"/>
    <mergeCell ref="DM108:DR108"/>
    <mergeCell ref="CI109:CJ109"/>
    <mergeCell ref="CK109:CQ109"/>
    <mergeCell ref="DM109:DR109"/>
    <mergeCell ref="CI106:CJ106"/>
    <mergeCell ref="CK106:CQ106"/>
    <mergeCell ref="CV106:CZ106"/>
    <mergeCell ref="DM106:DR106"/>
    <mergeCell ref="CI107:CJ107"/>
    <mergeCell ref="CK107:CQ107"/>
    <mergeCell ref="CW107:CY107"/>
    <mergeCell ref="DM107:DR107"/>
    <mergeCell ref="CI104:CJ104"/>
    <mergeCell ref="CK104:CQ104"/>
    <mergeCell ref="CW104:CX104"/>
    <mergeCell ref="DM104:DR104"/>
    <mergeCell ref="CI105:CJ105"/>
    <mergeCell ref="CK105:CQ105"/>
    <mergeCell ref="N60:Q60"/>
    <mergeCell ref="R60:AP60"/>
    <mergeCell ref="AR60:AS60"/>
    <mergeCell ref="CI103:CQ103"/>
    <mergeCell ref="CW103:CY103"/>
    <mergeCell ref="DM103:DR103"/>
    <mergeCell ref="N56:O56"/>
    <mergeCell ref="P56:V56"/>
    <mergeCell ref="AB56:AI56"/>
    <mergeCell ref="AJ56:AP56"/>
    <mergeCell ref="AW56:BH56"/>
    <mergeCell ref="AW57:BH57"/>
    <mergeCell ref="N54:O54"/>
    <mergeCell ref="P54:V54"/>
    <mergeCell ref="AB54:AI54"/>
    <mergeCell ref="AJ54:AP54"/>
    <mergeCell ref="AW54:BH54"/>
    <mergeCell ref="N55:O55"/>
    <mergeCell ref="P55:V55"/>
    <mergeCell ref="AB55:AI55"/>
    <mergeCell ref="AJ55:AP55"/>
    <mergeCell ref="AW55:BH55"/>
    <mergeCell ref="N52:O52"/>
    <mergeCell ref="P52:V52"/>
    <mergeCell ref="AB52:AI52"/>
    <mergeCell ref="AJ52:AP52"/>
    <mergeCell ref="AW52:BH52"/>
    <mergeCell ref="N53:O53"/>
    <mergeCell ref="P53:V53"/>
    <mergeCell ref="AB53:AI53"/>
    <mergeCell ref="AJ53:AP53"/>
    <mergeCell ref="AW53:BH53"/>
    <mergeCell ref="N50:O50"/>
    <mergeCell ref="P50:V50"/>
    <mergeCell ref="N51:O51"/>
    <mergeCell ref="P51:V51"/>
    <mergeCell ref="AA51:AI51"/>
    <mergeCell ref="AJ51:AP51"/>
    <mergeCell ref="N48:O48"/>
    <mergeCell ref="P48:V48"/>
    <mergeCell ref="AB48:AD48"/>
    <mergeCell ref="N49:O49"/>
    <mergeCell ref="P49:V49"/>
    <mergeCell ref="AB49:AD49"/>
    <mergeCell ref="N45:O45"/>
    <mergeCell ref="P45:V45"/>
    <mergeCell ref="AB45:AC45"/>
    <mergeCell ref="N46:O46"/>
    <mergeCell ref="P46:V46"/>
    <mergeCell ref="N47:O47"/>
    <mergeCell ref="P47:V47"/>
    <mergeCell ref="AA47:AE47"/>
    <mergeCell ref="B40:D40"/>
    <mergeCell ref="E40:AS40"/>
    <mergeCell ref="B41:AS41"/>
    <mergeCell ref="B42:AS42"/>
    <mergeCell ref="N44:V44"/>
    <mergeCell ref="AB44:AD44"/>
    <mergeCell ref="B38:G38"/>
    <mergeCell ref="H38:S38"/>
    <mergeCell ref="T38:Z38"/>
    <mergeCell ref="AA38:AL38"/>
    <mergeCell ref="AM38:AS38"/>
    <mergeCell ref="B39:G39"/>
    <mergeCell ref="H39:AL39"/>
    <mergeCell ref="AM39:AS39"/>
    <mergeCell ref="B37:S37"/>
    <mergeCell ref="T37:W37"/>
    <mergeCell ref="X37:Z37"/>
    <mergeCell ref="AA37:AE37"/>
    <mergeCell ref="AF37:AL37"/>
    <mergeCell ref="AM37:AS37"/>
    <mergeCell ref="B36:S36"/>
    <mergeCell ref="T36:W36"/>
    <mergeCell ref="X36:Z36"/>
    <mergeCell ref="AA36:AE36"/>
    <mergeCell ref="AF36:AL36"/>
    <mergeCell ref="AM36:AS36"/>
    <mergeCell ref="B35:S35"/>
    <mergeCell ref="T35:W35"/>
    <mergeCell ref="X35:Z35"/>
    <mergeCell ref="AA35:AE35"/>
    <mergeCell ref="AF35:AL35"/>
    <mergeCell ref="AM35:AS35"/>
    <mergeCell ref="B34:S34"/>
    <mergeCell ref="T34:W34"/>
    <mergeCell ref="X34:Z34"/>
    <mergeCell ref="AA34:AE34"/>
    <mergeCell ref="AF34:AL34"/>
    <mergeCell ref="AM34:AS34"/>
    <mergeCell ref="B33:S33"/>
    <mergeCell ref="T33:W33"/>
    <mergeCell ref="X33:Z33"/>
    <mergeCell ref="AA33:AE33"/>
    <mergeCell ref="AF33:AL33"/>
    <mergeCell ref="AM33:AS33"/>
    <mergeCell ref="B32:S32"/>
    <mergeCell ref="T32:W32"/>
    <mergeCell ref="X32:Z32"/>
    <mergeCell ref="AA32:AE32"/>
    <mergeCell ref="AF32:AL32"/>
    <mergeCell ref="AM32:AS32"/>
    <mergeCell ref="B31:S31"/>
    <mergeCell ref="T31:W31"/>
    <mergeCell ref="X31:Z31"/>
    <mergeCell ref="AA31:AE31"/>
    <mergeCell ref="AF31:AL31"/>
    <mergeCell ref="AM31:AS31"/>
    <mergeCell ref="B30:S30"/>
    <mergeCell ref="T30:W30"/>
    <mergeCell ref="X30:Z30"/>
    <mergeCell ref="AA30:AE30"/>
    <mergeCell ref="AF30:AL30"/>
    <mergeCell ref="AM30:AS30"/>
    <mergeCell ref="B29:S29"/>
    <mergeCell ref="T29:W29"/>
    <mergeCell ref="X29:Z29"/>
    <mergeCell ref="AA29:AE29"/>
    <mergeCell ref="AF29:AL29"/>
    <mergeCell ref="AM29:AS29"/>
    <mergeCell ref="B28:S28"/>
    <mergeCell ref="T28:W28"/>
    <mergeCell ref="X28:Z28"/>
    <mergeCell ref="AA28:AE28"/>
    <mergeCell ref="AF28:AL28"/>
    <mergeCell ref="AM28:AS28"/>
    <mergeCell ref="B27:S27"/>
    <mergeCell ref="T27:W27"/>
    <mergeCell ref="X27:Z27"/>
    <mergeCell ref="AA27:AE27"/>
    <mergeCell ref="AF27:AL27"/>
    <mergeCell ref="AM27:AS27"/>
    <mergeCell ref="AF24:AL25"/>
    <mergeCell ref="AM24:AS25"/>
    <mergeCell ref="B26:S26"/>
    <mergeCell ref="T26:W26"/>
    <mergeCell ref="X26:Z26"/>
    <mergeCell ref="AA26:AE26"/>
    <mergeCell ref="AF26:AL26"/>
    <mergeCell ref="AM26:AS26"/>
    <mergeCell ref="D20:I21"/>
    <mergeCell ref="J20:U21"/>
    <mergeCell ref="B22:U22"/>
    <mergeCell ref="B24:S25"/>
    <mergeCell ref="T24:Z25"/>
    <mergeCell ref="AA24:AE25"/>
    <mergeCell ref="J17:L17"/>
    <mergeCell ref="N17:O17"/>
    <mergeCell ref="Q17:R17"/>
    <mergeCell ref="AF17:AL17"/>
    <mergeCell ref="AB19:AF22"/>
    <mergeCell ref="AG19:AK22"/>
    <mergeCell ref="AL19:AP22"/>
    <mergeCell ref="H11:S11"/>
    <mergeCell ref="H13:T13"/>
    <mergeCell ref="AB13:AD13"/>
    <mergeCell ref="AE13:AT13"/>
    <mergeCell ref="AB15:AD15"/>
    <mergeCell ref="AE15:AT15"/>
    <mergeCell ref="D5:R5"/>
    <mergeCell ref="F6:Q6"/>
    <mergeCell ref="AI6:AK6"/>
    <mergeCell ref="AM6:AN6"/>
    <mergeCell ref="AP6:AQ6"/>
    <mergeCell ref="D7:S8"/>
    <mergeCell ref="T7:V8"/>
    <mergeCell ref="M2:O2"/>
    <mergeCell ref="P2:R2"/>
    <mergeCell ref="AA2:AJ3"/>
    <mergeCell ref="E3:H3"/>
    <mergeCell ref="AN3:AR3"/>
    <mergeCell ref="D4:U4"/>
  </mergeCells>
  <phoneticPr fontId="4"/>
  <dataValidations count="23">
    <dataValidation imeMode="hiragana" allowBlank="1" showInputMessage="1" showErrorMessage="1" prompt="取引方法を入力_x000a_例：従来通り" sqref="I15:T15" xr:uid="{11085568-7050-4A51-A492-EB5806EDA4B2}"/>
    <dataValidation allowBlank="1" showInputMessage="1" showErrorMessage="1" promptTitle="明細書01の状態" prompt="明細書01が表示されているときは 0_x000a_明細書01が非表示のときは 1" sqref="CE107" xr:uid="{22EC4327-7BE4-4DA9-B485-8DBB260A3036}"/>
    <dataValidation allowBlank="1" showInputMessage="1" showErrorMessage="1" promptTitle="シート数を入力" prompt="明細書が出ていない状態でシート枚数を表示" sqref="CE106" xr:uid="{EE3CEDC0-7AFE-4186-A30D-8C0D5BCE339C}"/>
    <dataValidation type="list" allowBlank="1" showInputMessage="1" showErrorMessage="1" sqref="DM104:DR104" xr:uid="{D4A880AF-CC31-4293-9010-6900AF4DE664}">
      <formula1>$EM$102:$EM$103</formula1>
    </dataValidation>
    <dataValidation type="list" allowBlank="1" showInputMessage="1" showErrorMessage="1" sqref="T7:V8" xr:uid="{B223880D-1CD8-442E-91D9-6ED755A90BD6}">
      <formula1>$CE$109:$CE$111</formula1>
    </dataValidation>
    <dataValidation type="list" imeMode="hiragana" allowBlank="1" showInputMessage="1" showErrorMessage="1" prompt="ボタンを押し単位を入力" sqref="X26:Z37" xr:uid="{6C5F7FC1-D922-494F-8032-274CAAE674A3}">
      <formula1>$CS$104:$CS$116</formula1>
    </dataValidation>
    <dataValidation type="list" allowBlank="1" showInputMessage="1" showErrorMessage="1" sqref="AA2:AJ3" xr:uid="{C6F5DA67-E773-4832-B696-9C6692440B1B}">
      <formula1>$DD$104:$DD$108</formula1>
    </dataValidation>
    <dataValidation imeMode="hiragana" allowBlank="1" showInputMessage="1" showErrorMessage="1" prompt="備考があれば入力" sqref="AN36:AS36 AN34:AS34 AM26:AM37" xr:uid="{8C5DEA00-B97B-43A2-84CC-EFB09E727A19}"/>
    <dataValidation imeMode="off" allowBlank="1" showInputMessage="1" showErrorMessage="1" prompt="単価を入力" sqref="AA26:AE37" xr:uid="{00958E69-C53E-4EA4-86B9-2A27025EA2DC}"/>
    <dataValidation imeMode="off" allowBlank="1" showInputMessage="1" showErrorMessage="1" prompt="数量を入力" sqref="T26:W37" xr:uid="{E56818CD-B6C9-4BE1-B8B8-902833E7302E}"/>
    <dataValidation imeMode="hiragana" allowBlank="1" showInputMessage="1" showErrorMessage="1" prompt="品名を入力" sqref="B26:S37" xr:uid="{CF88E075-99A8-4774-BA59-D43319B5EBC8}"/>
    <dataValidation imeMode="hiragana" allowBlank="1" showInputMessage="1" showErrorMessage="1" prompt="担当者を入力" sqref="AF17:AL17" xr:uid="{AC989966-3769-4E2F-BBE7-E8712376623C}"/>
    <dataValidation imeMode="hiragana" allowBlank="1" showInputMessage="1" showErrorMessage="1" prompt="受渡場所を入力_x000a_例：貴社指定場所" sqref="H13:T13" xr:uid="{CB790803-8861-4F66-829E-126F8F324928}"/>
    <dataValidation imeMode="off" allowBlank="1" showInputMessage="1" showErrorMessage="1" prompt="年を入力" sqref="J17:L17" xr:uid="{8D07F4EA-FDEC-4764-A663-06DBEE0D3B9E}"/>
    <dataValidation imeMode="hiragana" allowBlank="1" showInputMessage="1" showErrorMessage="1" sqref="AB9:AS9 B41:AS42 E40:AS40" xr:uid="{57B2FF63-C32D-48E4-8EEF-F30AA19E57C1}"/>
    <dataValidation allowBlank="1" showInputMessage="1" showErrorMessage="1" prompt="見積書NOを入力" sqref="AN3:AR3" xr:uid="{9D7F5E34-252D-4FA4-B43D-1384A5B2B5EE}"/>
    <dataValidation imeMode="hiragana" allowBlank="1" showInputMessage="1" showErrorMessage="1" prompt="お客様名を入力" sqref="D7:S8" xr:uid="{9CA63BD6-03D2-479F-AC1C-EA51546CFD4D}"/>
    <dataValidation imeMode="hiragana" allowBlank="1" showInputMessage="1" showErrorMessage="1" prompt="お客様の住所でビル名番地など入力" sqref="D5:R5" xr:uid="{9E7930C2-AD37-45C2-9F3A-CA2AEE28D931}"/>
    <dataValidation imeMode="hiragana" allowBlank="1" showInputMessage="1" showErrorMessage="1" prompt="お客様の住所を入力" sqref="D4" xr:uid="{89C2B858-A563-423C-AA33-B3EFA4B17189}"/>
    <dataValidation imeMode="off" allowBlank="1" showInputMessage="1" showErrorMessage="1" prompt="お客様の郵便番号を入力" sqref="E3:H3" xr:uid="{7380FB29-0E6A-4136-9E57-B889726F5D32}"/>
    <dataValidation imeMode="off" allowBlank="1" showInputMessage="1" showErrorMessage="1" prompt="日を入力" sqref="AP6:AQ6 Q17:R17" xr:uid="{196851B3-D163-4D9B-8DA3-BBC2646454DC}"/>
    <dataValidation imeMode="off" allowBlank="1" showInputMessage="1" showErrorMessage="1" prompt="月を入力" sqref="AM6:AN6 N17:O17" xr:uid="{4C449530-1871-407E-A653-AA195517C61B}"/>
    <dataValidation imeMode="off" allowBlank="1" showInputMessage="1" showErrorMessage="1" prompt="年を入力  西暦表示の場合、平成を消してください" sqref="AI6:AK6" xr:uid="{CE90EF36-0684-43EE-8392-D570BC551848}"/>
  </dataValidations>
  <pageMargins left="0.43307086614173229" right="0.47244094488188981" top="0.39370078740157483" bottom="0.47244094488188981" header="0.39370078740157483" footer="0.31496062992125984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表示1">
              <controlPr defaultSize="0" print="0" autoFill="0" autoPict="0" macro="[0]!ThisWorkbook.表示11">
                <anchor moveWithCells="1" sizeWithCells="1">
                  <from>
                    <xdr:col>22</xdr:col>
                    <xdr:colOff>133350</xdr:colOff>
                    <xdr:row>0</xdr:row>
                    <xdr:rowOff>76200</xdr:rowOff>
                  </from>
                  <to>
                    <xdr:col>27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5" name="表示2">
              <controlPr defaultSize="0" print="0" autoFill="0" autoPict="0" macro="[0]!ThisWorkbook.表示12">
                <anchor moveWithCells="1" sizeWithCells="1">
                  <from>
                    <xdr:col>27</xdr:col>
                    <xdr:colOff>114300</xdr:colOff>
                    <xdr:row>0</xdr:row>
                    <xdr:rowOff>76200</xdr:rowOff>
                  </from>
                  <to>
                    <xdr:col>31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6" name="呼出">
              <controlPr defaultSize="0" print="0" autoFill="0" autoPict="0" macro="[0]!ThisWorkbook.呼出">
                <anchor moveWithCells="1" sizeWithCells="1">
                  <from>
                    <xdr:col>1</xdr:col>
                    <xdr:colOff>57150</xdr:colOff>
                    <xdr:row>0</xdr:row>
                    <xdr:rowOff>390525</xdr:rowOff>
                  </from>
                  <to>
                    <xdr:col>4</xdr:col>
                    <xdr:colOff>200025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6" r:id="rId7" name="保存">
              <controlPr defaultSize="0" print="0" autoFill="0" autoPict="0" macro="[0]!ThisWorkbook.保存">
                <anchor moveWithCells="1" sizeWithCells="1">
                  <from>
                    <xdr:col>4</xdr:col>
                    <xdr:colOff>266700</xdr:colOff>
                    <xdr:row>0</xdr:row>
                    <xdr:rowOff>390525</xdr:rowOff>
                  </from>
                  <to>
                    <xdr:col>8</xdr:col>
                    <xdr:colOff>123825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7" r:id="rId8" name="終了">
              <controlPr defaultSize="0" print="0" autoFill="0" autoPict="0" macro="[0]!ThisWorkbook.終了">
                <anchor moveWithCells="1" sizeWithCells="1">
                  <from>
                    <xdr:col>41</xdr:col>
                    <xdr:colOff>19050</xdr:colOff>
                    <xdr:row>0</xdr:row>
                    <xdr:rowOff>390525</xdr:rowOff>
                  </from>
                  <to>
                    <xdr:col>44</xdr:col>
                    <xdr:colOff>142875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8" r:id="rId9" name="印刷">
              <controlPr defaultSize="0" print="0" autoFill="0" autoPict="0" macro="[0]!ThisWorkbook.印刷">
                <anchor moveWithCells="1" sizeWithCells="1">
                  <from>
                    <xdr:col>9</xdr:col>
                    <xdr:colOff>28575</xdr:colOff>
                    <xdr:row>0</xdr:row>
                    <xdr:rowOff>76200</xdr:rowOff>
                  </from>
                  <to>
                    <xdr:col>13</xdr:col>
                    <xdr:colOff>114300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9" r:id="rId10" name="入力">
              <controlPr defaultSize="0" print="0" autoFill="0" autoPict="0" macro="[0]!ThisWorkbook.入力">
                <anchor moveWithCells="1" sizeWithCells="1">
                  <from>
                    <xdr:col>1</xdr:col>
                    <xdr:colOff>57150</xdr:colOff>
                    <xdr:row>0</xdr:row>
                    <xdr:rowOff>76200</xdr:rowOff>
                  </from>
                  <to>
                    <xdr:col>4</xdr:col>
                    <xdr:colOff>200025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0" r:id="rId11" name="削除">
              <controlPr defaultSize="0" print="0" autoFill="0" autoPict="0" macro="[0]!ThisWorkbook.削除">
                <anchor moveWithCells="1" sizeWithCells="1">
                  <from>
                    <xdr:col>18</xdr:col>
                    <xdr:colOff>85725</xdr:colOff>
                    <xdr:row>0</xdr:row>
                    <xdr:rowOff>76200</xdr:rowOff>
                  </from>
                  <to>
                    <xdr:col>22</xdr:col>
                    <xdr:colOff>66675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1" r:id="rId12" name="合計無">
              <controlPr defaultSize="0" print="0" autoFill="0" autoPict="0" macro="[0]!ThisWorkbook.合計無">
                <anchor moveWithCells="1" sizeWithCells="1">
                  <from>
                    <xdr:col>31</xdr:col>
                    <xdr:colOff>152400</xdr:colOff>
                    <xdr:row>0</xdr:row>
                    <xdr:rowOff>76200</xdr:rowOff>
                  </from>
                  <to>
                    <xdr:col>35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2" r:id="rId13" name="ヘルプ">
              <controlPr defaultSize="0" print="0" autoFill="0" autoPict="0" macro="[0]!ThisWorkbook.ヘルプ">
                <anchor moveWithCells="1" sizeWithCells="1">
                  <from>
                    <xdr:col>41</xdr:col>
                    <xdr:colOff>19050</xdr:colOff>
                    <xdr:row>0</xdr:row>
                    <xdr:rowOff>76200</xdr:rowOff>
                  </from>
                  <to>
                    <xdr:col>44</xdr:col>
                    <xdr:colOff>142875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14" name="税無">
              <controlPr defaultSize="0" print="0" autoFill="0" autoPict="0" macro="[0]!ThisWorkbook.税無">
                <anchor moveWithCells="1" sizeWithCells="1">
                  <from>
                    <xdr:col>31</xdr:col>
                    <xdr:colOff>152400</xdr:colOff>
                    <xdr:row>0</xdr:row>
                    <xdr:rowOff>400050</xdr:rowOff>
                  </from>
                  <to>
                    <xdr:col>35</xdr:col>
                    <xdr:colOff>47625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4" r:id="rId15" name="画像">
              <controlPr defaultSize="0" print="0" autoFill="0" autoPict="0" macro="[0]!ThisWorkbook.画像">
                <anchor moveWithCells="1" sizeWithCells="1">
                  <from>
                    <xdr:col>9</xdr:col>
                    <xdr:colOff>28575</xdr:colOff>
                    <xdr:row>0</xdr:row>
                    <xdr:rowOff>390525</xdr:rowOff>
                  </from>
                  <to>
                    <xdr:col>13</xdr:col>
                    <xdr:colOff>114300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5" r:id="rId16" name="画像PW">
              <controlPr defaultSize="0" print="0" autoFill="0" autoPict="0" macro="[0]!ThisWorkbook.画像PW">
                <anchor moveWithCells="1" sizeWithCells="1">
                  <from>
                    <xdr:col>14</xdr:col>
                    <xdr:colOff>28575</xdr:colOff>
                    <xdr:row>0</xdr:row>
                    <xdr:rowOff>390525</xdr:rowOff>
                  </from>
                  <to>
                    <xdr:col>18</xdr:col>
                    <xdr:colOff>9525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6" r:id="rId17" name="明細入力">
              <controlPr defaultSize="0" print="0" autoFill="0" autoPict="0" macro="[0]!ThisWorkbook.明細入力">
                <anchor moveWithCells="1" sizeWithCells="1">
                  <from>
                    <xdr:col>4</xdr:col>
                    <xdr:colOff>266700</xdr:colOff>
                    <xdr:row>0</xdr:row>
                    <xdr:rowOff>76200</xdr:rowOff>
                  </from>
                  <to>
                    <xdr:col>8</xdr:col>
                    <xdr:colOff>123825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7" r:id="rId18" name="明細書">
              <controlPr defaultSize="0" print="0" autoFill="0" autoPict="0" macro="[0]!ThisWorkbook.明細追加">
                <anchor moveWithCells="1" sizeWithCells="1">
                  <from>
                    <xdr:col>22</xdr:col>
                    <xdr:colOff>133350</xdr:colOff>
                    <xdr:row>0</xdr:row>
                    <xdr:rowOff>390525</xdr:rowOff>
                  </from>
                  <to>
                    <xdr:col>27</xdr:col>
                    <xdr:colOff>47625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8" r:id="rId19" name="客呼">
              <controlPr defaultSize="0" print="0" autoFill="0" autoPict="0" macro="[0]!ThisWorkbook.得意先呼出">
                <anchor moveWithCells="1" sizeWithCells="1">
                  <from>
                    <xdr:col>0</xdr:col>
                    <xdr:colOff>66675</xdr:colOff>
                    <xdr:row>5</xdr:row>
                    <xdr:rowOff>180975</xdr:rowOff>
                  </from>
                  <to>
                    <xdr:col>0</xdr:col>
                    <xdr:colOff>476250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9" r:id="rId20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76200</xdr:rowOff>
                  </from>
                  <to>
                    <xdr:col>0</xdr:col>
                    <xdr:colOff>476250</xdr:colOff>
                    <xdr:row>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0" r:id="rId21" name="担当呼出">
              <controlPr defaultSize="0" print="0" autoFill="0" autoPict="0" macro="[0]!ThisWorkbook.担当者呼出">
                <anchor moveWithCells="1" sizeWithCells="1">
                  <from>
                    <xdr:col>0</xdr:col>
                    <xdr:colOff>66675</xdr:colOff>
                    <xdr:row>7</xdr:row>
                    <xdr:rowOff>95250</xdr:rowOff>
                  </from>
                  <to>
                    <xdr:col>0</xdr:col>
                    <xdr:colOff>476250</xdr:colOff>
                    <xdr:row>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1" r:id="rId22" name="品名呼出0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25</xdr:row>
                    <xdr:rowOff>95250</xdr:rowOff>
                  </from>
                  <to>
                    <xdr:col>0</xdr:col>
                    <xdr:colOff>476250</xdr:colOff>
                    <xdr:row>25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2" r:id="rId23" name="品名呼出0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26</xdr:row>
                    <xdr:rowOff>85725</xdr:rowOff>
                  </from>
                  <to>
                    <xdr:col>0</xdr:col>
                    <xdr:colOff>476250</xdr:colOff>
                    <xdr:row>26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3" r:id="rId24" name="品名呼出03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27</xdr:row>
                    <xdr:rowOff>95250</xdr:rowOff>
                  </from>
                  <to>
                    <xdr:col>0</xdr:col>
                    <xdr:colOff>476250</xdr:colOff>
                    <xdr:row>27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4" r:id="rId25" name="品名呼出04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5" r:id="rId26" name="品名呼出05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29</xdr:row>
                    <xdr:rowOff>95250</xdr:rowOff>
                  </from>
                  <to>
                    <xdr:col>0</xdr:col>
                    <xdr:colOff>476250</xdr:colOff>
                    <xdr:row>29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6" r:id="rId27" name="品名呼出06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30</xdr:row>
                    <xdr:rowOff>95250</xdr:rowOff>
                  </from>
                  <to>
                    <xdr:col>0</xdr:col>
                    <xdr:colOff>476250</xdr:colOff>
                    <xdr:row>30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7" r:id="rId28" name="品名呼出07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31</xdr:row>
                    <xdr:rowOff>95250</xdr:rowOff>
                  </from>
                  <to>
                    <xdr:col>0</xdr:col>
                    <xdr:colOff>476250</xdr:colOff>
                    <xdr:row>31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8" r:id="rId29" name="品名呼出08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32</xdr:row>
                    <xdr:rowOff>95250</xdr:rowOff>
                  </from>
                  <to>
                    <xdr:col>0</xdr:col>
                    <xdr:colOff>476250</xdr:colOff>
                    <xdr:row>32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9" r:id="rId30" name="品名呼出09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33</xdr:row>
                    <xdr:rowOff>95250</xdr:rowOff>
                  </from>
                  <to>
                    <xdr:col>0</xdr:col>
                    <xdr:colOff>476250</xdr:colOff>
                    <xdr:row>33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0" r:id="rId31" name="品名呼出10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34</xdr:row>
                    <xdr:rowOff>95250</xdr:rowOff>
                  </from>
                  <to>
                    <xdr:col>0</xdr:col>
                    <xdr:colOff>476250</xdr:colOff>
                    <xdr:row>34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1" r:id="rId32" name="品名呼出1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35</xdr:row>
                    <xdr:rowOff>95250</xdr:rowOff>
                  </from>
                  <to>
                    <xdr:col>0</xdr:col>
                    <xdr:colOff>476250</xdr:colOff>
                    <xdr:row>35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2" r:id="rId33" name="品名呼出1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36</xdr:row>
                    <xdr:rowOff>95250</xdr:rowOff>
                  </from>
                  <to>
                    <xdr:col>0</xdr:col>
                    <xdr:colOff>476250</xdr:colOff>
                    <xdr:row>36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3" r:id="rId34" name="更新">
              <controlPr defaultSize="0" print="0" autoFill="0" autoPict="0" macro="[0]!ThisWorkbook.更新">
                <anchor moveWithCells="1" sizeWithCells="1">
                  <from>
                    <xdr:col>0</xdr:col>
                    <xdr:colOff>66675</xdr:colOff>
                    <xdr:row>2</xdr:row>
                    <xdr:rowOff>161925</xdr:rowOff>
                  </from>
                  <to>
                    <xdr:col>0</xdr:col>
                    <xdr:colOff>476250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4" r:id="rId35" name="プレビュー">
              <controlPr defaultSize="0" print="0" autoFill="0" autoPict="0" macro="[0]!ThisWorkbook.プレビュー">
                <anchor moveWithCells="1" sizeWithCells="1">
                  <from>
                    <xdr:col>14</xdr:col>
                    <xdr:colOff>28575</xdr:colOff>
                    <xdr:row>0</xdr:row>
                    <xdr:rowOff>76200</xdr:rowOff>
                  </from>
                  <to>
                    <xdr:col>18</xdr:col>
                    <xdr:colOff>9525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5" r:id="rId36" name="環境設定">
              <controlPr defaultSize="0" print="0" autoFill="0" autoPict="0" macro="[0]!ThisWorkbook.設定">
                <anchor moveWithCells="1" sizeWithCells="1">
                  <from>
                    <xdr:col>27</xdr:col>
                    <xdr:colOff>114300</xdr:colOff>
                    <xdr:row>0</xdr:row>
                    <xdr:rowOff>400050</xdr:rowOff>
                  </from>
                  <to>
                    <xdr:col>31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6" r:id="rId37" name="詳細無">
              <controlPr defaultSize="0" print="0" autoFill="0" autoPict="0" macro="[0]!ThisWorkbook.戻る">
                <anchor moveWithCells="1" sizeWithCells="1">
                  <from>
                    <xdr:col>78</xdr:col>
                    <xdr:colOff>76200</xdr:colOff>
                    <xdr:row>98</xdr:row>
                    <xdr:rowOff>66675</xdr:rowOff>
                  </from>
                  <to>
                    <xdr:col>82</xdr:col>
                    <xdr:colOff>57150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7" r:id="rId38" name="電卓">
              <controlPr defaultSize="0" print="0" autoFill="0" autoPict="0" macro="[0]!calc">
                <anchor moveWithCells="1" sizeWithCells="1">
                  <from>
                    <xdr:col>18</xdr:col>
                    <xdr:colOff>85725</xdr:colOff>
                    <xdr:row>0</xdr:row>
                    <xdr:rowOff>390525</xdr:rowOff>
                  </from>
                  <to>
                    <xdr:col>22</xdr:col>
                    <xdr:colOff>66675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8" r:id="rId39" name="データ更新">
              <controlPr defaultSize="0" print="0" autoFill="0" autoPict="0" macro="[0]!ThisWorkbook.getdata">
                <anchor moveWithCells="1" sizeWithCells="1">
                  <from>
                    <xdr:col>151</xdr:col>
                    <xdr:colOff>123825</xdr:colOff>
                    <xdr:row>400</xdr:row>
                    <xdr:rowOff>104775</xdr:rowOff>
                  </from>
                  <to>
                    <xdr:col>156</xdr:col>
                    <xdr:colOff>38100</xdr:colOff>
                    <xdr:row>401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9" r:id="rId40" name="並替">
              <controlPr defaultSize="0" print="0" autoFill="0" autoPict="0" macro="[0]!ThisWorkbook.並替">
                <anchor moveWithCells="1" sizeWithCells="1">
                  <from>
                    <xdr:col>36</xdr:col>
                    <xdr:colOff>19050</xdr:colOff>
                    <xdr:row>0</xdr:row>
                    <xdr:rowOff>76200</xdr:rowOff>
                  </from>
                  <to>
                    <xdr:col>40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0" r:id="rId41" name="戻る2">
              <controlPr defaultSize="0" print="0" autoFill="0" autoPict="0" macro="[0]!ThisWorkbook.戻る">
                <anchor moveWithCells="1" sizeWithCells="1">
                  <from>
                    <xdr:col>151</xdr:col>
                    <xdr:colOff>123825</xdr:colOff>
                    <xdr:row>403</xdr:row>
                    <xdr:rowOff>104775</xdr:rowOff>
                  </from>
                  <to>
                    <xdr:col>156</xdr:col>
                    <xdr:colOff>38100</xdr:colOff>
                    <xdr:row>404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1" r:id="rId42" name="環境設定2">
              <controlPr defaultSize="0" print="0" autoFill="0" autoPict="0" macro="[0]!ThisWorkbook.設定">
                <anchor moveWithCells="1" sizeWithCells="1">
                  <from>
                    <xdr:col>151</xdr:col>
                    <xdr:colOff>123825</xdr:colOff>
                    <xdr:row>402</xdr:row>
                    <xdr:rowOff>19050</xdr:rowOff>
                  </from>
                  <to>
                    <xdr:col>156</xdr:col>
                    <xdr:colOff>38100</xdr:colOff>
                    <xdr:row>403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2" r:id="rId43" name="再選択">
              <controlPr defaultSize="0" print="0" autoFill="0" autoPict="0" macro="[0]!ThisWorkbook.並替2">
                <anchor moveWithCells="1" sizeWithCells="1">
                  <from>
                    <xdr:col>151</xdr:col>
                    <xdr:colOff>123825</xdr:colOff>
                    <xdr:row>399</xdr:row>
                    <xdr:rowOff>0</xdr:rowOff>
                  </from>
                  <to>
                    <xdr:col>156</xdr:col>
                    <xdr:colOff>38100</xdr:colOff>
                    <xdr:row>400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3" r:id="rId44" name="ﾃﾞｰﾀ処理">
              <controlPr defaultSize="0" print="0" autoFill="0" autoPict="0" macro="[0]!ThisWorkbook.データ処理">
                <anchor moveWithCells="1" sizeWithCells="1">
                  <from>
                    <xdr:col>36</xdr:col>
                    <xdr:colOff>19050</xdr:colOff>
                    <xdr:row>0</xdr:row>
                    <xdr:rowOff>400050</xdr:rowOff>
                  </from>
                  <to>
                    <xdr:col>40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4" r:id="rId45" name="詳細無">
              <controlPr defaultSize="0" print="0" autoFill="0" autoPict="0" macro="[0]!ThisWorkbook.自社">
                <anchor moveWithCells="1" sizeWithCells="1">
                  <from>
                    <xdr:col>82</xdr:col>
                    <xdr:colOff>142875</xdr:colOff>
                    <xdr:row>98</xdr:row>
                    <xdr:rowOff>66675</xdr:rowOff>
                  </from>
                  <to>
                    <xdr:col>88</xdr:col>
                    <xdr:colOff>133350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5" r:id="rId46" name="参照1">
              <controlPr defaultSize="0" print="0" autoFill="0" autoPict="0" macro="[0]!ThisWorkbook.参照1">
                <anchor moveWithCells="1" sizeWithCells="1">
                  <from>
                    <xdr:col>115</xdr:col>
                    <xdr:colOff>57150</xdr:colOff>
                    <xdr:row>118</xdr:row>
                    <xdr:rowOff>9525</xdr:rowOff>
                  </from>
                  <to>
                    <xdr:col>115</xdr:col>
                    <xdr:colOff>447675</xdr:colOff>
                    <xdr:row>118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6" r:id="rId47" name="参照2">
              <controlPr defaultSize="0" print="0" autoFill="0" autoPict="0" macro="[0]!ThisWorkbook.参照2">
                <anchor moveWithCells="1" sizeWithCells="1">
                  <from>
                    <xdr:col>115</xdr:col>
                    <xdr:colOff>57150</xdr:colOff>
                    <xdr:row>119</xdr:row>
                    <xdr:rowOff>19050</xdr:rowOff>
                  </from>
                  <to>
                    <xdr:col>115</xdr:col>
                    <xdr:colOff>447675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7" r:id="rId48" name="入力">
              <controlPr defaultSize="0" print="0" autoFill="0" autoPict="0" macro="[0]!ライセンスキー入力">
                <anchor moveWithCells="1" sizeWithCells="1">
                  <from>
                    <xdr:col>89</xdr:col>
                    <xdr:colOff>57150</xdr:colOff>
                    <xdr:row>98</xdr:row>
                    <xdr:rowOff>57150</xdr:rowOff>
                  </from>
                  <to>
                    <xdr:col>91</xdr:col>
                    <xdr:colOff>142875</xdr:colOff>
                    <xdr:row>99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8" r:id="rId49" name="入力">
              <controlPr defaultSize="0" print="0" autoFill="0" autoPict="0" macro="[0]!Sheet1.macdadress">
                <anchor moveWithCells="1" sizeWithCells="1">
                  <from>
                    <xdr:col>92</xdr:col>
                    <xdr:colOff>66675</xdr:colOff>
                    <xdr:row>98</xdr:row>
                    <xdr:rowOff>57150</xdr:rowOff>
                  </from>
                  <to>
                    <xdr:col>97</xdr:col>
                    <xdr:colOff>85725</xdr:colOff>
                    <xdr:row>99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AG10" sqref="AG10:AM10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08" t="s">
        <v>106</v>
      </c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AL3" s="5" t="s">
        <v>0</v>
      </c>
      <c r="AM3" s="5"/>
      <c r="AN3" s="211"/>
      <c r="AO3" s="211"/>
      <c r="AP3" s="211"/>
      <c r="AQ3" s="211"/>
      <c r="AR3" s="211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35" t="s">
        <v>88</v>
      </c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7"/>
      <c r="U5" s="111" t="s">
        <v>10</v>
      </c>
      <c r="V5" s="112"/>
      <c r="W5" s="112"/>
      <c r="X5" s="112"/>
      <c r="Y5" s="112"/>
      <c r="Z5" s="112"/>
      <c r="AA5" s="113"/>
      <c r="AB5" s="111" t="s">
        <v>11</v>
      </c>
      <c r="AC5" s="112"/>
      <c r="AD5" s="112"/>
      <c r="AE5" s="112"/>
      <c r="AF5" s="112"/>
      <c r="AG5" s="111" t="s">
        <v>12</v>
      </c>
      <c r="AH5" s="112"/>
      <c r="AI5" s="112"/>
      <c r="AJ5" s="112"/>
      <c r="AK5" s="112"/>
      <c r="AL5" s="112"/>
      <c r="AM5" s="113"/>
      <c r="AN5" s="111" t="s">
        <v>13</v>
      </c>
      <c r="AO5" s="112"/>
      <c r="AP5" s="112"/>
      <c r="AQ5" s="112"/>
      <c r="AR5" s="112"/>
      <c r="AS5" s="112"/>
      <c r="AT5" s="117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38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40"/>
      <c r="U6" s="114"/>
      <c r="V6" s="115"/>
      <c r="W6" s="115"/>
      <c r="X6" s="115"/>
      <c r="Y6" s="115"/>
      <c r="Z6" s="115"/>
      <c r="AA6" s="116"/>
      <c r="AB6" s="114"/>
      <c r="AC6" s="115"/>
      <c r="AD6" s="115"/>
      <c r="AE6" s="115"/>
      <c r="AF6" s="115"/>
      <c r="AG6" s="114"/>
      <c r="AH6" s="115"/>
      <c r="AI6" s="115"/>
      <c r="AJ6" s="115"/>
      <c r="AK6" s="115"/>
      <c r="AL6" s="115"/>
      <c r="AM6" s="116"/>
      <c r="AN6" s="114"/>
      <c r="AO6" s="115"/>
      <c r="AP6" s="115"/>
      <c r="AQ6" s="115"/>
      <c r="AR6" s="115"/>
      <c r="AS6" s="115"/>
      <c r="AT6" s="118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12" t="s">
        <v>103</v>
      </c>
      <c r="D7" s="213"/>
      <c r="E7" s="213"/>
      <c r="F7" s="213"/>
      <c r="G7" s="213"/>
      <c r="H7" s="213"/>
      <c r="I7" s="213"/>
      <c r="J7" s="213"/>
      <c r="K7" s="213"/>
      <c r="L7" s="213"/>
      <c r="M7" s="213"/>
      <c r="N7" s="213"/>
      <c r="O7" s="213"/>
      <c r="P7" s="213"/>
      <c r="Q7" s="213"/>
      <c r="R7" s="213"/>
      <c r="S7" s="213"/>
      <c r="T7" s="214"/>
      <c r="U7" s="122">
        <v>1</v>
      </c>
      <c r="V7" s="123"/>
      <c r="W7" s="123"/>
      <c r="X7" s="123"/>
      <c r="Y7" s="124" t="s">
        <v>104</v>
      </c>
      <c r="Z7" s="124"/>
      <c r="AA7" s="125"/>
      <c r="AB7" s="122"/>
      <c r="AC7" s="123"/>
      <c r="AD7" s="123"/>
      <c r="AE7" s="123"/>
      <c r="AF7" s="126"/>
      <c r="AG7" s="122">
        <f>IF(U7="",1*AB7,U7*AB7)</f>
        <v>0</v>
      </c>
      <c r="AH7" s="123"/>
      <c r="AI7" s="123"/>
      <c r="AJ7" s="123"/>
      <c r="AK7" s="123"/>
      <c r="AL7" s="123"/>
      <c r="AM7" s="126"/>
      <c r="AN7" s="215"/>
      <c r="AO7" s="216"/>
      <c r="AP7" s="216"/>
      <c r="AQ7" s="216"/>
      <c r="AR7" s="216"/>
      <c r="AS7" s="216"/>
      <c r="AT7" s="217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12" t="s">
        <v>119</v>
      </c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3"/>
      <c r="S8" s="213"/>
      <c r="T8" s="214"/>
      <c r="U8" s="122">
        <v>2</v>
      </c>
      <c r="V8" s="123"/>
      <c r="W8" s="123"/>
      <c r="X8" s="123"/>
      <c r="Y8" s="124" t="s">
        <v>120</v>
      </c>
      <c r="Z8" s="124"/>
      <c r="AA8" s="125"/>
      <c r="AB8" s="122"/>
      <c r="AC8" s="123"/>
      <c r="AD8" s="123"/>
      <c r="AE8" s="123"/>
      <c r="AF8" s="126"/>
      <c r="AG8" s="122">
        <f t="shared" ref="AG8:AG29" si="0">IF(U8="",1*AB8,U8*AB8)</f>
        <v>0</v>
      </c>
      <c r="AH8" s="123"/>
      <c r="AI8" s="123"/>
      <c r="AJ8" s="123"/>
      <c r="AK8" s="123"/>
      <c r="AL8" s="123"/>
      <c r="AM8" s="126"/>
      <c r="AN8" s="215"/>
      <c r="AO8" s="216"/>
      <c r="AP8" s="216"/>
      <c r="AQ8" s="216"/>
      <c r="AR8" s="216"/>
      <c r="AS8" s="216"/>
      <c r="AT8" s="217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12" t="s">
        <v>121</v>
      </c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3"/>
      <c r="R9" s="213"/>
      <c r="S9" s="213"/>
      <c r="T9" s="214"/>
      <c r="U9" s="122">
        <v>1</v>
      </c>
      <c r="V9" s="123"/>
      <c r="W9" s="123"/>
      <c r="X9" s="123"/>
      <c r="Y9" s="124" t="s">
        <v>120</v>
      </c>
      <c r="Z9" s="124"/>
      <c r="AA9" s="125"/>
      <c r="AB9" s="122"/>
      <c r="AC9" s="123"/>
      <c r="AD9" s="123"/>
      <c r="AE9" s="123"/>
      <c r="AF9" s="126"/>
      <c r="AG9" s="122">
        <f t="shared" si="0"/>
        <v>0</v>
      </c>
      <c r="AH9" s="123"/>
      <c r="AI9" s="123"/>
      <c r="AJ9" s="123"/>
      <c r="AK9" s="123"/>
      <c r="AL9" s="123"/>
      <c r="AM9" s="126"/>
      <c r="AN9" s="215"/>
      <c r="AO9" s="216"/>
      <c r="AP9" s="216"/>
      <c r="AQ9" s="216"/>
      <c r="AR9" s="216"/>
      <c r="AS9" s="216"/>
      <c r="AT9" s="217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12" t="s">
        <v>122</v>
      </c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  <c r="Q10" s="213"/>
      <c r="R10" s="213"/>
      <c r="S10" s="213"/>
      <c r="T10" s="214"/>
      <c r="U10" s="122">
        <v>3</v>
      </c>
      <c r="V10" s="123"/>
      <c r="W10" s="123"/>
      <c r="X10" s="123"/>
      <c r="Y10" s="124" t="s">
        <v>120</v>
      </c>
      <c r="Z10" s="124"/>
      <c r="AA10" s="125"/>
      <c r="AB10" s="122"/>
      <c r="AC10" s="123"/>
      <c r="AD10" s="123"/>
      <c r="AE10" s="123"/>
      <c r="AF10" s="126"/>
      <c r="AG10" s="122">
        <f t="shared" si="0"/>
        <v>0</v>
      </c>
      <c r="AH10" s="123"/>
      <c r="AI10" s="123"/>
      <c r="AJ10" s="123"/>
      <c r="AK10" s="123"/>
      <c r="AL10" s="123"/>
      <c r="AM10" s="126"/>
      <c r="AN10" s="215"/>
      <c r="AO10" s="216"/>
      <c r="AP10" s="216"/>
      <c r="AQ10" s="216"/>
      <c r="AR10" s="216"/>
      <c r="AS10" s="216"/>
      <c r="AT10" s="217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12" t="s">
        <v>123</v>
      </c>
      <c r="D11" s="213"/>
      <c r="E11" s="213"/>
      <c r="F11" s="213"/>
      <c r="G11" s="213"/>
      <c r="H11" s="213"/>
      <c r="I11" s="213"/>
      <c r="J11" s="213"/>
      <c r="K11" s="213"/>
      <c r="L11" s="213"/>
      <c r="M11" s="213"/>
      <c r="N11" s="213"/>
      <c r="O11" s="213"/>
      <c r="P11" s="213"/>
      <c r="Q11" s="213"/>
      <c r="R11" s="213"/>
      <c r="S11" s="213"/>
      <c r="T11" s="214"/>
      <c r="U11" s="122">
        <v>1</v>
      </c>
      <c r="V11" s="123"/>
      <c r="W11" s="123"/>
      <c r="X11" s="123"/>
      <c r="Y11" s="124" t="s">
        <v>120</v>
      </c>
      <c r="Z11" s="124"/>
      <c r="AA11" s="125"/>
      <c r="AB11" s="122"/>
      <c r="AC11" s="123"/>
      <c r="AD11" s="123"/>
      <c r="AE11" s="123"/>
      <c r="AF11" s="126"/>
      <c r="AG11" s="122">
        <f t="shared" si="0"/>
        <v>0</v>
      </c>
      <c r="AH11" s="123"/>
      <c r="AI11" s="123"/>
      <c r="AJ11" s="123"/>
      <c r="AK11" s="123"/>
      <c r="AL11" s="123"/>
      <c r="AM11" s="126"/>
      <c r="AN11" s="215"/>
      <c r="AO11" s="216"/>
      <c r="AP11" s="216"/>
      <c r="AQ11" s="216"/>
      <c r="AR11" s="216"/>
      <c r="AS11" s="216"/>
      <c r="AT11" s="217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12" t="s">
        <v>124</v>
      </c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213"/>
      <c r="O12" s="213"/>
      <c r="P12" s="213"/>
      <c r="Q12" s="213"/>
      <c r="R12" s="213"/>
      <c r="S12" s="213"/>
      <c r="T12" s="214"/>
      <c r="U12" s="122">
        <v>20</v>
      </c>
      <c r="V12" s="123"/>
      <c r="W12" s="123"/>
      <c r="X12" s="123"/>
      <c r="Y12" s="124" t="s">
        <v>125</v>
      </c>
      <c r="Z12" s="124"/>
      <c r="AA12" s="125"/>
      <c r="AB12" s="122"/>
      <c r="AC12" s="123"/>
      <c r="AD12" s="123"/>
      <c r="AE12" s="123"/>
      <c r="AF12" s="126"/>
      <c r="AG12" s="122">
        <f t="shared" si="0"/>
        <v>0</v>
      </c>
      <c r="AH12" s="123"/>
      <c r="AI12" s="123"/>
      <c r="AJ12" s="123"/>
      <c r="AK12" s="123"/>
      <c r="AL12" s="123"/>
      <c r="AM12" s="126"/>
      <c r="AN12" s="215"/>
      <c r="AO12" s="216"/>
      <c r="AP12" s="216"/>
      <c r="AQ12" s="216"/>
      <c r="AR12" s="216"/>
      <c r="AS12" s="216"/>
      <c r="AT12" s="217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12" t="s">
        <v>126</v>
      </c>
      <c r="D13" s="213"/>
      <c r="E13" s="213"/>
      <c r="F13" s="213"/>
      <c r="G13" s="213"/>
      <c r="H13" s="213"/>
      <c r="I13" s="213"/>
      <c r="J13" s="213"/>
      <c r="K13" s="213"/>
      <c r="L13" s="213"/>
      <c r="M13" s="213"/>
      <c r="N13" s="213"/>
      <c r="O13" s="213"/>
      <c r="P13" s="213"/>
      <c r="Q13" s="213"/>
      <c r="R13" s="213"/>
      <c r="S13" s="213"/>
      <c r="T13" s="214"/>
      <c r="U13" s="122">
        <v>1</v>
      </c>
      <c r="V13" s="123"/>
      <c r="W13" s="123"/>
      <c r="X13" s="123"/>
      <c r="Y13" s="124" t="s">
        <v>120</v>
      </c>
      <c r="Z13" s="124"/>
      <c r="AA13" s="125"/>
      <c r="AB13" s="122"/>
      <c r="AC13" s="123"/>
      <c r="AD13" s="123"/>
      <c r="AE13" s="123"/>
      <c r="AF13" s="126"/>
      <c r="AG13" s="122">
        <f t="shared" si="0"/>
        <v>0</v>
      </c>
      <c r="AH13" s="123"/>
      <c r="AI13" s="123"/>
      <c r="AJ13" s="123"/>
      <c r="AK13" s="123"/>
      <c r="AL13" s="123"/>
      <c r="AM13" s="126"/>
      <c r="AN13" s="215"/>
      <c r="AO13" s="216"/>
      <c r="AP13" s="216"/>
      <c r="AQ13" s="216"/>
      <c r="AR13" s="216"/>
      <c r="AS13" s="216"/>
      <c r="AT13" s="217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12" t="s">
        <v>127</v>
      </c>
      <c r="D14" s="213"/>
      <c r="E14" s="213"/>
      <c r="F14" s="213"/>
      <c r="G14" s="213"/>
      <c r="H14" s="213"/>
      <c r="I14" s="213"/>
      <c r="J14" s="213"/>
      <c r="K14" s="213"/>
      <c r="L14" s="213"/>
      <c r="M14" s="213"/>
      <c r="N14" s="213"/>
      <c r="O14" s="213"/>
      <c r="P14" s="213"/>
      <c r="Q14" s="213"/>
      <c r="R14" s="213"/>
      <c r="S14" s="213"/>
      <c r="T14" s="214"/>
      <c r="U14" s="122">
        <v>1</v>
      </c>
      <c r="V14" s="123"/>
      <c r="W14" s="123"/>
      <c r="X14" s="123"/>
      <c r="Y14" s="124" t="s">
        <v>120</v>
      </c>
      <c r="Z14" s="124"/>
      <c r="AA14" s="125"/>
      <c r="AB14" s="122"/>
      <c r="AC14" s="123"/>
      <c r="AD14" s="123"/>
      <c r="AE14" s="123"/>
      <c r="AF14" s="126"/>
      <c r="AG14" s="122">
        <f t="shared" si="0"/>
        <v>0</v>
      </c>
      <c r="AH14" s="123"/>
      <c r="AI14" s="123"/>
      <c r="AJ14" s="123"/>
      <c r="AK14" s="123"/>
      <c r="AL14" s="123"/>
      <c r="AM14" s="126"/>
      <c r="AN14" s="215"/>
      <c r="AO14" s="216"/>
      <c r="AP14" s="216"/>
      <c r="AQ14" s="216"/>
      <c r="AR14" s="216"/>
      <c r="AS14" s="216"/>
      <c r="AT14" s="217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12"/>
      <c r="D15" s="213"/>
      <c r="E15" s="213"/>
      <c r="F15" s="213"/>
      <c r="G15" s="213"/>
      <c r="H15" s="213"/>
      <c r="I15" s="213"/>
      <c r="J15" s="213"/>
      <c r="K15" s="213"/>
      <c r="L15" s="213"/>
      <c r="M15" s="213"/>
      <c r="N15" s="213"/>
      <c r="O15" s="213"/>
      <c r="P15" s="213"/>
      <c r="Q15" s="213"/>
      <c r="R15" s="213"/>
      <c r="S15" s="213"/>
      <c r="T15" s="214"/>
      <c r="U15" s="122"/>
      <c r="V15" s="123"/>
      <c r="W15" s="123"/>
      <c r="X15" s="123"/>
      <c r="Y15" s="124"/>
      <c r="Z15" s="124"/>
      <c r="AA15" s="125"/>
      <c r="AB15" s="122"/>
      <c r="AC15" s="123"/>
      <c r="AD15" s="123"/>
      <c r="AE15" s="123"/>
      <c r="AF15" s="126"/>
      <c r="AG15" s="122">
        <f t="shared" si="0"/>
        <v>0</v>
      </c>
      <c r="AH15" s="123"/>
      <c r="AI15" s="123"/>
      <c r="AJ15" s="123"/>
      <c r="AK15" s="123"/>
      <c r="AL15" s="123"/>
      <c r="AM15" s="126"/>
      <c r="AN15" s="215"/>
      <c r="AO15" s="216"/>
      <c r="AP15" s="216"/>
      <c r="AQ15" s="216"/>
      <c r="AR15" s="216"/>
      <c r="AS15" s="216"/>
      <c r="AT15" s="217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12"/>
      <c r="D16" s="213"/>
      <c r="E16" s="213"/>
      <c r="F16" s="213"/>
      <c r="G16" s="213"/>
      <c r="H16" s="213"/>
      <c r="I16" s="213"/>
      <c r="J16" s="213"/>
      <c r="K16" s="213"/>
      <c r="L16" s="213"/>
      <c r="M16" s="213"/>
      <c r="N16" s="213"/>
      <c r="O16" s="213"/>
      <c r="P16" s="213"/>
      <c r="Q16" s="213"/>
      <c r="R16" s="213"/>
      <c r="S16" s="213"/>
      <c r="T16" s="214"/>
      <c r="U16" s="122"/>
      <c r="V16" s="123"/>
      <c r="W16" s="123"/>
      <c r="X16" s="123"/>
      <c r="Y16" s="124"/>
      <c r="Z16" s="124"/>
      <c r="AA16" s="125"/>
      <c r="AB16" s="122"/>
      <c r="AC16" s="123"/>
      <c r="AD16" s="123"/>
      <c r="AE16" s="123"/>
      <c r="AF16" s="126"/>
      <c r="AG16" s="122">
        <f t="shared" si="0"/>
        <v>0</v>
      </c>
      <c r="AH16" s="123"/>
      <c r="AI16" s="123"/>
      <c r="AJ16" s="123"/>
      <c r="AK16" s="123"/>
      <c r="AL16" s="123"/>
      <c r="AM16" s="126"/>
      <c r="AN16" s="215"/>
      <c r="AO16" s="216"/>
      <c r="AP16" s="216"/>
      <c r="AQ16" s="216"/>
      <c r="AR16" s="216"/>
      <c r="AS16" s="216"/>
      <c r="AT16" s="217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12"/>
      <c r="D17" s="213"/>
      <c r="E17" s="213"/>
      <c r="F17" s="213"/>
      <c r="G17" s="213"/>
      <c r="H17" s="213"/>
      <c r="I17" s="213"/>
      <c r="J17" s="213"/>
      <c r="K17" s="213"/>
      <c r="L17" s="213"/>
      <c r="M17" s="213"/>
      <c r="N17" s="213"/>
      <c r="O17" s="213"/>
      <c r="P17" s="213"/>
      <c r="Q17" s="213"/>
      <c r="R17" s="213"/>
      <c r="S17" s="213"/>
      <c r="T17" s="214"/>
      <c r="U17" s="122"/>
      <c r="V17" s="123"/>
      <c r="W17" s="123"/>
      <c r="X17" s="123"/>
      <c r="Y17" s="124"/>
      <c r="Z17" s="124"/>
      <c r="AA17" s="125"/>
      <c r="AB17" s="122"/>
      <c r="AC17" s="123"/>
      <c r="AD17" s="123"/>
      <c r="AE17" s="123"/>
      <c r="AF17" s="126"/>
      <c r="AG17" s="122">
        <f t="shared" si="0"/>
        <v>0</v>
      </c>
      <c r="AH17" s="123"/>
      <c r="AI17" s="123"/>
      <c r="AJ17" s="123"/>
      <c r="AK17" s="123"/>
      <c r="AL17" s="123"/>
      <c r="AM17" s="126"/>
      <c r="AN17" s="215"/>
      <c r="AO17" s="216"/>
      <c r="AP17" s="216"/>
      <c r="AQ17" s="216"/>
      <c r="AR17" s="216"/>
      <c r="AS17" s="216"/>
      <c r="AT17" s="217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12"/>
      <c r="D18" s="213"/>
      <c r="E18" s="213"/>
      <c r="F18" s="213"/>
      <c r="G18" s="213"/>
      <c r="H18" s="213"/>
      <c r="I18" s="213"/>
      <c r="J18" s="213"/>
      <c r="K18" s="213"/>
      <c r="L18" s="213"/>
      <c r="M18" s="213"/>
      <c r="N18" s="213"/>
      <c r="O18" s="213"/>
      <c r="P18" s="213"/>
      <c r="Q18" s="213"/>
      <c r="R18" s="213"/>
      <c r="S18" s="213"/>
      <c r="T18" s="214"/>
      <c r="U18" s="122"/>
      <c r="V18" s="123"/>
      <c r="W18" s="123"/>
      <c r="X18" s="123"/>
      <c r="Y18" s="124"/>
      <c r="Z18" s="124"/>
      <c r="AA18" s="125"/>
      <c r="AB18" s="122"/>
      <c r="AC18" s="123"/>
      <c r="AD18" s="123"/>
      <c r="AE18" s="123"/>
      <c r="AF18" s="126"/>
      <c r="AG18" s="122">
        <f t="shared" si="0"/>
        <v>0</v>
      </c>
      <c r="AH18" s="123"/>
      <c r="AI18" s="123"/>
      <c r="AJ18" s="123"/>
      <c r="AK18" s="123"/>
      <c r="AL18" s="123"/>
      <c r="AM18" s="126"/>
      <c r="AN18" s="215"/>
      <c r="AO18" s="216"/>
      <c r="AP18" s="216"/>
      <c r="AQ18" s="216"/>
      <c r="AR18" s="216"/>
      <c r="AS18" s="216"/>
      <c r="AT18" s="217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12"/>
      <c r="D19" s="213"/>
      <c r="E19" s="213"/>
      <c r="F19" s="213"/>
      <c r="G19" s="213"/>
      <c r="H19" s="213"/>
      <c r="I19" s="213"/>
      <c r="J19" s="213"/>
      <c r="K19" s="213"/>
      <c r="L19" s="213"/>
      <c r="M19" s="213"/>
      <c r="N19" s="213"/>
      <c r="O19" s="213"/>
      <c r="P19" s="213"/>
      <c r="Q19" s="213"/>
      <c r="R19" s="213"/>
      <c r="S19" s="213"/>
      <c r="T19" s="214"/>
      <c r="U19" s="122"/>
      <c r="V19" s="123"/>
      <c r="W19" s="123"/>
      <c r="X19" s="123"/>
      <c r="Y19" s="124"/>
      <c r="Z19" s="124"/>
      <c r="AA19" s="125"/>
      <c r="AB19" s="122"/>
      <c r="AC19" s="123"/>
      <c r="AD19" s="123"/>
      <c r="AE19" s="123"/>
      <c r="AF19" s="126"/>
      <c r="AG19" s="122">
        <f t="shared" si="0"/>
        <v>0</v>
      </c>
      <c r="AH19" s="123"/>
      <c r="AI19" s="123"/>
      <c r="AJ19" s="123"/>
      <c r="AK19" s="123"/>
      <c r="AL19" s="123"/>
      <c r="AM19" s="126"/>
      <c r="AN19" s="215"/>
      <c r="AO19" s="216"/>
      <c r="AP19" s="216"/>
      <c r="AQ19" s="216"/>
      <c r="AR19" s="216"/>
      <c r="AS19" s="216"/>
      <c r="AT19" s="217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212"/>
      <c r="D20" s="213"/>
      <c r="E20" s="213"/>
      <c r="F20" s="213"/>
      <c r="G20" s="213"/>
      <c r="H20" s="213"/>
      <c r="I20" s="213"/>
      <c r="J20" s="213"/>
      <c r="K20" s="213"/>
      <c r="L20" s="213"/>
      <c r="M20" s="213"/>
      <c r="N20" s="213"/>
      <c r="O20" s="213"/>
      <c r="P20" s="213"/>
      <c r="Q20" s="213"/>
      <c r="R20" s="213"/>
      <c r="S20" s="213"/>
      <c r="T20" s="214"/>
      <c r="U20" s="122"/>
      <c r="V20" s="123"/>
      <c r="W20" s="123"/>
      <c r="X20" s="123"/>
      <c r="Y20" s="124"/>
      <c r="Z20" s="124"/>
      <c r="AA20" s="125"/>
      <c r="AB20" s="122"/>
      <c r="AC20" s="123"/>
      <c r="AD20" s="123"/>
      <c r="AE20" s="123"/>
      <c r="AF20" s="126"/>
      <c r="AG20" s="122">
        <f t="shared" si="0"/>
        <v>0</v>
      </c>
      <c r="AH20" s="123"/>
      <c r="AI20" s="123"/>
      <c r="AJ20" s="123"/>
      <c r="AK20" s="123"/>
      <c r="AL20" s="123"/>
      <c r="AM20" s="126"/>
      <c r="AN20" s="215"/>
      <c r="AO20" s="216"/>
      <c r="AP20" s="216"/>
      <c r="AQ20" s="216"/>
      <c r="AR20" s="216"/>
      <c r="AS20" s="216"/>
      <c r="AT20" s="217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212"/>
      <c r="D21" s="213"/>
      <c r="E21" s="213"/>
      <c r="F21" s="213"/>
      <c r="G21" s="213"/>
      <c r="H21" s="213"/>
      <c r="I21" s="213"/>
      <c r="J21" s="213"/>
      <c r="K21" s="213"/>
      <c r="L21" s="213"/>
      <c r="M21" s="213"/>
      <c r="N21" s="213"/>
      <c r="O21" s="213"/>
      <c r="P21" s="213"/>
      <c r="Q21" s="213"/>
      <c r="R21" s="213"/>
      <c r="S21" s="213"/>
      <c r="T21" s="214"/>
      <c r="U21" s="122"/>
      <c r="V21" s="123"/>
      <c r="W21" s="123"/>
      <c r="X21" s="123"/>
      <c r="Y21" s="124"/>
      <c r="Z21" s="124"/>
      <c r="AA21" s="125"/>
      <c r="AB21" s="122"/>
      <c r="AC21" s="123"/>
      <c r="AD21" s="123"/>
      <c r="AE21" s="123"/>
      <c r="AF21" s="126"/>
      <c r="AG21" s="122">
        <f t="shared" si="0"/>
        <v>0</v>
      </c>
      <c r="AH21" s="123"/>
      <c r="AI21" s="123"/>
      <c r="AJ21" s="123"/>
      <c r="AK21" s="123"/>
      <c r="AL21" s="123"/>
      <c r="AM21" s="126"/>
      <c r="AN21" s="215"/>
      <c r="AO21" s="216"/>
      <c r="AP21" s="216"/>
      <c r="AQ21" s="216"/>
      <c r="AR21" s="216"/>
      <c r="AS21" s="216"/>
      <c r="AT21" s="217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212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4"/>
      <c r="U22" s="122"/>
      <c r="V22" s="123"/>
      <c r="W22" s="123"/>
      <c r="X22" s="123"/>
      <c r="Y22" s="124"/>
      <c r="Z22" s="124"/>
      <c r="AA22" s="125"/>
      <c r="AB22" s="122"/>
      <c r="AC22" s="123"/>
      <c r="AD22" s="123"/>
      <c r="AE22" s="123"/>
      <c r="AF22" s="126"/>
      <c r="AG22" s="122">
        <f t="shared" si="0"/>
        <v>0</v>
      </c>
      <c r="AH22" s="123"/>
      <c r="AI22" s="123"/>
      <c r="AJ22" s="123"/>
      <c r="AK22" s="123"/>
      <c r="AL22" s="123"/>
      <c r="AM22" s="126"/>
      <c r="AN22" s="215"/>
      <c r="AO22" s="216"/>
      <c r="AP22" s="216"/>
      <c r="AQ22" s="216"/>
      <c r="AR22" s="216"/>
      <c r="AS22" s="216"/>
      <c r="AT22" s="217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12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13"/>
      <c r="T23" s="214"/>
      <c r="U23" s="122"/>
      <c r="V23" s="123"/>
      <c r="W23" s="123"/>
      <c r="X23" s="123"/>
      <c r="Y23" s="124"/>
      <c r="Z23" s="124"/>
      <c r="AA23" s="125"/>
      <c r="AB23" s="122"/>
      <c r="AC23" s="123"/>
      <c r="AD23" s="123"/>
      <c r="AE23" s="123"/>
      <c r="AF23" s="126"/>
      <c r="AG23" s="122">
        <f t="shared" si="0"/>
        <v>0</v>
      </c>
      <c r="AH23" s="123"/>
      <c r="AI23" s="123"/>
      <c r="AJ23" s="123"/>
      <c r="AK23" s="123"/>
      <c r="AL23" s="123"/>
      <c r="AM23" s="126"/>
      <c r="AN23" s="215"/>
      <c r="AO23" s="216"/>
      <c r="AP23" s="216"/>
      <c r="AQ23" s="216"/>
      <c r="AR23" s="216"/>
      <c r="AS23" s="216"/>
      <c r="AT23" s="217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12"/>
      <c r="D24" s="213"/>
      <c r="E24" s="213"/>
      <c r="F24" s="213"/>
      <c r="G24" s="213"/>
      <c r="H24" s="213"/>
      <c r="I24" s="213"/>
      <c r="J24" s="213"/>
      <c r="K24" s="213"/>
      <c r="L24" s="213"/>
      <c r="M24" s="213"/>
      <c r="N24" s="213"/>
      <c r="O24" s="213"/>
      <c r="P24" s="213"/>
      <c r="Q24" s="213"/>
      <c r="R24" s="213"/>
      <c r="S24" s="213"/>
      <c r="T24" s="214"/>
      <c r="U24" s="122"/>
      <c r="V24" s="123"/>
      <c r="W24" s="123"/>
      <c r="X24" s="123"/>
      <c r="Y24" s="124"/>
      <c r="Z24" s="124"/>
      <c r="AA24" s="125"/>
      <c r="AB24" s="122"/>
      <c r="AC24" s="123"/>
      <c r="AD24" s="123"/>
      <c r="AE24" s="123"/>
      <c r="AF24" s="126"/>
      <c r="AG24" s="122">
        <f t="shared" si="0"/>
        <v>0</v>
      </c>
      <c r="AH24" s="123"/>
      <c r="AI24" s="123"/>
      <c r="AJ24" s="123"/>
      <c r="AK24" s="123"/>
      <c r="AL24" s="123"/>
      <c r="AM24" s="126"/>
      <c r="AN24" s="215"/>
      <c r="AO24" s="216"/>
      <c r="AP24" s="216"/>
      <c r="AQ24" s="216"/>
      <c r="AR24" s="216"/>
      <c r="AS24" s="216"/>
      <c r="AT24" s="217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12"/>
      <c r="D25" s="213"/>
      <c r="E25" s="213"/>
      <c r="F25" s="213"/>
      <c r="G25" s="213"/>
      <c r="H25" s="213"/>
      <c r="I25" s="213"/>
      <c r="J25" s="213"/>
      <c r="K25" s="213"/>
      <c r="L25" s="213"/>
      <c r="M25" s="213"/>
      <c r="N25" s="213"/>
      <c r="O25" s="213"/>
      <c r="P25" s="213"/>
      <c r="Q25" s="213"/>
      <c r="R25" s="213"/>
      <c r="S25" s="213"/>
      <c r="T25" s="214"/>
      <c r="U25" s="122"/>
      <c r="V25" s="123"/>
      <c r="W25" s="123"/>
      <c r="X25" s="123"/>
      <c r="Y25" s="124"/>
      <c r="Z25" s="124"/>
      <c r="AA25" s="125"/>
      <c r="AB25" s="122"/>
      <c r="AC25" s="123"/>
      <c r="AD25" s="123"/>
      <c r="AE25" s="123"/>
      <c r="AF25" s="126"/>
      <c r="AG25" s="122">
        <f t="shared" si="0"/>
        <v>0</v>
      </c>
      <c r="AH25" s="123"/>
      <c r="AI25" s="123"/>
      <c r="AJ25" s="123"/>
      <c r="AK25" s="123"/>
      <c r="AL25" s="123"/>
      <c r="AM25" s="126"/>
      <c r="AN25" s="215"/>
      <c r="AO25" s="216"/>
      <c r="AP25" s="216"/>
      <c r="AQ25" s="216"/>
      <c r="AR25" s="216"/>
      <c r="AS25" s="216"/>
      <c r="AT25" s="217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12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4"/>
      <c r="U26" s="122"/>
      <c r="V26" s="123"/>
      <c r="W26" s="123"/>
      <c r="X26" s="123"/>
      <c r="Y26" s="124"/>
      <c r="Z26" s="124"/>
      <c r="AA26" s="125"/>
      <c r="AB26" s="122"/>
      <c r="AC26" s="123"/>
      <c r="AD26" s="123"/>
      <c r="AE26" s="123"/>
      <c r="AF26" s="126"/>
      <c r="AG26" s="122">
        <f t="shared" si="0"/>
        <v>0</v>
      </c>
      <c r="AH26" s="123"/>
      <c r="AI26" s="123"/>
      <c r="AJ26" s="123"/>
      <c r="AK26" s="123"/>
      <c r="AL26" s="123"/>
      <c r="AM26" s="126"/>
      <c r="AN26" s="215"/>
      <c r="AO26" s="216"/>
      <c r="AP26" s="216"/>
      <c r="AQ26" s="216"/>
      <c r="AR26" s="216"/>
      <c r="AS26" s="216"/>
      <c r="AT26" s="217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12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4"/>
      <c r="U27" s="122"/>
      <c r="V27" s="123"/>
      <c r="W27" s="123"/>
      <c r="X27" s="123"/>
      <c r="Y27" s="124"/>
      <c r="Z27" s="124"/>
      <c r="AA27" s="125"/>
      <c r="AB27" s="122"/>
      <c r="AC27" s="123"/>
      <c r="AD27" s="123"/>
      <c r="AE27" s="123"/>
      <c r="AF27" s="126"/>
      <c r="AG27" s="122">
        <f t="shared" si="0"/>
        <v>0</v>
      </c>
      <c r="AH27" s="123"/>
      <c r="AI27" s="123"/>
      <c r="AJ27" s="123"/>
      <c r="AK27" s="123"/>
      <c r="AL27" s="123"/>
      <c r="AM27" s="126"/>
      <c r="AN27" s="215"/>
      <c r="AO27" s="216"/>
      <c r="AP27" s="216"/>
      <c r="AQ27" s="216"/>
      <c r="AR27" s="216"/>
      <c r="AS27" s="216"/>
      <c r="AT27" s="217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12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4"/>
      <c r="U28" s="122"/>
      <c r="V28" s="123"/>
      <c r="W28" s="123"/>
      <c r="X28" s="123"/>
      <c r="Y28" s="124"/>
      <c r="Z28" s="124"/>
      <c r="AA28" s="125"/>
      <c r="AB28" s="122"/>
      <c r="AC28" s="123"/>
      <c r="AD28" s="123"/>
      <c r="AE28" s="123"/>
      <c r="AF28" s="126"/>
      <c r="AG28" s="122">
        <f t="shared" si="0"/>
        <v>0</v>
      </c>
      <c r="AH28" s="123"/>
      <c r="AI28" s="123"/>
      <c r="AJ28" s="123"/>
      <c r="AK28" s="123"/>
      <c r="AL28" s="123"/>
      <c r="AM28" s="126"/>
      <c r="AN28" s="215"/>
      <c r="AO28" s="216"/>
      <c r="AP28" s="216"/>
      <c r="AQ28" s="216"/>
      <c r="AR28" s="216"/>
      <c r="AS28" s="216"/>
      <c r="AT28" s="217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90</v>
      </c>
      <c r="C29" s="212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4"/>
      <c r="U29" s="122"/>
      <c r="V29" s="123"/>
      <c r="W29" s="123"/>
      <c r="X29" s="123"/>
      <c r="Y29" s="124"/>
      <c r="Z29" s="124"/>
      <c r="AA29" s="125"/>
      <c r="AB29" s="225"/>
      <c r="AC29" s="226"/>
      <c r="AD29" s="226"/>
      <c r="AE29" s="226"/>
      <c r="AF29" s="227"/>
      <c r="AG29" s="225">
        <f t="shared" si="0"/>
        <v>0</v>
      </c>
      <c r="AH29" s="226"/>
      <c r="AI29" s="226"/>
      <c r="AJ29" s="226"/>
      <c r="AK29" s="226"/>
      <c r="AL29" s="226"/>
      <c r="AM29" s="227"/>
      <c r="AN29" s="228"/>
      <c r="AO29" s="229"/>
      <c r="AP29" s="229"/>
      <c r="AQ29" s="229"/>
      <c r="AR29" s="229"/>
      <c r="AS29" s="229"/>
      <c r="AT29" s="230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57" t="s">
        <v>44</v>
      </c>
      <c r="V30" s="158"/>
      <c r="W30" s="158"/>
      <c r="X30" s="158"/>
      <c r="Y30" s="158"/>
      <c r="Z30" s="158"/>
      <c r="AA30" s="159"/>
      <c r="AB30" s="218"/>
      <c r="AC30" s="219"/>
      <c r="AD30" s="219"/>
      <c r="AE30" s="219"/>
      <c r="AF30" s="219"/>
      <c r="AG30" s="219"/>
      <c r="AH30" s="219"/>
      <c r="AI30" s="219"/>
      <c r="AJ30" s="219"/>
      <c r="AK30" s="219"/>
      <c r="AL30" s="219"/>
      <c r="AM30" s="219"/>
      <c r="AN30" s="220"/>
      <c r="AO30" s="221"/>
      <c r="AP30" s="221"/>
      <c r="AQ30" s="221"/>
      <c r="AR30" s="221"/>
      <c r="AS30" s="221"/>
      <c r="AT30" s="222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 t="s">
        <v>18</v>
      </c>
      <c r="CT103" s="14"/>
    </row>
    <row r="104" spans="97:98" ht="13.5" customHeight="1" x14ac:dyDescent="0.15">
      <c r="CS104" s="58" t="str">
        <f>'CLC1.5KW'!CS104</f>
        <v>台</v>
      </c>
      <c r="CT104" s="18"/>
    </row>
    <row r="105" spans="97:98" ht="13.5" customHeight="1" x14ac:dyDescent="0.15">
      <c r="CS105" s="58" t="str">
        <f>'CLC1.5KW'!CS105</f>
        <v>個</v>
      </c>
      <c r="CT105" s="18"/>
    </row>
    <row r="106" spans="97:98" ht="13.5" customHeight="1" x14ac:dyDescent="0.15">
      <c r="CS106" s="58" t="str">
        <f>'CLC1.5KW'!CS106</f>
        <v>一式</v>
      </c>
      <c r="CT106" s="21"/>
    </row>
    <row r="107" spans="97:98" ht="13.5" customHeight="1" x14ac:dyDescent="0.15">
      <c r="CS107" s="58" t="str">
        <f>'CLC1.5KW'!CS107</f>
        <v>冊</v>
      </c>
      <c r="CT107" s="18"/>
    </row>
    <row r="108" spans="97:98" ht="13.5" customHeight="1" x14ac:dyDescent="0.15">
      <c r="CS108" s="58" t="str">
        <f>'CLC1.5KW'!CS108</f>
        <v>箱</v>
      </c>
      <c r="CT108" s="18"/>
    </row>
    <row r="109" spans="97:98" ht="13.5" customHeight="1" x14ac:dyDescent="0.15">
      <c r="CS109" s="58" t="str">
        <f>'CLC1.5KW'!CS109</f>
        <v>C/S</v>
      </c>
      <c r="CT109" s="20"/>
    </row>
    <row r="110" spans="97:98" ht="13.5" customHeight="1" x14ac:dyDescent="0.15">
      <c r="CS110" s="58" t="str">
        <f>'CLC1.5KW'!CS110</f>
        <v>SET</v>
      </c>
      <c r="CT110" s="20"/>
    </row>
    <row r="111" spans="97:98" ht="13.5" customHeight="1" x14ac:dyDescent="0.15">
      <c r="CS111" s="58" t="str">
        <f>'CLC1.5KW'!CS111</f>
        <v>本</v>
      </c>
      <c r="CT111" s="18"/>
    </row>
    <row r="112" spans="97:98" ht="13.5" customHeight="1" x14ac:dyDescent="0.15">
      <c r="CS112" s="58" t="str">
        <f>'CLC1.5KW'!CS112</f>
        <v>束</v>
      </c>
      <c r="CT112" s="18"/>
    </row>
    <row r="113" spans="87:125" ht="13.5" customHeight="1" x14ac:dyDescent="0.15">
      <c r="CS113" s="58" t="str">
        <f>'CLC1.5KW'!CS113</f>
        <v>枚</v>
      </c>
      <c r="CT113" s="18"/>
    </row>
    <row r="114" spans="87:125" ht="13.5" customHeight="1" x14ac:dyDescent="0.15">
      <c r="CS114" s="58" t="str">
        <f>'CLC1.5KW'!CS114</f>
        <v>ﾊﾟｯｸ</v>
      </c>
      <c r="CT114" s="21"/>
    </row>
    <row r="115" spans="87:125" ht="13.5" customHeight="1" x14ac:dyDescent="0.15">
      <c r="CS115" s="58" t="str">
        <f>'CLC1.5KW'!CS115</f>
        <v>ｷｯﾄ</v>
      </c>
      <c r="CT115" s="18"/>
    </row>
    <row r="116" spans="87:125" ht="13.5" customHeight="1" x14ac:dyDescent="0.15">
      <c r="CS116" s="58">
        <f>'CLC1.5KW'!CS116</f>
        <v>0</v>
      </c>
      <c r="CT116" s="18"/>
    </row>
    <row r="119" spans="87:125" ht="13.5" customHeight="1" x14ac:dyDescent="0.15">
      <c r="CI119" s="204" t="s">
        <v>43</v>
      </c>
      <c r="CJ119" s="204"/>
      <c r="CK119" s="204"/>
      <c r="CL119" s="204"/>
      <c r="CM119" s="223" t="str">
        <f>'CLC1.5KW'!CM119</f>
        <v>C:\Documents and Settings\sato\My Documents\シンプル見積書\</v>
      </c>
      <c r="CN119" s="224"/>
      <c r="CO119" s="224"/>
      <c r="CP119" s="224"/>
      <c r="CQ119" s="224"/>
      <c r="CR119" s="224"/>
      <c r="CS119" s="224"/>
      <c r="CT119" s="224"/>
      <c r="CU119" s="224"/>
      <c r="CV119" s="224"/>
      <c r="CW119" s="224"/>
      <c r="CX119" s="224"/>
      <c r="CY119" s="224"/>
      <c r="CZ119" s="224"/>
      <c r="DA119" s="224"/>
      <c r="DB119" s="224"/>
      <c r="DC119" s="224"/>
      <c r="DD119" s="224"/>
      <c r="DE119" s="224"/>
      <c r="DF119" s="224"/>
      <c r="DG119" s="224"/>
      <c r="DH119" s="224"/>
      <c r="DI119" s="224"/>
      <c r="DJ119" s="224"/>
      <c r="DK119" s="224"/>
      <c r="DO119" s="69" t="str">
        <f>'CLC1.5KW'!$DO$119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204" t="s">
        <v>74</v>
      </c>
      <c r="CJ120" s="204"/>
      <c r="CK120" s="204"/>
      <c r="CL120" s="204"/>
      <c r="CM120" s="223">
        <f>'CLC1.5KW'!CM120</f>
        <v>0</v>
      </c>
      <c r="CN120" s="224"/>
      <c r="CO120" s="224"/>
      <c r="CP120" s="224"/>
      <c r="CQ120" s="224"/>
      <c r="CR120" s="224"/>
      <c r="CS120" s="224"/>
      <c r="CT120" s="224"/>
      <c r="CU120" s="224"/>
      <c r="CV120" s="224"/>
      <c r="CW120" s="224"/>
      <c r="CX120" s="224"/>
      <c r="CY120" s="224"/>
      <c r="CZ120" s="224"/>
      <c r="DA120" s="224"/>
      <c r="DB120" s="224"/>
      <c r="DC120" s="224"/>
      <c r="DD120" s="224"/>
      <c r="DE120" s="224"/>
      <c r="DF120" s="224"/>
      <c r="DG120" s="224"/>
      <c r="DH120" s="224"/>
      <c r="DI120" s="224"/>
      <c r="DJ120" s="224"/>
      <c r="DK120" s="224"/>
    </row>
    <row r="178" spans="16:16" ht="13.5" customHeight="1" x14ac:dyDescent="0.15">
      <c r="P178" s="30">
        <f>'CLC1.5KW'!P177</f>
        <v>0</v>
      </c>
    </row>
  </sheetData>
  <mergeCells count="152"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</mergeCells>
  <phoneticPr fontId="4"/>
  <dataValidations xWindow="623" yWindow="1322" count="5">
    <dataValidation imeMode="hiragana" allowBlank="1" showInputMessage="1" showErrorMessage="1" prompt="品名を入力" sqref="D7:T7 C7:C29 D20:T29" xr:uid="{00000000-0002-0000-0100-000000000000}"/>
    <dataValidation imeMode="off" allowBlank="1" showInputMessage="1" showErrorMessage="1" prompt="数量を入力" sqref="U7:X29" xr:uid="{00000000-0002-0000-0100-000001000000}"/>
    <dataValidation imeMode="off" allowBlank="1" showInputMessage="1" showErrorMessage="1" prompt="単価を入力" sqref="AB7:AF29" xr:uid="{00000000-0002-0000-0100-000002000000}"/>
    <dataValidation imeMode="hiragana" allowBlank="1" showInputMessage="1" showErrorMessage="1" prompt="備考があれば入力" sqref="AN7:AT29" xr:uid="{00000000-0002-0000-0100-000003000000}"/>
    <dataValidation type="list" imeMode="hiragana" allowBlank="1" showInputMessage="1" showErrorMessage="1" prompt="ボタンを押し単位を入力" sqref="Y7:AA29" xr:uid="{00000000-0002-0000-0100-000004000000}">
      <formula1>$CS$104:$CS$116</formula1>
    </dataValidation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6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7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8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9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C18" sqref="C18:T18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08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AL3" s="5"/>
      <c r="AM3" s="5"/>
      <c r="AN3" s="211"/>
      <c r="AO3" s="211"/>
      <c r="AP3" s="211"/>
      <c r="AQ3" s="211"/>
      <c r="AR3" s="211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35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7"/>
      <c r="U5" s="111"/>
      <c r="V5" s="112"/>
      <c r="W5" s="112"/>
      <c r="X5" s="112"/>
      <c r="Y5" s="112"/>
      <c r="Z5" s="112"/>
      <c r="AA5" s="113"/>
      <c r="AB5" s="111"/>
      <c r="AC5" s="112"/>
      <c r="AD5" s="112"/>
      <c r="AE5" s="112"/>
      <c r="AF5" s="112"/>
      <c r="AG5" s="111"/>
      <c r="AH5" s="112"/>
      <c r="AI5" s="112"/>
      <c r="AJ5" s="112"/>
      <c r="AK5" s="112"/>
      <c r="AL5" s="112"/>
      <c r="AM5" s="113"/>
      <c r="AN5" s="111"/>
      <c r="AO5" s="112"/>
      <c r="AP5" s="112"/>
      <c r="AQ5" s="112"/>
      <c r="AR5" s="112"/>
      <c r="AS5" s="112"/>
      <c r="AT5" s="117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38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40"/>
      <c r="U6" s="114"/>
      <c r="V6" s="115"/>
      <c r="W6" s="115"/>
      <c r="X6" s="115"/>
      <c r="Y6" s="115"/>
      <c r="Z6" s="115"/>
      <c r="AA6" s="116"/>
      <c r="AB6" s="114"/>
      <c r="AC6" s="115"/>
      <c r="AD6" s="115"/>
      <c r="AE6" s="115"/>
      <c r="AF6" s="115"/>
      <c r="AG6" s="114"/>
      <c r="AH6" s="115"/>
      <c r="AI6" s="115"/>
      <c r="AJ6" s="115"/>
      <c r="AK6" s="115"/>
      <c r="AL6" s="115"/>
      <c r="AM6" s="116"/>
      <c r="AN6" s="114"/>
      <c r="AO6" s="115"/>
      <c r="AP6" s="115"/>
      <c r="AQ6" s="115"/>
      <c r="AR6" s="115"/>
      <c r="AS6" s="115"/>
      <c r="AT6" s="118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12"/>
      <c r="D7" s="213"/>
      <c r="E7" s="213"/>
      <c r="F7" s="213"/>
      <c r="G7" s="213"/>
      <c r="H7" s="213"/>
      <c r="I7" s="213"/>
      <c r="J7" s="213"/>
      <c r="K7" s="213"/>
      <c r="L7" s="213"/>
      <c r="M7" s="213"/>
      <c r="N7" s="213"/>
      <c r="O7" s="213"/>
      <c r="P7" s="213"/>
      <c r="Q7" s="213"/>
      <c r="R7" s="213"/>
      <c r="S7" s="213"/>
      <c r="T7" s="214"/>
      <c r="U7" s="122"/>
      <c r="V7" s="123"/>
      <c r="W7" s="123"/>
      <c r="X7" s="123"/>
      <c r="Y7" s="124"/>
      <c r="Z7" s="124"/>
      <c r="AA7" s="125"/>
      <c r="AB7" s="122"/>
      <c r="AC7" s="123"/>
      <c r="AD7" s="123"/>
      <c r="AE7" s="123"/>
      <c r="AF7" s="126"/>
      <c r="AG7" s="122"/>
      <c r="AH7" s="123"/>
      <c r="AI7" s="123"/>
      <c r="AJ7" s="123"/>
      <c r="AK7" s="123"/>
      <c r="AL7" s="123"/>
      <c r="AM7" s="126"/>
      <c r="AN7" s="215"/>
      <c r="AO7" s="216"/>
      <c r="AP7" s="216"/>
      <c r="AQ7" s="216"/>
      <c r="AR7" s="216"/>
      <c r="AS7" s="216"/>
      <c r="AT7" s="217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12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3"/>
      <c r="S8" s="213"/>
      <c r="T8" s="214"/>
      <c r="U8" s="122"/>
      <c r="V8" s="123"/>
      <c r="W8" s="123"/>
      <c r="X8" s="123"/>
      <c r="Y8" s="124"/>
      <c r="Z8" s="124"/>
      <c r="AA8" s="125"/>
      <c r="AB8" s="122"/>
      <c r="AC8" s="123"/>
      <c r="AD8" s="123"/>
      <c r="AE8" s="123"/>
      <c r="AF8" s="126"/>
      <c r="AG8" s="122"/>
      <c r="AH8" s="123"/>
      <c r="AI8" s="123"/>
      <c r="AJ8" s="123"/>
      <c r="AK8" s="123"/>
      <c r="AL8" s="123"/>
      <c r="AM8" s="126"/>
      <c r="AN8" s="215"/>
      <c r="AO8" s="216"/>
      <c r="AP8" s="216"/>
      <c r="AQ8" s="216"/>
      <c r="AR8" s="216"/>
      <c r="AS8" s="216"/>
      <c r="AT8" s="217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12"/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3"/>
      <c r="R9" s="213"/>
      <c r="S9" s="213"/>
      <c r="T9" s="214"/>
      <c r="U9" s="122"/>
      <c r="V9" s="123"/>
      <c r="W9" s="123"/>
      <c r="X9" s="123"/>
      <c r="Y9" s="124"/>
      <c r="Z9" s="124"/>
      <c r="AA9" s="125"/>
      <c r="AB9" s="122"/>
      <c r="AC9" s="123"/>
      <c r="AD9" s="123"/>
      <c r="AE9" s="123"/>
      <c r="AF9" s="126"/>
      <c r="AG9" s="122"/>
      <c r="AH9" s="123"/>
      <c r="AI9" s="123"/>
      <c r="AJ9" s="123"/>
      <c r="AK9" s="123"/>
      <c r="AL9" s="123"/>
      <c r="AM9" s="126"/>
      <c r="AN9" s="215"/>
      <c r="AO9" s="216"/>
      <c r="AP9" s="216"/>
      <c r="AQ9" s="216"/>
      <c r="AR9" s="216"/>
      <c r="AS9" s="216"/>
      <c r="AT9" s="217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12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  <c r="Q10" s="213"/>
      <c r="R10" s="213"/>
      <c r="S10" s="213"/>
      <c r="T10" s="214"/>
      <c r="U10" s="122"/>
      <c r="V10" s="123"/>
      <c r="W10" s="123"/>
      <c r="X10" s="123"/>
      <c r="Y10" s="124"/>
      <c r="Z10" s="124"/>
      <c r="AA10" s="125"/>
      <c r="AB10" s="122"/>
      <c r="AC10" s="123"/>
      <c r="AD10" s="123"/>
      <c r="AE10" s="123"/>
      <c r="AF10" s="126"/>
      <c r="AG10" s="122"/>
      <c r="AH10" s="123"/>
      <c r="AI10" s="123"/>
      <c r="AJ10" s="123"/>
      <c r="AK10" s="123"/>
      <c r="AL10" s="123"/>
      <c r="AM10" s="126"/>
      <c r="AN10" s="215"/>
      <c r="AO10" s="216"/>
      <c r="AP10" s="216"/>
      <c r="AQ10" s="216"/>
      <c r="AR10" s="216"/>
      <c r="AS10" s="216"/>
      <c r="AT10" s="217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12"/>
      <c r="D11" s="213"/>
      <c r="E11" s="213"/>
      <c r="F11" s="213"/>
      <c r="G11" s="213"/>
      <c r="H11" s="213"/>
      <c r="I11" s="213"/>
      <c r="J11" s="213"/>
      <c r="K11" s="213"/>
      <c r="L11" s="213"/>
      <c r="M11" s="213"/>
      <c r="N11" s="213"/>
      <c r="O11" s="213"/>
      <c r="P11" s="213"/>
      <c r="Q11" s="213"/>
      <c r="R11" s="213"/>
      <c r="S11" s="213"/>
      <c r="T11" s="214"/>
      <c r="U11" s="122"/>
      <c r="V11" s="123"/>
      <c r="W11" s="123"/>
      <c r="X11" s="123"/>
      <c r="Y11" s="124"/>
      <c r="Z11" s="124"/>
      <c r="AA11" s="125"/>
      <c r="AB11" s="122"/>
      <c r="AC11" s="123"/>
      <c r="AD11" s="123"/>
      <c r="AE11" s="123"/>
      <c r="AF11" s="126"/>
      <c r="AG11" s="122"/>
      <c r="AH11" s="123"/>
      <c r="AI11" s="123"/>
      <c r="AJ11" s="123"/>
      <c r="AK11" s="123"/>
      <c r="AL11" s="123"/>
      <c r="AM11" s="126"/>
      <c r="AN11" s="215"/>
      <c r="AO11" s="216"/>
      <c r="AP11" s="216"/>
      <c r="AQ11" s="216"/>
      <c r="AR11" s="216"/>
      <c r="AS11" s="216"/>
      <c r="AT11" s="217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12"/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213"/>
      <c r="O12" s="213"/>
      <c r="P12" s="213"/>
      <c r="Q12" s="213"/>
      <c r="R12" s="213"/>
      <c r="S12" s="213"/>
      <c r="T12" s="214"/>
      <c r="U12" s="122"/>
      <c r="V12" s="123"/>
      <c r="W12" s="123"/>
      <c r="X12" s="123"/>
      <c r="Y12" s="124"/>
      <c r="Z12" s="124"/>
      <c r="AA12" s="125"/>
      <c r="AB12" s="122"/>
      <c r="AC12" s="123"/>
      <c r="AD12" s="123"/>
      <c r="AE12" s="123"/>
      <c r="AF12" s="126"/>
      <c r="AG12" s="122"/>
      <c r="AH12" s="123"/>
      <c r="AI12" s="123"/>
      <c r="AJ12" s="123"/>
      <c r="AK12" s="123"/>
      <c r="AL12" s="123"/>
      <c r="AM12" s="126"/>
      <c r="AN12" s="215"/>
      <c r="AO12" s="216"/>
      <c r="AP12" s="216"/>
      <c r="AQ12" s="216"/>
      <c r="AR12" s="216"/>
      <c r="AS12" s="216"/>
      <c r="AT12" s="217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12"/>
      <c r="D13" s="213"/>
      <c r="E13" s="213"/>
      <c r="F13" s="213"/>
      <c r="G13" s="213"/>
      <c r="H13" s="213"/>
      <c r="I13" s="213"/>
      <c r="J13" s="213"/>
      <c r="K13" s="213"/>
      <c r="L13" s="213"/>
      <c r="M13" s="213"/>
      <c r="N13" s="213"/>
      <c r="O13" s="213"/>
      <c r="P13" s="213"/>
      <c r="Q13" s="213"/>
      <c r="R13" s="213"/>
      <c r="S13" s="213"/>
      <c r="T13" s="214"/>
      <c r="U13" s="122"/>
      <c r="V13" s="123"/>
      <c r="W13" s="123"/>
      <c r="X13" s="123"/>
      <c r="Y13" s="124"/>
      <c r="Z13" s="124"/>
      <c r="AA13" s="125"/>
      <c r="AB13" s="122"/>
      <c r="AC13" s="123"/>
      <c r="AD13" s="123"/>
      <c r="AE13" s="123"/>
      <c r="AF13" s="126"/>
      <c r="AG13" s="122"/>
      <c r="AH13" s="123"/>
      <c r="AI13" s="123"/>
      <c r="AJ13" s="123"/>
      <c r="AK13" s="123"/>
      <c r="AL13" s="123"/>
      <c r="AM13" s="126"/>
      <c r="AN13" s="215"/>
      <c r="AO13" s="216"/>
      <c r="AP13" s="216"/>
      <c r="AQ13" s="216"/>
      <c r="AR13" s="216"/>
      <c r="AS13" s="216"/>
      <c r="AT13" s="217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12"/>
      <c r="D14" s="213"/>
      <c r="E14" s="213"/>
      <c r="F14" s="213"/>
      <c r="G14" s="213"/>
      <c r="H14" s="213"/>
      <c r="I14" s="213"/>
      <c r="J14" s="213"/>
      <c r="K14" s="213"/>
      <c r="L14" s="213"/>
      <c r="M14" s="213"/>
      <c r="N14" s="213"/>
      <c r="O14" s="213"/>
      <c r="P14" s="213"/>
      <c r="Q14" s="213"/>
      <c r="R14" s="213"/>
      <c r="S14" s="213"/>
      <c r="T14" s="214"/>
      <c r="U14" s="122"/>
      <c r="V14" s="123"/>
      <c r="W14" s="123"/>
      <c r="X14" s="123"/>
      <c r="Y14" s="124"/>
      <c r="Z14" s="124"/>
      <c r="AA14" s="125"/>
      <c r="AB14" s="122"/>
      <c r="AC14" s="123"/>
      <c r="AD14" s="123"/>
      <c r="AE14" s="123"/>
      <c r="AF14" s="126"/>
      <c r="AG14" s="122"/>
      <c r="AH14" s="123"/>
      <c r="AI14" s="123"/>
      <c r="AJ14" s="123"/>
      <c r="AK14" s="123"/>
      <c r="AL14" s="123"/>
      <c r="AM14" s="126"/>
      <c r="AN14" s="215"/>
      <c r="AO14" s="216"/>
      <c r="AP14" s="216"/>
      <c r="AQ14" s="216"/>
      <c r="AR14" s="216"/>
      <c r="AS14" s="216"/>
      <c r="AT14" s="217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12"/>
      <c r="D15" s="213"/>
      <c r="E15" s="213"/>
      <c r="F15" s="213"/>
      <c r="G15" s="213"/>
      <c r="H15" s="213"/>
      <c r="I15" s="213"/>
      <c r="J15" s="213"/>
      <c r="K15" s="213"/>
      <c r="L15" s="213"/>
      <c r="M15" s="213"/>
      <c r="N15" s="213"/>
      <c r="O15" s="213"/>
      <c r="P15" s="213"/>
      <c r="Q15" s="213"/>
      <c r="R15" s="213"/>
      <c r="S15" s="213"/>
      <c r="T15" s="214"/>
      <c r="U15" s="122"/>
      <c r="V15" s="123"/>
      <c r="W15" s="123"/>
      <c r="X15" s="123"/>
      <c r="Y15" s="124"/>
      <c r="Z15" s="124"/>
      <c r="AA15" s="125"/>
      <c r="AB15" s="122"/>
      <c r="AC15" s="123"/>
      <c r="AD15" s="123"/>
      <c r="AE15" s="123"/>
      <c r="AF15" s="126"/>
      <c r="AG15" s="122"/>
      <c r="AH15" s="123"/>
      <c r="AI15" s="123"/>
      <c r="AJ15" s="123"/>
      <c r="AK15" s="123"/>
      <c r="AL15" s="123"/>
      <c r="AM15" s="126"/>
      <c r="AN15" s="215"/>
      <c r="AO15" s="216"/>
      <c r="AP15" s="216"/>
      <c r="AQ15" s="216"/>
      <c r="AR15" s="216"/>
      <c r="AS15" s="216"/>
      <c r="AT15" s="217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12"/>
      <c r="D16" s="213"/>
      <c r="E16" s="213"/>
      <c r="F16" s="213"/>
      <c r="G16" s="213"/>
      <c r="H16" s="213"/>
      <c r="I16" s="213"/>
      <c r="J16" s="213"/>
      <c r="K16" s="213"/>
      <c r="L16" s="213"/>
      <c r="M16" s="213"/>
      <c r="N16" s="213"/>
      <c r="O16" s="213"/>
      <c r="P16" s="213"/>
      <c r="Q16" s="213"/>
      <c r="R16" s="213"/>
      <c r="S16" s="213"/>
      <c r="T16" s="214"/>
      <c r="U16" s="122"/>
      <c r="V16" s="123"/>
      <c r="W16" s="123"/>
      <c r="X16" s="123"/>
      <c r="Y16" s="124"/>
      <c r="Z16" s="124"/>
      <c r="AA16" s="125"/>
      <c r="AB16" s="122"/>
      <c r="AC16" s="123"/>
      <c r="AD16" s="123"/>
      <c r="AE16" s="123"/>
      <c r="AF16" s="126"/>
      <c r="AG16" s="122"/>
      <c r="AH16" s="123"/>
      <c r="AI16" s="123"/>
      <c r="AJ16" s="123"/>
      <c r="AK16" s="123"/>
      <c r="AL16" s="123"/>
      <c r="AM16" s="126"/>
      <c r="AN16" s="215"/>
      <c r="AO16" s="216"/>
      <c r="AP16" s="216"/>
      <c r="AQ16" s="216"/>
      <c r="AR16" s="216"/>
      <c r="AS16" s="216"/>
      <c r="AT16" s="217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12"/>
      <c r="D17" s="213"/>
      <c r="E17" s="213"/>
      <c r="F17" s="213"/>
      <c r="G17" s="213"/>
      <c r="H17" s="213"/>
      <c r="I17" s="213"/>
      <c r="J17" s="213"/>
      <c r="K17" s="213"/>
      <c r="L17" s="213"/>
      <c r="M17" s="213"/>
      <c r="N17" s="213"/>
      <c r="O17" s="213"/>
      <c r="P17" s="213"/>
      <c r="Q17" s="213"/>
      <c r="R17" s="213"/>
      <c r="S17" s="213"/>
      <c r="T17" s="214"/>
      <c r="U17" s="122"/>
      <c r="V17" s="123"/>
      <c r="W17" s="123"/>
      <c r="X17" s="123"/>
      <c r="Y17" s="124"/>
      <c r="Z17" s="124"/>
      <c r="AA17" s="125"/>
      <c r="AB17" s="122"/>
      <c r="AC17" s="123"/>
      <c r="AD17" s="123"/>
      <c r="AE17" s="123"/>
      <c r="AF17" s="126"/>
      <c r="AG17" s="122"/>
      <c r="AH17" s="123"/>
      <c r="AI17" s="123"/>
      <c r="AJ17" s="123"/>
      <c r="AK17" s="123"/>
      <c r="AL17" s="123"/>
      <c r="AM17" s="126"/>
      <c r="AN17" s="215"/>
      <c r="AO17" s="216"/>
      <c r="AP17" s="216"/>
      <c r="AQ17" s="216"/>
      <c r="AR17" s="216"/>
      <c r="AS17" s="216"/>
      <c r="AT17" s="217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12"/>
      <c r="D18" s="213"/>
      <c r="E18" s="213"/>
      <c r="F18" s="213"/>
      <c r="G18" s="213"/>
      <c r="H18" s="213"/>
      <c r="I18" s="213"/>
      <c r="J18" s="213"/>
      <c r="K18" s="213"/>
      <c r="L18" s="213"/>
      <c r="M18" s="213"/>
      <c r="N18" s="213"/>
      <c r="O18" s="213"/>
      <c r="P18" s="213"/>
      <c r="Q18" s="213"/>
      <c r="R18" s="213"/>
      <c r="S18" s="213"/>
      <c r="T18" s="214"/>
      <c r="U18" s="122"/>
      <c r="V18" s="123"/>
      <c r="W18" s="123"/>
      <c r="X18" s="123"/>
      <c r="Y18" s="124"/>
      <c r="Z18" s="124"/>
      <c r="AA18" s="125"/>
      <c r="AB18" s="122"/>
      <c r="AC18" s="123"/>
      <c r="AD18" s="123"/>
      <c r="AE18" s="123"/>
      <c r="AF18" s="126"/>
      <c r="AG18" s="122"/>
      <c r="AH18" s="123"/>
      <c r="AI18" s="123"/>
      <c r="AJ18" s="123"/>
      <c r="AK18" s="123"/>
      <c r="AL18" s="123"/>
      <c r="AM18" s="126"/>
      <c r="AN18" s="215"/>
      <c r="AO18" s="216"/>
      <c r="AP18" s="216"/>
      <c r="AQ18" s="216"/>
      <c r="AR18" s="216"/>
      <c r="AS18" s="216"/>
      <c r="AT18" s="217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12"/>
      <c r="D19" s="213"/>
      <c r="E19" s="213"/>
      <c r="F19" s="213"/>
      <c r="G19" s="213"/>
      <c r="H19" s="213"/>
      <c r="I19" s="213"/>
      <c r="J19" s="213"/>
      <c r="K19" s="213"/>
      <c r="L19" s="213"/>
      <c r="M19" s="213"/>
      <c r="N19" s="213"/>
      <c r="O19" s="213"/>
      <c r="P19" s="213"/>
      <c r="Q19" s="213"/>
      <c r="R19" s="213"/>
      <c r="S19" s="213"/>
      <c r="T19" s="214"/>
      <c r="U19" s="122"/>
      <c r="V19" s="123"/>
      <c r="W19" s="123"/>
      <c r="X19" s="123"/>
      <c r="Y19" s="124"/>
      <c r="Z19" s="124"/>
      <c r="AA19" s="125"/>
      <c r="AB19" s="122"/>
      <c r="AC19" s="123"/>
      <c r="AD19" s="123"/>
      <c r="AE19" s="123"/>
      <c r="AF19" s="126"/>
      <c r="AG19" s="122"/>
      <c r="AH19" s="123"/>
      <c r="AI19" s="123"/>
      <c r="AJ19" s="123"/>
      <c r="AK19" s="123"/>
      <c r="AL19" s="123"/>
      <c r="AM19" s="126"/>
      <c r="AN19" s="215"/>
      <c r="AO19" s="216"/>
      <c r="AP19" s="216"/>
      <c r="AQ19" s="216"/>
      <c r="AR19" s="216"/>
      <c r="AS19" s="216"/>
      <c r="AT19" s="217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119"/>
      <c r="D20" s="213"/>
      <c r="E20" s="213"/>
      <c r="F20" s="213"/>
      <c r="G20" s="213"/>
      <c r="H20" s="213"/>
      <c r="I20" s="213"/>
      <c r="J20" s="213"/>
      <c r="K20" s="213"/>
      <c r="L20" s="213"/>
      <c r="M20" s="213"/>
      <c r="N20" s="213"/>
      <c r="O20" s="213"/>
      <c r="P20" s="213"/>
      <c r="Q20" s="213"/>
      <c r="R20" s="213"/>
      <c r="S20" s="213"/>
      <c r="T20" s="214"/>
      <c r="U20" s="122"/>
      <c r="V20" s="123"/>
      <c r="W20" s="123"/>
      <c r="X20" s="123"/>
      <c r="Y20" s="124"/>
      <c r="Z20" s="124"/>
      <c r="AA20" s="125"/>
      <c r="AB20" s="122"/>
      <c r="AC20" s="123"/>
      <c r="AD20" s="123"/>
      <c r="AE20" s="123"/>
      <c r="AF20" s="126"/>
      <c r="AG20" s="122"/>
      <c r="AH20" s="123"/>
      <c r="AI20" s="123"/>
      <c r="AJ20" s="123"/>
      <c r="AK20" s="123"/>
      <c r="AL20" s="123"/>
      <c r="AM20" s="126"/>
      <c r="AN20" s="215"/>
      <c r="AO20" s="216"/>
      <c r="AP20" s="216"/>
      <c r="AQ20" s="216"/>
      <c r="AR20" s="216"/>
      <c r="AS20" s="216"/>
      <c r="AT20" s="217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119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1"/>
      <c r="U21" s="122"/>
      <c r="V21" s="123"/>
      <c r="W21" s="123"/>
      <c r="X21" s="123"/>
      <c r="Y21" s="124"/>
      <c r="Z21" s="124"/>
      <c r="AA21" s="125"/>
      <c r="AB21" s="122"/>
      <c r="AC21" s="123"/>
      <c r="AD21" s="123"/>
      <c r="AE21" s="123"/>
      <c r="AF21" s="126"/>
      <c r="AG21" s="122"/>
      <c r="AH21" s="123"/>
      <c r="AI21" s="123"/>
      <c r="AJ21" s="123"/>
      <c r="AK21" s="123"/>
      <c r="AL21" s="123"/>
      <c r="AM21" s="126"/>
      <c r="AN21" s="215"/>
      <c r="AO21" s="216"/>
      <c r="AP21" s="216"/>
      <c r="AQ21" s="216"/>
      <c r="AR21" s="216"/>
      <c r="AS21" s="216"/>
      <c r="AT21" s="217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119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1"/>
      <c r="U22" s="122"/>
      <c r="V22" s="123"/>
      <c r="W22" s="123"/>
      <c r="X22" s="123"/>
      <c r="Y22" s="124"/>
      <c r="Z22" s="124"/>
      <c r="AA22" s="125"/>
      <c r="AB22" s="122"/>
      <c r="AC22" s="123"/>
      <c r="AD22" s="123"/>
      <c r="AE22" s="123"/>
      <c r="AF22" s="126"/>
      <c r="AG22" s="122"/>
      <c r="AH22" s="123"/>
      <c r="AI22" s="123"/>
      <c r="AJ22" s="123"/>
      <c r="AK22" s="123"/>
      <c r="AL22" s="123"/>
      <c r="AM22" s="126"/>
      <c r="AN22" s="215"/>
      <c r="AO22" s="216"/>
      <c r="AP22" s="216"/>
      <c r="AQ22" s="216"/>
      <c r="AR22" s="216"/>
      <c r="AS22" s="216"/>
      <c r="AT22" s="217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12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13"/>
      <c r="T23" s="214"/>
      <c r="U23" s="122"/>
      <c r="V23" s="123"/>
      <c r="W23" s="123"/>
      <c r="X23" s="123"/>
      <c r="Y23" s="124"/>
      <c r="Z23" s="124"/>
      <c r="AA23" s="125"/>
      <c r="AB23" s="122"/>
      <c r="AC23" s="123"/>
      <c r="AD23" s="123"/>
      <c r="AE23" s="123"/>
      <c r="AF23" s="126"/>
      <c r="AG23" s="122"/>
      <c r="AH23" s="123"/>
      <c r="AI23" s="123"/>
      <c r="AJ23" s="123"/>
      <c r="AK23" s="123"/>
      <c r="AL23" s="123"/>
      <c r="AM23" s="126"/>
      <c r="AN23" s="215"/>
      <c r="AO23" s="216"/>
      <c r="AP23" s="216"/>
      <c r="AQ23" s="216"/>
      <c r="AR23" s="216"/>
      <c r="AS23" s="216"/>
      <c r="AT23" s="217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12"/>
      <c r="D24" s="213"/>
      <c r="E24" s="213"/>
      <c r="F24" s="213"/>
      <c r="G24" s="213"/>
      <c r="H24" s="213"/>
      <c r="I24" s="213"/>
      <c r="J24" s="213"/>
      <c r="K24" s="213"/>
      <c r="L24" s="213"/>
      <c r="M24" s="213"/>
      <c r="N24" s="213"/>
      <c r="O24" s="213"/>
      <c r="P24" s="213"/>
      <c r="Q24" s="213"/>
      <c r="R24" s="213"/>
      <c r="S24" s="213"/>
      <c r="T24" s="214"/>
      <c r="U24" s="122"/>
      <c r="V24" s="123"/>
      <c r="W24" s="123"/>
      <c r="X24" s="123"/>
      <c r="Y24" s="124"/>
      <c r="Z24" s="124"/>
      <c r="AA24" s="125"/>
      <c r="AB24" s="122"/>
      <c r="AC24" s="123"/>
      <c r="AD24" s="123"/>
      <c r="AE24" s="123"/>
      <c r="AF24" s="126"/>
      <c r="AG24" s="122"/>
      <c r="AH24" s="123"/>
      <c r="AI24" s="123"/>
      <c r="AJ24" s="123"/>
      <c r="AK24" s="123"/>
      <c r="AL24" s="123"/>
      <c r="AM24" s="126"/>
      <c r="AN24" s="215"/>
      <c r="AO24" s="216"/>
      <c r="AP24" s="216"/>
      <c r="AQ24" s="216"/>
      <c r="AR24" s="216"/>
      <c r="AS24" s="216"/>
      <c r="AT24" s="217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12"/>
      <c r="D25" s="213"/>
      <c r="E25" s="213"/>
      <c r="F25" s="213"/>
      <c r="G25" s="213"/>
      <c r="H25" s="213"/>
      <c r="I25" s="213"/>
      <c r="J25" s="213"/>
      <c r="K25" s="213"/>
      <c r="L25" s="213"/>
      <c r="M25" s="213"/>
      <c r="N25" s="213"/>
      <c r="O25" s="213"/>
      <c r="P25" s="213"/>
      <c r="Q25" s="213"/>
      <c r="R25" s="213"/>
      <c r="S25" s="213"/>
      <c r="T25" s="214"/>
      <c r="U25" s="122"/>
      <c r="V25" s="123"/>
      <c r="W25" s="123"/>
      <c r="X25" s="123"/>
      <c r="Y25" s="124"/>
      <c r="Z25" s="124"/>
      <c r="AA25" s="125"/>
      <c r="AB25" s="122"/>
      <c r="AC25" s="123"/>
      <c r="AD25" s="123"/>
      <c r="AE25" s="123"/>
      <c r="AF25" s="126"/>
      <c r="AG25" s="122"/>
      <c r="AH25" s="123"/>
      <c r="AI25" s="123"/>
      <c r="AJ25" s="123"/>
      <c r="AK25" s="123"/>
      <c r="AL25" s="123"/>
      <c r="AM25" s="126"/>
      <c r="AN25" s="215"/>
      <c r="AO25" s="216"/>
      <c r="AP25" s="216"/>
      <c r="AQ25" s="216"/>
      <c r="AR25" s="216"/>
      <c r="AS25" s="216"/>
      <c r="AT25" s="217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12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4"/>
      <c r="U26" s="122"/>
      <c r="V26" s="123"/>
      <c r="W26" s="123"/>
      <c r="X26" s="123"/>
      <c r="Y26" s="124"/>
      <c r="Z26" s="124"/>
      <c r="AA26" s="125"/>
      <c r="AB26" s="122"/>
      <c r="AC26" s="123"/>
      <c r="AD26" s="123"/>
      <c r="AE26" s="123"/>
      <c r="AF26" s="126"/>
      <c r="AG26" s="122"/>
      <c r="AH26" s="123"/>
      <c r="AI26" s="123"/>
      <c r="AJ26" s="123"/>
      <c r="AK26" s="123"/>
      <c r="AL26" s="123"/>
      <c r="AM26" s="126"/>
      <c r="AN26" s="215"/>
      <c r="AO26" s="216"/>
      <c r="AP26" s="216"/>
      <c r="AQ26" s="216"/>
      <c r="AR26" s="216"/>
      <c r="AS26" s="216"/>
      <c r="AT26" s="217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12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4"/>
      <c r="U27" s="122"/>
      <c r="V27" s="123"/>
      <c r="W27" s="123"/>
      <c r="X27" s="123"/>
      <c r="Y27" s="124"/>
      <c r="Z27" s="124"/>
      <c r="AA27" s="125"/>
      <c r="AB27" s="122"/>
      <c r="AC27" s="123"/>
      <c r="AD27" s="123"/>
      <c r="AE27" s="123"/>
      <c r="AF27" s="126"/>
      <c r="AG27" s="122"/>
      <c r="AH27" s="123"/>
      <c r="AI27" s="123"/>
      <c r="AJ27" s="123"/>
      <c r="AK27" s="123"/>
      <c r="AL27" s="123"/>
      <c r="AM27" s="126"/>
      <c r="AN27" s="215"/>
      <c r="AO27" s="216"/>
      <c r="AP27" s="216"/>
      <c r="AQ27" s="216"/>
      <c r="AR27" s="216"/>
      <c r="AS27" s="216"/>
      <c r="AT27" s="217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12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4"/>
      <c r="U28" s="122"/>
      <c r="V28" s="123"/>
      <c r="W28" s="123"/>
      <c r="X28" s="123"/>
      <c r="Y28" s="124"/>
      <c r="Z28" s="124"/>
      <c r="AA28" s="125"/>
      <c r="AB28" s="122"/>
      <c r="AC28" s="123"/>
      <c r="AD28" s="123"/>
      <c r="AE28" s="123"/>
      <c r="AF28" s="126"/>
      <c r="AG28" s="122"/>
      <c r="AH28" s="123"/>
      <c r="AI28" s="123"/>
      <c r="AJ28" s="123"/>
      <c r="AK28" s="123"/>
      <c r="AL28" s="123"/>
      <c r="AM28" s="126"/>
      <c r="AN28" s="215"/>
      <c r="AO28" s="216"/>
      <c r="AP28" s="216"/>
      <c r="AQ28" s="216"/>
      <c r="AR28" s="216"/>
      <c r="AS28" s="216"/>
      <c r="AT28" s="217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/>
      <c r="C29" s="212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4"/>
      <c r="U29" s="122"/>
      <c r="V29" s="123"/>
      <c r="W29" s="123"/>
      <c r="X29" s="123"/>
      <c r="Y29" s="124"/>
      <c r="Z29" s="124"/>
      <c r="AA29" s="125"/>
      <c r="AB29" s="225"/>
      <c r="AC29" s="226"/>
      <c r="AD29" s="226"/>
      <c r="AE29" s="226"/>
      <c r="AF29" s="227"/>
      <c r="AG29" s="225"/>
      <c r="AH29" s="226"/>
      <c r="AI29" s="226"/>
      <c r="AJ29" s="226"/>
      <c r="AK29" s="226"/>
      <c r="AL29" s="226"/>
      <c r="AM29" s="227"/>
      <c r="AN29" s="215"/>
      <c r="AO29" s="216"/>
      <c r="AP29" s="216"/>
      <c r="AQ29" s="216"/>
      <c r="AR29" s="216"/>
      <c r="AS29" s="216"/>
      <c r="AT29" s="217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57"/>
      <c r="V30" s="158"/>
      <c r="W30" s="158"/>
      <c r="X30" s="158"/>
      <c r="Y30" s="158"/>
      <c r="Z30" s="158"/>
      <c r="AA30" s="159"/>
      <c r="AB30" s="218"/>
      <c r="AC30" s="219"/>
      <c r="AD30" s="219"/>
      <c r="AE30" s="219"/>
      <c r="AF30" s="219"/>
      <c r="AG30" s="219"/>
      <c r="AH30" s="219"/>
      <c r="AI30" s="219"/>
      <c r="AJ30" s="219"/>
      <c r="AK30" s="219"/>
      <c r="AL30" s="219"/>
      <c r="AM30" s="219"/>
      <c r="AN30" s="220"/>
      <c r="AO30" s="221"/>
      <c r="AP30" s="221"/>
      <c r="AQ30" s="221"/>
      <c r="AR30" s="221"/>
      <c r="AS30" s="221"/>
      <c r="AT30" s="222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/>
      <c r="CT103" s="14"/>
    </row>
    <row r="104" spans="97:98" ht="13.5" customHeight="1" x14ac:dyDescent="0.15">
      <c r="CS104" s="58"/>
      <c r="CT104" s="18"/>
    </row>
    <row r="105" spans="97:98" ht="13.5" customHeight="1" x14ac:dyDescent="0.15">
      <c r="CS105" s="58"/>
      <c r="CT105" s="18"/>
    </row>
    <row r="106" spans="97:98" ht="13.5" customHeight="1" x14ac:dyDescent="0.15">
      <c r="CS106" s="58"/>
      <c r="CT106" s="21"/>
    </row>
    <row r="107" spans="97:98" ht="13.5" customHeight="1" x14ac:dyDescent="0.15">
      <c r="CS107" s="58"/>
      <c r="CT107" s="18"/>
    </row>
    <row r="108" spans="97:98" ht="13.5" customHeight="1" x14ac:dyDescent="0.15">
      <c r="CS108" s="58"/>
      <c r="CT108" s="18"/>
    </row>
    <row r="109" spans="97:98" ht="13.5" customHeight="1" x14ac:dyDescent="0.15">
      <c r="CS109" s="58"/>
      <c r="CT109" s="20"/>
    </row>
    <row r="110" spans="97:98" ht="13.5" customHeight="1" x14ac:dyDescent="0.15">
      <c r="CS110" s="58"/>
      <c r="CT110" s="20"/>
    </row>
    <row r="111" spans="97:98" ht="13.5" customHeight="1" x14ac:dyDescent="0.15">
      <c r="CS111" s="58"/>
      <c r="CT111" s="18"/>
    </row>
    <row r="112" spans="97:98" ht="13.5" customHeight="1" x14ac:dyDescent="0.15">
      <c r="CS112" s="58"/>
      <c r="CT112" s="18"/>
    </row>
    <row r="113" spans="87:125" ht="13.5" customHeight="1" x14ac:dyDescent="0.15">
      <c r="CS113" s="58"/>
      <c r="CT113" s="18"/>
    </row>
    <row r="114" spans="87:125" ht="13.5" customHeight="1" x14ac:dyDescent="0.15">
      <c r="CS114" s="58"/>
      <c r="CT114" s="21"/>
    </row>
    <row r="115" spans="87:125" ht="13.5" customHeight="1" x14ac:dyDescent="0.15">
      <c r="CS115" s="58"/>
      <c r="CT115" s="18"/>
    </row>
    <row r="116" spans="87:125" ht="13.5" customHeight="1" x14ac:dyDescent="0.15">
      <c r="CS116" s="58"/>
      <c r="CT116" s="18"/>
    </row>
    <row r="119" spans="87:125" ht="13.5" customHeight="1" x14ac:dyDescent="0.15">
      <c r="CI119" s="204"/>
      <c r="CJ119" s="204"/>
      <c r="CK119" s="204"/>
      <c r="CL119" s="204"/>
      <c r="CM119" s="223"/>
      <c r="CN119" s="224"/>
      <c r="CO119" s="224"/>
      <c r="CP119" s="224"/>
      <c r="CQ119" s="224"/>
      <c r="CR119" s="224"/>
      <c r="CS119" s="224"/>
      <c r="CT119" s="224"/>
      <c r="CU119" s="224"/>
      <c r="CV119" s="224"/>
      <c r="CW119" s="224"/>
      <c r="CX119" s="224"/>
      <c r="CY119" s="224"/>
      <c r="CZ119" s="224"/>
      <c r="DA119" s="224"/>
      <c r="DB119" s="224"/>
      <c r="DC119" s="224"/>
      <c r="DD119" s="224"/>
      <c r="DE119" s="224"/>
      <c r="DF119" s="224"/>
      <c r="DG119" s="224"/>
      <c r="DH119" s="224"/>
      <c r="DI119" s="224"/>
      <c r="DJ119" s="224"/>
      <c r="DK119" s="224"/>
      <c r="DO119" s="69"/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204"/>
      <c r="CJ120" s="204"/>
      <c r="CK120" s="204"/>
      <c r="CL120" s="204"/>
      <c r="CM120" s="223"/>
      <c r="CN120" s="224"/>
      <c r="CO120" s="224"/>
      <c r="CP120" s="224"/>
      <c r="CQ120" s="224"/>
      <c r="CR120" s="224"/>
      <c r="CS120" s="224"/>
      <c r="CT120" s="224"/>
      <c r="CU120" s="224"/>
      <c r="CV120" s="224"/>
      <c r="CW120" s="224"/>
      <c r="CX120" s="224"/>
      <c r="CY120" s="224"/>
      <c r="CZ120" s="224"/>
      <c r="DA120" s="224"/>
      <c r="DB120" s="224"/>
      <c r="DC120" s="224"/>
      <c r="DD120" s="224"/>
      <c r="DE120" s="224"/>
      <c r="DF120" s="224"/>
      <c r="DG120" s="224"/>
      <c r="DH120" s="224"/>
      <c r="DI120" s="224"/>
      <c r="DJ120" s="224"/>
      <c r="DK120" s="224"/>
    </row>
    <row r="178" spans="16:16" ht="13.5" customHeight="1" x14ac:dyDescent="0.15">
      <c r="P178" s="30"/>
    </row>
  </sheetData>
  <mergeCells count="152"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</mergeCells>
  <phoneticPr fontId="4"/>
  <dataValidations count="5">
    <dataValidation type="list" imeMode="hiragana" allowBlank="1" showInputMessage="1" showErrorMessage="1" prompt="ボタンを押し単位を入力" sqref="Y7:AA29" xr:uid="{00000000-0002-0000-0200-000000000000}">
      <formula1>$CS$104:$CS$116</formula1>
    </dataValidation>
    <dataValidation imeMode="hiragana" allowBlank="1" showInputMessage="1" showErrorMessage="1" prompt="備考があれば入力" sqref="AN7:AT29" xr:uid="{00000000-0002-0000-0200-000001000000}"/>
    <dataValidation imeMode="off" allowBlank="1" showInputMessage="1" showErrorMessage="1" prompt="単価を入力" sqref="AB7:AF29" xr:uid="{00000000-0002-0000-0200-000002000000}"/>
    <dataValidation imeMode="off" allowBlank="1" showInputMessage="1" showErrorMessage="1" prompt="数量を入力" sqref="U7:X29" xr:uid="{00000000-0002-0000-0200-000003000000}"/>
    <dataValidation imeMode="hiragana" allowBlank="1" showInputMessage="1" showErrorMessage="1" prompt="品名を入力" sqref="D7:T7 D19:T19 C7:C29 D23:T29" xr:uid="{00000000-0002-0000-0200-000004000000}"/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2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4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5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6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7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8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9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0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1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2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3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4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5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6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7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8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9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0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1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2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3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C7" sqref="C7:T7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08" t="s">
        <v>93</v>
      </c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AL3" s="5" t="s">
        <v>89</v>
      </c>
      <c r="AM3" s="5"/>
      <c r="AN3" s="211"/>
      <c r="AO3" s="211"/>
      <c r="AP3" s="211"/>
      <c r="AQ3" s="211"/>
      <c r="AR3" s="211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35" t="s">
        <v>88</v>
      </c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7"/>
      <c r="U5" s="111" t="s">
        <v>10</v>
      </c>
      <c r="V5" s="112"/>
      <c r="W5" s="112"/>
      <c r="X5" s="112"/>
      <c r="Y5" s="112"/>
      <c r="Z5" s="112"/>
      <c r="AA5" s="113"/>
      <c r="AB5" s="111" t="s">
        <v>11</v>
      </c>
      <c r="AC5" s="112"/>
      <c r="AD5" s="112"/>
      <c r="AE5" s="112"/>
      <c r="AF5" s="112"/>
      <c r="AG5" s="111" t="s">
        <v>12</v>
      </c>
      <c r="AH5" s="112"/>
      <c r="AI5" s="112"/>
      <c r="AJ5" s="112"/>
      <c r="AK5" s="112"/>
      <c r="AL5" s="112"/>
      <c r="AM5" s="113"/>
      <c r="AN5" s="111" t="s">
        <v>13</v>
      </c>
      <c r="AO5" s="112"/>
      <c r="AP5" s="112"/>
      <c r="AQ5" s="112"/>
      <c r="AR5" s="112"/>
      <c r="AS5" s="112"/>
      <c r="AT5" s="117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38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40"/>
      <c r="U6" s="114"/>
      <c r="V6" s="115"/>
      <c r="W6" s="115"/>
      <c r="X6" s="115"/>
      <c r="Y6" s="115"/>
      <c r="Z6" s="115"/>
      <c r="AA6" s="116"/>
      <c r="AB6" s="114"/>
      <c r="AC6" s="115"/>
      <c r="AD6" s="115"/>
      <c r="AE6" s="115"/>
      <c r="AF6" s="115"/>
      <c r="AG6" s="114"/>
      <c r="AH6" s="115"/>
      <c r="AI6" s="115"/>
      <c r="AJ6" s="115"/>
      <c r="AK6" s="115"/>
      <c r="AL6" s="115"/>
      <c r="AM6" s="116"/>
      <c r="AN6" s="114"/>
      <c r="AO6" s="115"/>
      <c r="AP6" s="115"/>
      <c r="AQ6" s="115"/>
      <c r="AR6" s="115"/>
      <c r="AS6" s="115"/>
      <c r="AT6" s="118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12"/>
      <c r="D7" s="213"/>
      <c r="E7" s="213"/>
      <c r="F7" s="213"/>
      <c r="G7" s="213"/>
      <c r="H7" s="213"/>
      <c r="I7" s="213"/>
      <c r="J7" s="213"/>
      <c r="K7" s="213"/>
      <c r="L7" s="213"/>
      <c r="M7" s="213"/>
      <c r="N7" s="213"/>
      <c r="O7" s="213"/>
      <c r="P7" s="213"/>
      <c r="Q7" s="213"/>
      <c r="R7" s="213"/>
      <c r="S7" s="213"/>
      <c r="T7" s="214"/>
      <c r="U7" s="122"/>
      <c r="V7" s="123"/>
      <c r="W7" s="123"/>
      <c r="X7" s="123"/>
      <c r="Y7" s="124"/>
      <c r="Z7" s="124"/>
      <c r="AA7" s="125"/>
      <c r="AB7" s="122">
        <f>SUM(Y19)</f>
        <v>0</v>
      </c>
      <c r="AC7" s="123"/>
      <c r="AD7" s="123"/>
      <c r="AE7" s="123"/>
      <c r="AF7" s="126"/>
      <c r="AG7" s="122">
        <f>IF(U7="",1*AB7,U7*AB7)</f>
        <v>0</v>
      </c>
      <c r="AH7" s="123"/>
      <c r="AI7" s="123"/>
      <c r="AJ7" s="123"/>
      <c r="AK7" s="123"/>
      <c r="AL7" s="123"/>
      <c r="AM7" s="126"/>
      <c r="AN7" s="215"/>
      <c r="AO7" s="216"/>
      <c r="AP7" s="216"/>
      <c r="AQ7" s="216"/>
      <c r="AR7" s="216"/>
      <c r="AS7" s="216"/>
      <c r="AT7" s="217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12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3"/>
      <c r="S8" s="213"/>
      <c r="T8" s="214"/>
      <c r="U8" s="122"/>
      <c r="V8" s="123"/>
      <c r="W8" s="123"/>
      <c r="X8" s="123"/>
      <c r="Y8" s="124"/>
      <c r="Z8" s="124"/>
      <c r="AA8" s="125"/>
      <c r="AB8" s="122"/>
      <c r="AC8" s="123"/>
      <c r="AD8" s="123"/>
      <c r="AE8" s="123"/>
      <c r="AF8" s="126"/>
      <c r="AG8" s="122">
        <f t="shared" ref="AG8:AG29" si="0">IF(U8="",1*AB8,U8*AB8)</f>
        <v>0</v>
      </c>
      <c r="AH8" s="123"/>
      <c r="AI8" s="123"/>
      <c r="AJ8" s="123"/>
      <c r="AK8" s="123"/>
      <c r="AL8" s="123"/>
      <c r="AM8" s="126"/>
      <c r="AN8" s="215"/>
      <c r="AO8" s="216"/>
      <c r="AP8" s="216"/>
      <c r="AQ8" s="216"/>
      <c r="AR8" s="216"/>
      <c r="AS8" s="216"/>
      <c r="AT8" s="217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12"/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3"/>
      <c r="R9" s="213"/>
      <c r="S9" s="213"/>
      <c r="T9" s="214"/>
      <c r="U9" s="122"/>
      <c r="V9" s="123"/>
      <c r="W9" s="123"/>
      <c r="X9" s="123"/>
      <c r="Y9" s="124"/>
      <c r="Z9" s="124"/>
      <c r="AA9" s="125"/>
      <c r="AB9" s="122"/>
      <c r="AC9" s="123"/>
      <c r="AD9" s="123"/>
      <c r="AE9" s="123"/>
      <c r="AF9" s="126"/>
      <c r="AG9" s="122">
        <f t="shared" si="0"/>
        <v>0</v>
      </c>
      <c r="AH9" s="123"/>
      <c r="AI9" s="123"/>
      <c r="AJ9" s="123"/>
      <c r="AK9" s="123"/>
      <c r="AL9" s="123"/>
      <c r="AM9" s="126"/>
      <c r="AN9" s="215"/>
      <c r="AO9" s="216"/>
      <c r="AP9" s="216"/>
      <c r="AQ9" s="216"/>
      <c r="AR9" s="216"/>
      <c r="AS9" s="216"/>
      <c r="AT9" s="217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12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  <c r="Q10" s="213"/>
      <c r="R10" s="213"/>
      <c r="S10" s="213"/>
      <c r="T10" s="214"/>
      <c r="U10" s="122"/>
      <c r="V10" s="123"/>
      <c r="W10" s="123"/>
      <c r="X10" s="123"/>
      <c r="Y10" s="124"/>
      <c r="Z10" s="124"/>
      <c r="AA10" s="125"/>
      <c r="AB10" s="122"/>
      <c r="AC10" s="123"/>
      <c r="AD10" s="123"/>
      <c r="AE10" s="123"/>
      <c r="AF10" s="126"/>
      <c r="AG10" s="122">
        <f t="shared" si="0"/>
        <v>0</v>
      </c>
      <c r="AH10" s="123"/>
      <c r="AI10" s="123"/>
      <c r="AJ10" s="123"/>
      <c r="AK10" s="123"/>
      <c r="AL10" s="123"/>
      <c r="AM10" s="126"/>
      <c r="AN10" s="215"/>
      <c r="AO10" s="216"/>
      <c r="AP10" s="216"/>
      <c r="AQ10" s="216"/>
      <c r="AR10" s="216"/>
      <c r="AS10" s="216"/>
      <c r="AT10" s="217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12"/>
      <c r="D11" s="213"/>
      <c r="E11" s="213"/>
      <c r="F11" s="213"/>
      <c r="G11" s="213"/>
      <c r="H11" s="213"/>
      <c r="I11" s="213"/>
      <c r="J11" s="213"/>
      <c r="K11" s="213"/>
      <c r="L11" s="213"/>
      <c r="M11" s="213"/>
      <c r="N11" s="213"/>
      <c r="O11" s="213"/>
      <c r="P11" s="213"/>
      <c r="Q11" s="213"/>
      <c r="R11" s="213"/>
      <c r="S11" s="213"/>
      <c r="T11" s="214"/>
      <c r="U11" s="122"/>
      <c r="V11" s="123"/>
      <c r="W11" s="123"/>
      <c r="X11" s="123"/>
      <c r="Y11" s="124"/>
      <c r="Z11" s="124"/>
      <c r="AA11" s="125"/>
      <c r="AB11" s="122"/>
      <c r="AC11" s="123"/>
      <c r="AD11" s="123"/>
      <c r="AE11" s="123"/>
      <c r="AF11" s="126"/>
      <c r="AG11" s="122">
        <f t="shared" si="0"/>
        <v>0</v>
      </c>
      <c r="AH11" s="123"/>
      <c r="AI11" s="123"/>
      <c r="AJ11" s="123"/>
      <c r="AK11" s="123"/>
      <c r="AL11" s="123"/>
      <c r="AM11" s="126"/>
      <c r="AN11" s="215"/>
      <c r="AO11" s="216"/>
      <c r="AP11" s="216"/>
      <c r="AQ11" s="216"/>
      <c r="AR11" s="216"/>
      <c r="AS11" s="216"/>
      <c r="AT11" s="217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12"/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213"/>
      <c r="O12" s="213"/>
      <c r="P12" s="213"/>
      <c r="Q12" s="213"/>
      <c r="R12" s="213"/>
      <c r="S12" s="213"/>
      <c r="T12" s="214"/>
      <c r="U12" s="122"/>
      <c r="V12" s="123"/>
      <c r="W12" s="123"/>
      <c r="X12" s="123"/>
      <c r="Y12" s="124"/>
      <c r="Z12" s="124"/>
      <c r="AA12" s="125"/>
      <c r="AB12" s="122"/>
      <c r="AC12" s="123"/>
      <c r="AD12" s="123"/>
      <c r="AE12" s="123"/>
      <c r="AF12" s="126"/>
      <c r="AG12" s="122">
        <f t="shared" si="0"/>
        <v>0</v>
      </c>
      <c r="AH12" s="123"/>
      <c r="AI12" s="123"/>
      <c r="AJ12" s="123"/>
      <c r="AK12" s="123"/>
      <c r="AL12" s="123"/>
      <c r="AM12" s="126"/>
      <c r="AN12" s="215"/>
      <c r="AO12" s="216"/>
      <c r="AP12" s="216"/>
      <c r="AQ12" s="216"/>
      <c r="AR12" s="216"/>
      <c r="AS12" s="216"/>
      <c r="AT12" s="217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12"/>
      <c r="D13" s="213"/>
      <c r="E13" s="213"/>
      <c r="F13" s="213"/>
      <c r="G13" s="213"/>
      <c r="H13" s="213"/>
      <c r="I13" s="213"/>
      <c r="J13" s="213"/>
      <c r="K13" s="213"/>
      <c r="L13" s="213"/>
      <c r="M13" s="213"/>
      <c r="N13" s="213"/>
      <c r="O13" s="213"/>
      <c r="P13" s="213"/>
      <c r="Q13" s="213"/>
      <c r="R13" s="213"/>
      <c r="S13" s="213"/>
      <c r="T13" s="214"/>
      <c r="U13" s="122"/>
      <c r="V13" s="123"/>
      <c r="W13" s="123"/>
      <c r="X13" s="123"/>
      <c r="Y13" s="124"/>
      <c r="Z13" s="124"/>
      <c r="AA13" s="125"/>
      <c r="AB13" s="122"/>
      <c r="AC13" s="123"/>
      <c r="AD13" s="123"/>
      <c r="AE13" s="123"/>
      <c r="AF13" s="126"/>
      <c r="AG13" s="122">
        <f t="shared" si="0"/>
        <v>0</v>
      </c>
      <c r="AH13" s="123"/>
      <c r="AI13" s="123"/>
      <c r="AJ13" s="123"/>
      <c r="AK13" s="123"/>
      <c r="AL13" s="123"/>
      <c r="AM13" s="126"/>
      <c r="AN13" s="228"/>
      <c r="AO13" s="229"/>
      <c r="AP13" s="229"/>
      <c r="AQ13" s="229"/>
      <c r="AR13" s="229"/>
      <c r="AS13" s="229"/>
      <c r="AT13" s="230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12"/>
      <c r="D14" s="213"/>
      <c r="E14" s="213"/>
      <c r="F14" s="213"/>
      <c r="G14" s="213"/>
      <c r="H14" s="213"/>
      <c r="I14" s="213"/>
      <c r="J14" s="213"/>
      <c r="K14" s="213"/>
      <c r="L14" s="213"/>
      <c r="M14" s="213"/>
      <c r="N14" s="213"/>
      <c r="O14" s="213"/>
      <c r="P14" s="213"/>
      <c r="Q14" s="213"/>
      <c r="R14" s="213"/>
      <c r="S14" s="213"/>
      <c r="T14" s="214"/>
      <c r="U14" s="122"/>
      <c r="V14" s="123"/>
      <c r="W14" s="123"/>
      <c r="X14" s="123"/>
      <c r="Y14" s="124"/>
      <c r="Z14" s="124"/>
      <c r="AA14" s="125"/>
      <c r="AB14" s="122"/>
      <c r="AC14" s="123"/>
      <c r="AD14" s="123"/>
      <c r="AE14" s="123"/>
      <c r="AF14" s="126"/>
      <c r="AG14" s="122">
        <f t="shared" si="0"/>
        <v>0</v>
      </c>
      <c r="AH14" s="123"/>
      <c r="AI14" s="123"/>
      <c r="AJ14" s="123"/>
      <c r="AK14" s="123"/>
      <c r="AL14" s="123"/>
      <c r="AM14" s="126"/>
      <c r="AN14" s="228"/>
      <c r="AO14" s="229"/>
      <c r="AP14" s="229"/>
      <c r="AQ14" s="229"/>
      <c r="AR14" s="229"/>
      <c r="AS14" s="229"/>
      <c r="AT14" s="230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12"/>
      <c r="D15" s="213"/>
      <c r="E15" s="213"/>
      <c r="F15" s="213"/>
      <c r="G15" s="213"/>
      <c r="H15" s="213"/>
      <c r="I15" s="213"/>
      <c r="J15" s="213"/>
      <c r="K15" s="213"/>
      <c r="L15" s="213"/>
      <c r="M15" s="213"/>
      <c r="N15" s="213"/>
      <c r="O15" s="213"/>
      <c r="P15" s="213"/>
      <c r="Q15" s="213"/>
      <c r="R15" s="213"/>
      <c r="S15" s="213"/>
      <c r="T15" s="214"/>
      <c r="U15" s="122"/>
      <c r="V15" s="123"/>
      <c r="W15" s="123"/>
      <c r="X15" s="123"/>
      <c r="Y15" s="124"/>
      <c r="Z15" s="124"/>
      <c r="AA15" s="125"/>
      <c r="AB15" s="122"/>
      <c r="AC15" s="123"/>
      <c r="AD15" s="123"/>
      <c r="AE15" s="123"/>
      <c r="AF15" s="126"/>
      <c r="AG15" s="122">
        <f t="shared" si="0"/>
        <v>0</v>
      </c>
      <c r="AH15" s="123"/>
      <c r="AI15" s="123"/>
      <c r="AJ15" s="123"/>
      <c r="AK15" s="123"/>
      <c r="AL15" s="123"/>
      <c r="AM15" s="126"/>
      <c r="AN15" s="228"/>
      <c r="AO15" s="229"/>
      <c r="AP15" s="229"/>
      <c r="AQ15" s="229"/>
      <c r="AR15" s="229"/>
      <c r="AS15" s="229"/>
      <c r="AT15" s="230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12"/>
      <c r="D16" s="213"/>
      <c r="E16" s="213"/>
      <c r="F16" s="213"/>
      <c r="G16" s="213"/>
      <c r="H16" s="213"/>
      <c r="I16" s="213"/>
      <c r="J16" s="213"/>
      <c r="K16" s="213"/>
      <c r="L16" s="213"/>
      <c r="M16" s="213"/>
      <c r="N16" s="213"/>
      <c r="O16" s="213"/>
      <c r="P16" s="213"/>
      <c r="Q16" s="213"/>
      <c r="R16" s="213"/>
      <c r="S16" s="213"/>
      <c r="T16" s="214"/>
      <c r="U16" s="122"/>
      <c r="V16" s="123"/>
      <c r="W16" s="123"/>
      <c r="X16" s="123"/>
      <c r="Y16" s="124"/>
      <c r="Z16" s="124"/>
      <c r="AA16" s="125"/>
      <c r="AB16" s="122"/>
      <c r="AC16" s="123"/>
      <c r="AD16" s="123"/>
      <c r="AE16" s="123"/>
      <c r="AF16" s="126"/>
      <c r="AG16" s="122">
        <f t="shared" si="0"/>
        <v>0</v>
      </c>
      <c r="AH16" s="123"/>
      <c r="AI16" s="123"/>
      <c r="AJ16" s="123"/>
      <c r="AK16" s="123"/>
      <c r="AL16" s="123"/>
      <c r="AM16" s="126"/>
      <c r="AN16" s="228"/>
      <c r="AO16" s="229"/>
      <c r="AP16" s="229"/>
      <c r="AQ16" s="229"/>
      <c r="AR16" s="229"/>
      <c r="AS16" s="229"/>
      <c r="AT16" s="230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12"/>
      <c r="D17" s="213"/>
      <c r="E17" s="213"/>
      <c r="F17" s="213"/>
      <c r="G17" s="213"/>
      <c r="H17" s="213"/>
      <c r="I17" s="213"/>
      <c r="J17" s="213"/>
      <c r="K17" s="213"/>
      <c r="L17" s="213"/>
      <c r="M17" s="213"/>
      <c r="N17" s="213"/>
      <c r="O17" s="213"/>
      <c r="P17" s="213"/>
      <c r="Q17" s="213"/>
      <c r="R17" s="213"/>
      <c r="S17" s="213"/>
      <c r="T17" s="214"/>
      <c r="U17" s="122"/>
      <c r="V17" s="123"/>
      <c r="W17" s="123"/>
      <c r="X17" s="123"/>
      <c r="Y17" s="124"/>
      <c r="Z17" s="124"/>
      <c r="AA17" s="125"/>
      <c r="AB17" s="122"/>
      <c r="AC17" s="123"/>
      <c r="AD17" s="123"/>
      <c r="AE17" s="123"/>
      <c r="AF17" s="126"/>
      <c r="AG17" s="122">
        <f t="shared" si="0"/>
        <v>0</v>
      </c>
      <c r="AH17" s="123"/>
      <c r="AI17" s="123"/>
      <c r="AJ17" s="123"/>
      <c r="AK17" s="123"/>
      <c r="AL17" s="123"/>
      <c r="AM17" s="126"/>
      <c r="AN17" s="228"/>
      <c r="AO17" s="229"/>
      <c r="AP17" s="229"/>
      <c r="AQ17" s="229"/>
      <c r="AR17" s="229"/>
      <c r="AS17" s="229"/>
      <c r="AT17" s="230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12"/>
      <c r="D18" s="213"/>
      <c r="E18" s="213"/>
      <c r="F18" s="213"/>
      <c r="G18" s="213"/>
      <c r="H18" s="213"/>
      <c r="I18" s="213"/>
      <c r="J18" s="213"/>
      <c r="K18" s="213"/>
      <c r="L18" s="213"/>
      <c r="M18" s="213"/>
      <c r="N18" s="213"/>
      <c r="O18" s="213"/>
      <c r="P18" s="213"/>
      <c r="Q18" s="213"/>
      <c r="R18" s="213"/>
      <c r="S18" s="213"/>
      <c r="T18" s="214"/>
      <c r="U18" s="122"/>
      <c r="V18" s="123"/>
      <c r="W18" s="123"/>
      <c r="X18" s="123"/>
      <c r="Y18" s="124"/>
      <c r="Z18" s="124"/>
      <c r="AA18" s="125"/>
      <c r="AB18" s="122"/>
      <c r="AC18" s="123"/>
      <c r="AD18" s="123"/>
      <c r="AE18" s="123"/>
      <c r="AF18" s="126"/>
      <c r="AG18" s="122">
        <f t="shared" si="0"/>
        <v>0</v>
      </c>
      <c r="AH18" s="123"/>
      <c r="AI18" s="123"/>
      <c r="AJ18" s="123"/>
      <c r="AK18" s="123"/>
      <c r="AL18" s="123"/>
      <c r="AM18" s="126"/>
      <c r="AN18" s="228"/>
      <c r="AO18" s="229"/>
      <c r="AP18" s="229"/>
      <c r="AQ18" s="229"/>
      <c r="AR18" s="229"/>
      <c r="AS18" s="229"/>
      <c r="AT18" s="230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12"/>
      <c r="D19" s="213"/>
      <c r="E19" s="213"/>
      <c r="F19" s="213"/>
      <c r="G19" s="213"/>
      <c r="H19" s="213"/>
      <c r="I19" s="213"/>
      <c r="J19" s="213"/>
      <c r="K19" s="213"/>
      <c r="L19" s="213"/>
      <c r="M19" s="213"/>
      <c r="N19" s="213"/>
      <c r="O19" s="213"/>
      <c r="P19" s="213"/>
      <c r="Q19" s="213"/>
      <c r="R19" s="213"/>
      <c r="S19" s="213"/>
      <c r="T19" s="214"/>
      <c r="U19" s="122"/>
      <c r="V19" s="123"/>
      <c r="W19" s="123"/>
      <c r="X19" s="123"/>
      <c r="Y19" s="124"/>
      <c r="Z19" s="124"/>
      <c r="AA19" s="125"/>
      <c r="AB19" s="122"/>
      <c r="AC19" s="123"/>
      <c r="AD19" s="123"/>
      <c r="AE19" s="123"/>
      <c r="AF19" s="126"/>
      <c r="AG19" s="122">
        <f t="shared" si="0"/>
        <v>0</v>
      </c>
      <c r="AH19" s="123"/>
      <c r="AI19" s="123"/>
      <c r="AJ19" s="123"/>
      <c r="AK19" s="123"/>
      <c r="AL19" s="123"/>
      <c r="AM19" s="126"/>
      <c r="AN19" s="228"/>
      <c r="AO19" s="229"/>
      <c r="AP19" s="229"/>
      <c r="AQ19" s="229"/>
      <c r="AR19" s="229"/>
      <c r="AS19" s="229"/>
      <c r="AT19" s="230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212"/>
      <c r="D20" s="213"/>
      <c r="E20" s="213"/>
      <c r="F20" s="213"/>
      <c r="G20" s="213"/>
      <c r="H20" s="213"/>
      <c r="I20" s="213"/>
      <c r="J20" s="213"/>
      <c r="K20" s="213"/>
      <c r="L20" s="213"/>
      <c r="M20" s="213"/>
      <c r="N20" s="213"/>
      <c r="O20" s="213"/>
      <c r="P20" s="213"/>
      <c r="Q20" s="213"/>
      <c r="R20" s="213"/>
      <c r="S20" s="213"/>
      <c r="T20" s="214"/>
      <c r="U20" s="122"/>
      <c r="V20" s="123"/>
      <c r="W20" s="123"/>
      <c r="X20" s="123"/>
      <c r="Y20" s="124"/>
      <c r="Z20" s="124"/>
      <c r="AA20" s="125"/>
      <c r="AB20" s="122"/>
      <c r="AC20" s="123"/>
      <c r="AD20" s="123"/>
      <c r="AE20" s="123"/>
      <c r="AF20" s="126"/>
      <c r="AG20" s="122">
        <f t="shared" si="0"/>
        <v>0</v>
      </c>
      <c r="AH20" s="123"/>
      <c r="AI20" s="123"/>
      <c r="AJ20" s="123"/>
      <c r="AK20" s="123"/>
      <c r="AL20" s="123"/>
      <c r="AM20" s="126"/>
      <c r="AN20" s="228"/>
      <c r="AO20" s="229"/>
      <c r="AP20" s="229"/>
      <c r="AQ20" s="229"/>
      <c r="AR20" s="229"/>
      <c r="AS20" s="229"/>
      <c r="AT20" s="230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212"/>
      <c r="D21" s="213"/>
      <c r="E21" s="213"/>
      <c r="F21" s="213"/>
      <c r="G21" s="213"/>
      <c r="H21" s="213"/>
      <c r="I21" s="213"/>
      <c r="J21" s="213"/>
      <c r="K21" s="213"/>
      <c r="L21" s="213"/>
      <c r="M21" s="213"/>
      <c r="N21" s="213"/>
      <c r="O21" s="213"/>
      <c r="P21" s="213"/>
      <c r="Q21" s="213"/>
      <c r="R21" s="213"/>
      <c r="S21" s="213"/>
      <c r="T21" s="214"/>
      <c r="U21" s="122"/>
      <c r="V21" s="123"/>
      <c r="W21" s="123"/>
      <c r="X21" s="123"/>
      <c r="Y21" s="124"/>
      <c r="Z21" s="124"/>
      <c r="AA21" s="125"/>
      <c r="AB21" s="122"/>
      <c r="AC21" s="123"/>
      <c r="AD21" s="123"/>
      <c r="AE21" s="123"/>
      <c r="AF21" s="126"/>
      <c r="AG21" s="122">
        <f t="shared" si="0"/>
        <v>0</v>
      </c>
      <c r="AH21" s="123"/>
      <c r="AI21" s="123"/>
      <c r="AJ21" s="123"/>
      <c r="AK21" s="123"/>
      <c r="AL21" s="123"/>
      <c r="AM21" s="126"/>
      <c r="AN21" s="228"/>
      <c r="AO21" s="229"/>
      <c r="AP21" s="229"/>
      <c r="AQ21" s="229"/>
      <c r="AR21" s="229"/>
      <c r="AS21" s="229"/>
      <c r="AT21" s="230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212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4"/>
      <c r="U22" s="122"/>
      <c r="V22" s="123"/>
      <c r="W22" s="123"/>
      <c r="X22" s="123"/>
      <c r="Y22" s="124"/>
      <c r="Z22" s="124"/>
      <c r="AA22" s="125"/>
      <c r="AB22" s="122"/>
      <c r="AC22" s="123"/>
      <c r="AD22" s="123"/>
      <c r="AE22" s="123"/>
      <c r="AF22" s="126"/>
      <c r="AG22" s="122">
        <f t="shared" si="0"/>
        <v>0</v>
      </c>
      <c r="AH22" s="123"/>
      <c r="AI22" s="123"/>
      <c r="AJ22" s="123"/>
      <c r="AK22" s="123"/>
      <c r="AL22" s="123"/>
      <c r="AM22" s="126"/>
      <c r="AN22" s="228"/>
      <c r="AO22" s="229"/>
      <c r="AP22" s="229"/>
      <c r="AQ22" s="229"/>
      <c r="AR22" s="229"/>
      <c r="AS22" s="229"/>
      <c r="AT22" s="230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12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13"/>
      <c r="T23" s="214"/>
      <c r="U23" s="122"/>
      <c r="V23" s="123"/>
      <c r="W23" s="123"/>
      <c r="X23" s="123"/>
      <c r="Y23" s="124"/>
      <c r="Z23" s="124"/>
      <c r="AA23" s="125"/>
      <c r="AB23" s="122"/>
      <c r="AC23" s="123"/>
      <c r="AD23" s="123"/>
      <c r="AE23" s="123"/>
      <c r="AF23" s="126"/>
      <c r="AG23" s="122">
        <f t="shared" si="0"/>
        <v>0</v>
      </c>
      <c r="AH23" s="123"/>
      <c r="AI23" s="123"/>
      <c r="AJ23" s="123"/>
      <c r="AK23" s="123"/>
      <c r="AL23" s="123"/>
      <c r="AM23" s="126"/>
      <c r="AN23" s="228"/>
      <c r="AO23" s="229"/>
      <c r="AP23" s="229"/>
      <c r="AQ23" s="229"/>
      <c r="AR23" s="229"/>
      <c r="AS23" s="229"/>
      <c r="AT23" s="230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12"/>
      <c r="D24" s="213"/>
      <c r="E24" s="213"/>
      <c r="F24" s="213"/>
      <c r="G24" s="213"/>
      <c r="H24" s="213"/>
      <c r="I24" s="213"/>
      <c r="J24" s="213"/>
      <c r="K24" s="213"/>
      <c r="L24" s="213"/>
      <c r="M24" s="213"/>
      <c r="N24" s="213"/>
      <c r="O24" s="213"/>
      <c r="P24" s="213"/>
      <c r="Q24" s="213"/>
      <c r="R24" s="213"/>
      <c r="S24" s="213"/>
      <c r="T24" s="214"/>
      <c r="U24" s="122"/>
      <c r="V24" s="123"/>
      <c r="W24" s="123"/>
      <c r="X24" s="123"/>
      <c r="Y24" s="124"/>
      <c r="Z24" s="124"/>
      <c r="AA24" s="125"/>
      <c r="AB24" s="122"/>
      <c r="AC24" s="123"/>
      <c r="AD24" s="123"/>
      <c r="AE24" s="123"/>
      <c r="AF24" s="126"/>
      <c r="AG24" s="122">
        <f t="shared" si="0"/>
        <v>0</v>
      </c>
      <c r="AH24" s="123"/>
      <c r="AI24" s="123"/>
      <c r="AJ24" s="123"/>
      <c r="AK24" s="123"/>
      <c r="AL24" s="123"/>
      <c r="AM24" s="126"/>
      <c r="AN24" s="228"/>
      <c r="AO24" s="229"/>
      <c r="AP24" s="229"/>
      <c r="AQ24" s="229"/>
      <c r="AR24" s="229"/>
      <c r="AS24" s="229"/>
      <c r="AT24" s="230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12"/>
      <c r="D25" s="213"/>
      <c r="E25" s="213"/>
      <c r="F25" s="213"/>
      <c r="G25" s="213"/>
      <c r="H25" s="213"/>
      <c r="I25" s="213"/>
      <c r="J25" s="213"/>
      <c r="K25" s="213"/>
      <c r="L25" s="213"/>
      <c r="M25" s="213"/>
      <c r="N25" s="213"/>
      <c r="O25" s="213"/>
      <c r="P25" s="213"/>
      <c r="Q25" s="213"/>
      <c r="R25" s="213"/>
      <c r="S25" s="213"/>
      <c r="T25" s="214"/>
      <c r="U25" s="122"/>
      <c r="V25" s="123"/>
      <c r="W25" s="123"/>
      <c r="X25" s="123"/>
      <c r="Y25" s="124"/>
      <c r="Z25" s="124"/>
      <c r="AA25" s="125"/>
      <c r="AB25" s="122"/>
      <c r="AC25" s="123"/>
      <c r="AD25" s="123"/>
      <c r="AE25" s="123"/>
      <c r="AF25" s="126"/>
      <c r="AG25" s="122">
        <f t="shared" si="0"/>
        <v>0</v>
      </c>
      <c r="AH25" s="123"/>
      <c r="AI25" s="123"/>
      <c r="AJ25" s="123"/>
      <c r="AK25" s="123"/>
      <c r="AL25" s="123"/>
      <c r="AM25" s="126"/>
      <c r="AN25" s="228"/>
      <c r="AO25" s="229"/>
      <c r="AP25" s="229"/>
      <c r="AQ25" s="229"/>
      <c r="AR25" s="229"/>
      <c r="AS25" s="229"/>
      <c r="AT25" s="230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12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4"/>
      <c r="U26" s="122"/>
      <c r="V26" s="123"/>
      <c r="W26" s="123"/>
      <c r="X26" s="123"/>
      <c r="Y26" s="124"/>
      <c r="Z26" s="124"/>
      <c r="AA26" s="125"/>
      <c r="AB26" s="122"/>
      <c r="AC26" s="123"/>
      <c r="AD26" s="123"/>
      <c r="AE26" s="123"/>
      <c r="AF26" s="126"/>
      <c r="AG26" s="122">
        <f t="shared" si="0"/>
        <v>0</v>
      </c>
      <c r="AH26" s="123"/>
      <c r="AI26" s="123"/>
      <c r="AJ26" s="123"/>
      <c r="AK26" s="123"/>
      <c r="AL26" s="123"/>
      <c r="AM26" s="126"/>
      <c r="AN26" s="228"/>
      <c r="AO26" s="229"/>
      <c r="AP26" s="229"/>
      <c r="AQ26" s="229"/>
      <c r="AR26" s="229"/>
      <c r="AS26" s="229"/>
      <c r="AT26" s="230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12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4"/>
      <c r="U27" s="122"/>
      <c r="V27" s="123"/>
      <c r="W27" s="123"/>
      <c r="X27" s="123"/>
      <c r="Y27" s="124"/>
      <c r="Z27" s="124"/>
      <c r="AA27" s="125"/>
      <c r="AB27" s="122"/>
      <c r="AC27" s="123"/>
      <c r="AD27" s="123"/>
      <c r="AE27" s="123"/>
      <c r="AF27" s="126"/>
      <c r="AG27" s="122">
        <f t="shared" si="0"/>
        <v>0</v>
      </c>
      <c r="AH27" s="123"/>
      <c r="AI27" s="123"/>
      <c r="AJ27" s="123"/>
      <c r="AK27" s="123"/>
      <c r="AL27" s="123"/>
      <c r="AM27" s="126"/>
      <c r="AN27" s="228"/>
      <c r="AO27" s="229"/>
      <c r="AP27" s="229"/>
      <c r="AQ27" s="229"/>
      <c r="AR27" s="229"/>
      <c r="AS27" s="229"/>
      <c r="AT27" s="230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12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4"/>
      <c r="U28" s="122"/>
      <c r="V28" s="123"/>
      <c r="W28" s="123"/>
      <c r="X28" s="123"/>
      <c r="Y28" s="124"/>
      <c r="Z28" s="124"/>
      <c r="AA28" s="125"/>
      <c r="AB28" s="122"/>
      <c r="AC28" s="123"/>
      <c r="AD28" s="123"/>
      <c r="AE28" s="123"/>
      <c r="AF28" s="126"/>
      <c r="AG28" s="122">
        <f t="shared" si="0"/>
        <v>0</v>
      </c>
      <c r="AH28" s="123"/>
      <c r="AI28" s="123"/>
      <c r="AJ28" s="123"/>
      <c r="AK28" s="123"/>
      <c r="AL28" s="123"/>
      <c r="AM28" s="126"/>
      <c r="AN28" s="228"/>
      <c r="AO28" s="229"/>
      <c r="AP28" s="229"/>
      <c r="AQ28" s="229"/>
      <c r="AR28" s="229"/>
      <c r="AS28" s="229"/>
      <c r="AT28" s="230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90</v>
      </c>
      <c r="C29" s="212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4"/>
      <c r="U29" s="122"/>
      <c r="V29" s="123"/>
      <c r="W29" s="123"/>
      <c r="X29" s="123"/>
      <c r="Y29" s="124"/>
      <c r="Z29" s="124"/>
      <c r="AA29" s="125"/>
      <c r="AB29" s="225"/>
      <c r="AC29" s="226"/>
      <c r="AD29" s="226"/>
      <c r="AE29" s="226"/>
      <c r="AF29" s="227"/>
      <c r="AG29" s="225">
        <f t="shared" si="0"/>
        <v>0</v>
      </c>
      <c r="AH29" s="226"/>
      <c r="AI29" s="226"/>
      <c r="AJ29" s="226"/>
      <c r="AK29" s="226"/>
      <c r="AL29" s="226"/>
      <c r="AM29" s="227"/>
      <c r="AN29" s="228"/>
      <c r="AO29" s="229"/>
      <c r="AP29" s="229"/>
      <c r="AQ29" s="229"/>
      <c r="AR29" s="229"/>
      <c r="AS29" s="229"/>
      <c r="AT29" s="230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57" t="s">
        <v>44</v>
      </c>
      <c r="V30" s="158"/>
      <c r="W30" s="158"/>
      <c r="X30" s="158"/>
      <c r="Y30" s="158"/>
      <c r="Z30" s="158"/>
      <c r="AA30" s="159"/>
      <c r="AB30" s="218"/>
      <c r="AC30" s="219"/>
      <c r="AD30" s="219"/>
      <c r="AE30" s="219"/>
      <c r="AF30" s="219"/>
      <c r="AG30" s="219"/>
      <c r="AH30" s="219"/>
      <c r="AI30" s="219"/>
      <c r="AJ30" s="219"/>
      <c r="AK30" s="219"/>
      <c r="AL30" s="219"/>
      <c r="AM30" s="219"/>
      <c r="AN30" s="220"/>
      <c r="AO30" s="221"/>
      <c r="AP30" s="221"/>
      <c r="AQ30" s="221"/>
      <c r="AR30" s="221"/>
      <c r="AS30" s="221"/>
      <c r="AT30" s="222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 t="s">
        <v>18</v>
      </c>
      <c r="CT103" s="14"/>
    </row>
    <row r="104" spans="97:98" ht="13.5" customHeight="1" x14ac:dyDescent="0.15">
      <c r="CS104" s="58" t="str">
        <f>'CLC1.5KW'!CS104</f>
        <v>台</v>
      </c>
      <c r="CT104" s="18"/>
    </row>
    <row r="105" spans="97:98" ht="13.5" customHeight="1" x14ac:dyDescent="0.15">
      <c r="CS105" s="58" t="str">
        <f>'CLC1.5KW'!CS105</f>
        <v>個</v>
      </c>
      <c r="CT105" s="18"/>
    </row>
    <row r="106" spans="97:98" ht="13.5" customHeight="1" x14ac:dyDescent="0.15">
      <c r="CS106" s="58" t="str">
        <f>'CLC1.5KW'!CS106</f>
        <v>一式</v>
      </c>
      <c r="CT106" s="21"/>
    </row>
    <row r="107" spans="97:98" ht="13.5" customHeight="1" x14ac:dyDescent="0.15">
      <c r="CS107" s="58" t="str">
        <f>'CLC1.5KW'!CS107</f>
        <v>冊</v>
      </c>
      <c r="CT107" s="18"/>
    </row>
    <row r="108" spans="97:98" ht="13.5" customHeight="1" x14ac:dyDescent="0.15">
      <c r="CS108" s="58" t="str">
        <f>'CLC1.5KW'!CS108</f>
        <v>箱</v>
      </c>
      <c r="CT108" s="18"/>
    </row>
    <row r="109" spans="97:98" ht="13.5" customHeight="1" x14ac:dyDescent="0.15">
      <c r="CS109" s="58" t="str">
        <f>'CLC1.5KW'!CS109</f>
        <v>C/S</v>
      </c>
      <c r="CT109" s="20"/>
    </row>
    <row r="110" spans="97:98" ht="13.5" customHeight="1" x14ac:dyDescent="0.15">
      <c r="CS110" s="58" t="str">
        <f>'CLC1.5KW'!CS110</f>
        <v>SET</v>
      </c>
      <c r="CT110" s="20"/>
    </row>
    <row r="111" spans="97:98" ht="13.5" customHeight="1" x14ac:dyDescent="0.15">
      <c r="CS111" s="58" t="str">
        <f>'CLC1.5KW'!CS111</f>
        <v>本</v>
      </c>
      <c r="CT111" s="18"/>
    </row>
    <row r="112" spans="97:98" ht="13.5" customHeight="1" x14ac:dyDescent="0.15">
      <c r="CS112" s="58" t="str">
        <f>'CLC1.5KW'!CS112</f>
        <v>束</v>
      </c>
      <c r="CT112" s="18"/>
    </row>
    <row r="113" spans="87:125" ht="13.5" customHeight="1" x14ac:dyDescent="0.15">
      <c r="CS113" s="58" t="str">
        <f>'CLC1.5KW'!CS113</f>
        <v>枚</v>
      </c>
      <c r="CT113" s="18"/>
    </row>
    <row r="114" spans="87:125" ht="13.5" customHeight="1" x14ac:dyDescent="0.15">
      <c r="CS114" s="58" t="str">
        <f>'CLC1.5KW'!CS114</f>
        <v>ﾊﾟｯｸ</v>
      </c>
      <c r="CT114" s="21"/>
    </row>
    <row r="115" spans="87:125" ht="13.5" customHeight="1" x14ac:dyDescent="0.15">
      <c r="CS115" s="58" t="str">
        <f>'CLC1.5KW'!CS115</f>
        <v>ｷｯﾄ</v>
      </c>
      <c r="CT115" s="18"/>
    </row>
    <row r="116" spans="87:125" ht="13.5" customHeight="1" x14ac:dyDescent="0.15">
      <c r="CS116" s="58">
        <f>'CLC1.5KW'!CS116</f>
        <v>0</v>
      </c>
      <c r="CT116" s="18"/>
    </row>
    <row r="119" spans="87:125" ht="13.5" customHeight="1" x14ac:dyDescent="0.15">
      <c r="CI119" s="204" t="s">
        <v>43</v>
      </c>
      <c r="CJ119" s="204"/>
      <c r="CK119" s="204"/>
      <c r="CL119" s="204"/>
      <c r="CM119" s="223" t="str">
        <f>'CLC1.5KW'!CM119</f>
        <v>C:\Documents and Settings\sato\My Documents\シンプル見積書\</v>
      </c>
      <c r="CN119" s="224"/>
      <c r="CO119" s="224"/>
      <c r="CP119" s="224"/>
      <c r="CQ119" s="224"/>
      <c r="CR119" s="224"/>
      <c r="CS119" s="224"/>
      <c r="CT119" s="224"/>
      <c r="CU119" s="224"/>
      <c r="CV119" s="224"/>
      <c r="CW119" s="224"/>
      <c r="CX119" s="224"/>
      <c r="CY119" s="224"/>
      <c r="CZ119" s="224"/>
      <c r="DA119" s="224"/>
      <c r="DB119" s="224"/>
      <c r="DC119" s="224"/>
      <c r="DD119" s="224"/>
      <c r="DE119" s="224"/>
      <c r="DF119" s="224"/>
      <c r="DG119" s="224"/>
      <c r="DH119" s="224"/>
      <c r="DI119" s="224"/>
      <c r="DJ119" s="224"/>
      <c r="DK119" s="224"/>
      <c r="DO119" s="69" t="str">
        <f>'CLC1.5KW'!$DO$119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204" t="s">
        <v>74</v>
      </c>
      <c r="CJ120" s="204"/>
      <c r="CK120" s="204"/>
      <c r="CL120" s="204"/>
      <c r="CM120" s="223">
        <f>'CLC1.5KW'!CM120</f>
        <v>0</v>
      </c>
      <c r="CN120" s="224"/>
      <c r="CO120" s="224"/>
      <c r="CP120" s="224"/>
      <c r="CQ120" s="224"/>
      <c r="CR120" s="224"/>
      <c r="CS120" s="224"/>
      <c r="CT120" s="224"/>
      <c r="CU120" s="224"/>
      <c r="CV120" s="224"/>
      <c r="CW120" s="224"/>
      <c r="CX120" s="224"/>
      <c r="CY120" s="224"/>
      <c r="CZ120" s="224"/>
      <c r="DA120" s="224"/>
      <c r="DB120" s="224"/>
      <c r="DC120" s="224"/>
      <c r="DD120" s="224"/>
      <c r="DE120" s="224"/>
      <c r="DF120" s="224"/>
      <c r="DG120" s="224"/>
      <c r="DH120" s="224"/>
      <c r="DI120" s="224"/>
      <c r="DJ120" s="224"/>
      <c r="DK120" s="224"/>
    </row>
    <row r="178" spans="16:16" ht="13.5" customHeight="1" x14ac:dyDescent="0.15">
      <c r="P178" s="30">
        <f>'CLC1.5KW'!P177</f>
        <v>0</v>
      </c>
    </row>
  </sheetData>
  <mergeCells count="152">
    <mergeCell ref="CI120:CL120"/>
    <mergeCell ref="CM120:DK120"/>
    <mergeCell ref="AN29:AT29"/>
    <mergeCell ref="CI119:CL119"/>
    <mergeCell ref="CM119:DK119"/>
    <mergeCell ref="U30:AA30"/>
    <mergeCell ref="AB30:AM30"/>
    <mergeCell ref="AN30:AT30"/>
    <mergeCell ref="AG29:AM29"/>
    <mergeCell ref="AN28:AT28"/>
    <mergeCell ref="AG28:AM28"/>
    <mergeCell ref="AG27:AM27"/>
    <mergeCell ref="C29:T29"/>
    <mergeCell ref="U29:X29"/>
    <mergeCell ref="Y29:AA29"/>
    <mergeCell ref="AB29:AF29"/>
    <mergeCell ref="C28:T28"/>
    <mergeCell ref="U28:X28"/>
    <mergeCell ref="Y28:AA28"/>
    <mergeCell ref="Y27:AA27"/>
    <mergeCell ref="AB28:AF28"/>
    <mergeCell ref="AN24:AT24"/>
    <mergeCell ref="C27:T27"/>
    <mergeCell ref="AG25:AM25"/>
    <mergeCell ref="C26:T26"/>
    <mergeCell ref="U26:X26"/>
    <mergeCell ref="Y26:AA26"/>
    <mergeCell ref="AB26:AF26"/>
    <mergeCell ref="AB27:AF27"/>
    <mergeCell ref="U27:X27"/>
    <mergeCell ref="Y24:AA24"/>
    <mergeCell ref="AB24:AF24"/>
    <mergeCell ref="Y25:AA25"/>
    <mergeCell ref="AB25:AF25"/>
    <mergeCell ref="C24:T24"/>
    <mergeCell ref="U24:X24"/>
    <mergeCell ref="C25:T25"/>
    <mergeCell ref="U25:X25"/>
    <mergeCell ref="AG24:AM24"/>
    <mergeCell ref="AN25:AT25"/>
    <mergeCell ref="AN26:AT26"/>
    <mergeCell ref="AN27:AT27"/>
    <mergeCell ref="AG26:AM26"/>
    <mergeCell ref="C23:T23"/>
    <mergeCell ref="AG21:AM21"/>
    <mergeCell ref="AN22:AT22"/>
    <mergeCell ref="U23:X23"/>
    <mergeCell ref="Y23:AA23"/>
    <mergeCell ref="AG22:AM22"/>
    <mergeCell ref="AB23:AF23"/>
    <mergeCell ref="C21:T21"/>
    <mergeCell ref="U21:X21"/>
    <mergeCell ref="C22:T22"/>
    <mergeCell ref="AG23:AM23"/>
    <mergeCell ref="AN23:AT23"/>
    <mergeCell ref="U22:X22"/>
    <mergeCell ref="Y22:AA22"/>
    <mergeCell ref="AB22:AF22"/>
    <mergeCell ref="Y21:AA21"/>
    <mergeCell ref="AB21:AF21"/>
    <mergeCell ref="AN21:AT21"/>
    <mergeCell ref="AN17:AT17"/>
    <mergeCell ref="AN18:AT18"/>
    <mergeCell ref="AG18:AM18"/>
    <mergeCell ref="AG17:AM17"/>
    <mergeCell ref="C18:T18"/>
    <mergeCell ref="U18:X18"/>
    <mergeCell ref="AB17:AF17"/>
    <mergeCell ref="AG20:AM20"/>
    <mergeCell ref="AN20:AT20"/>
    <mergeCell ref="C20:T20"/>
    <mergeCell ref="U20:X20"/>
    <mergeCell ref="Y20:AA20"/>
    <mergeCell ref="AB20:AF20"/>
    <mergeCell ref="AN19:AT19"/>
    <mergeCell ref="Y18:AA18"/>
    <mergeCell ref="AB18:AF18"/>
    <mergeCell ref="U19:X19"/>
    <mergeCell ref="Y19:AA19"/>
    <mergeCell ref="AB19:AF19"/>
    <mergeCell ref="AG19:AM19"/>
    <mergeCell ref="C19:T19"/>
    <mergeCell ref="C17:T17"/>
    <mergeCell ref="U17:X17"/>
    <mergeCell ref="Y17:AA17"/>
    <mergeCell ref="C14:T14"/>
    <mergeCell ref="U14:X14"/>
    <mergeCell ref="Y14:AA14"/>
    <mergeCell ref="C16:T16"/>
    <mergeCell ref="U16:X16"/>
    <mergeCell ref="C13:T13"/>
    <mergeCell ref="U13:X13"/>
    <mergeCell ref="Y13:AA13"/>
    <mergeCell ref="AN13:AT13"/>
    <mergeCell ref="AN14:AT14"/>
    <mergeCell ref="AN16:AT16"/>
    <mergeCell ref="AG15:AM15"/>
    <mergeCell ref="AN15:AT15"/>
    <mergeCell ref="AG14:AM14"/>
    <mergeCell ref="AG16:AM16"/>
    <mergeCell ref="U15:X15"/>
    <mergeCell ref="Y15:AA15"/>
    <mergeCell ref="AB15:AF15"/>
    <mergeCell ref="AG13:AM13"/>
    <mergeCell ref="Y16:AA16"/>
    <mergeCell ref="AB13:AF13"/>
    <mergeCell ref="AB14:AF14"/>
    <mergeCell ref="AB16:AF16"/>
    <mergeCell ref="C15:T15"/>
    <mergeCell ref="AB11:AF11"/>
    <mergeCell ref="C8:T8"/>
    <mergeCell ref="U8:X8"/>
    <mergeCell ref="Y8:AA8"/>
    <mergeCell ref="C12:T12"/>
    <mergeCell ref="U12:X12"/>
    <mergeCell ref="AN12:AT12"/>
    <mergeCell ref="AN11:AT11"/>
    <mergeCell ref="AG10:AM10"/>
    <mergeCell ref="AG9:AM9"/>
    <mergeCell ref="AB9:AF9"/>
    <mergeCell ref="AN9:AT9"/>
    <mergeCell ref="AN10:AT10"/>
    <mergeCell ref="AG11:AM11"/>
    <mergeCell ref="AB10:AF10"/>
    <mergeCell ref="AB12:AF12"/>
    <mergeCell ref="AG12:AM12"/>
    <mergeCell ref="D3:W4"/>
    <mergeCell ref="C5:T6"/>
    <mergeCell ref="U5:AA6"/>
    <mergeCell ref="C7:T7"/>
    <mergeCell ref="U7:X7"/>
    <mergeCell ref="Y7:AA7"/>
    <mergeCell ref="Y12:AA12"/>
    <mergeCell ref="U9:X9"/>
    <mergeCell ref="Y9:AA9"/>
    <mergeCell ref="C9:T9"/>
    <mergeCell ref="C10:T10"/>
    <mergeCell ref="U10:X10"/>
    <mergeCell ref="Y10:AA10"/>
    <mergeCell ref="C11:T11"/>
    <mergeCell ref="U11:X11"/>
    <mergeCell ref="Y11:AA11"/>
    <mergeCell ref="AN7:AT7"/>
    <mergeCell ref="AN8:AT8"/>
    <mergeCell ref="AB8:AF8"/>
    <mergeCell ref="AN3:AR3"/>
    <mergeCell ref="AG5:AM6"/>
    <mergeCell ref="AN5:AT6"/>
    <mergeCell ref="AB7:AF7"/>
    <mergeCell ref="AB5:AF6"/>
    <mergeCell ref="AG7:AM7"/>
    <mergeCell ref="AG8:AM8"/>
  </mergeCells>
  <phoneticPr fontId="4"/>
  <dataValidations count="5">
    <dataValidation imeMode="hiragana" allowBlank="1" showInputMessage="1" showErrorMessage="1" prompt="品名を入力" sqref="D8:T9 C7:C29 D12:T29" xr:uid="{00000000-0002-0000-0300-000000000000}"/>
    <dataValidation imeMode="off" allowBlank="1" showInputMessage="1" showErrorMessage="1" prompt="数量を入力" sqref="U7:X29" xr:uid="{00000000-0002-0000-0300-000001000000}"/>
    <dataValidation imeMode="off" allowBlank="1" showInputMessage="1" showErrorMessage="1" prompt="単価を入力" sqref="AB7:AF29" xr:uid="{00000000-0002-0000-0300-000002000000}"/>
    <dataValidation imeMode="hiragana" allowBlank="1" showInputMessage="1" showErrorMessage="1" prompt="備考があれば入力" sqref="AN7:AT29" xr:uid="{00000000-0002-0000-0300-000003000000}"/>
    <dataValidation type="list" imeMode="hiragana" allowBlank="1" showInputMessage="1" showErrorMessage="1" prompt="ボタンを押し単位を入力" sqref="Y7:AA29" xr:uid="{00000000-0002-0000-0300-000004000000}">
      <formula1>$CS$104:$CS$116</formula1>
    </dataValidation>
  </dataValidations>
  <pageMargins left="0.39370078740157483" right="0.39370078740157483" top="0.59055118110236227" bottom="0.47244094488188981" header="0.51181102362204722" footer="0.31496062992125984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5</xdr:col>
                    <xdr:colOff>152400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19</xdr:col>
                    <xdr:colOff>152400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42</xdr:col>
                    <xdr:colOff>152400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0</xdr:col>
                    <xdr:colOff>476250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0</xdr:col>
                    <xdr:colOff>476250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0</xdr:col>
                    <xdr:colOff>476250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0</xdr:col>
                    <xdr:colOff>476250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0</xdr:col>
                    <xdr:colOff>476250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0</xdr:col>
                    <xdr:colOff>476250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0</xdr:col>
                    <xdr:colOff>476250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0</xdr:col>
                    <xdr:colOff>476250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0</xdr:col>
                    <xdr:colOff>476250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0</xdr:col>
                    <xdr:colOff>476250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0</xdr:col>
                    <xdr:colOff>476250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0</xdr:col>
                    <xdr:colOff>476250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0</xdr:col>
                    <xdr:colOff>476250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0</xdr:col>
                    <xdr:colOff>476250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0</xdr:col>
                    <xdr:colOff>476250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0</xdr:col>
                    <xdr:colOff>476250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0</xdr:col>
                    <xdr:colOff>476250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0</xdr:col>
                    <xdr:colOff>476250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0</xdr:col>
                    <xdr:colOff>476250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0</xdr:col>
                    <xdr:colOff>476250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0</xdr:col>
                    <xdr:colOff>476250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0</xdr:col>
                    <xdr:colOff>476250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0</xdr:col>
                    <xdr:colOff>476250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4" name="表示2">
              <controlPr defaultSize="0" print="0" autoFill="0" autoPict="0" macro="[0]!ThisWorkbook.表示12">
                <anchor moveWithCells="1" sizeWithCells="1">
                  <from>
                    <xdr:col>29</xdr:col>
                    <xdr:colOff>152400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A17" sqref="A1:XFD1048576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08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AL3" s="5"/>
      <c r="AM3" s="5"/>
      <c r="AN3" s="211"/>
      <c r="AO3" s="211"/>
      <c r="AP3" s="211"/>
      <c r="AQ3" s="211"/>
      <c r="AR3" s="211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35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7"/>
      <c r="U5" s="111"/>
      <c r="V5" s="112"/>
      <c r="W5" s="112"/>
      <c r="X5" s="112"/>
      <c r="Y5" s="112"/>
      <c r="Z5" s="112"/>
      <c r="AA5" s="113"/>
      <c r="AB5" s="111"/>
      <c r="AC5" s="112"/>
      <c r="AD5" s="112"/>
      <c r="AE5" s="112"/>
      <c r="AF5" s="112"/>
      <c r="AG5" s="111"/>
      <c r="AH5" s="112"/>
      <c r="AI5" s="112"/>
      <c r="AJ5" s="112"/>
      <c r="AK5" s="112"/>
      <c r="AL5" s="112"/>
      <c r="AM5" s="113"/>
      <c r="AN5" s="111"/>
      <c r="AO5" s="112"/>
      <c r="AP5" s="112"/>
      <c r="AQ5" s="112"/>
      <c r="AR5" s="112"/>
      <c r="AS5" s="112"/>
      <c r="AT5" s="117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38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40"/>
      <c r="U6" s="114"/>
      <c r="V6" s="115"/>
      <c r="W6" s="115"/>
      <c r="X6" s="115"/>
      <c r="Y6" s="115"/>
      <c r="Z6" s="115"/>
      <c r="AA6" s="116"/>
      <c r="AB6" s="114"/>
      <c r="AC6" s="115"/>
      <c r="AD6" s="115"/>
      <c r="AE6" s="115"/>
      <c r="AF6" s="115"/>
      <c r="AG6" s="114"/>
      <c r="AH6" s="115"/>
      <c r="AI6" s="115"/>
      <c r="AJ6" s="115"/>
      <c r="AK6" s="115"/>
      <c r="AL6" s="115"/>
      <c r="AM6" s="116"/>
      <c r="AN6" s="114"/>
      <c r="AO6" s="115"/>
      <c r="AP6" s="115"/>
      <c r="AQ6" s="115"/>
      <c r="AR6" s="115"/>
      <c r="AS6" s="115"/>
      <c r="AT6" s="118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12"/>
      <c r="D7" s="213"/>
      <c r="E7" s="213"/>
      <c r="F7" s="213"/>
      <c r="G7" s="213"/>
      <c r="H7" s="213"/>
      <c r="I7" s="213"/>
      <c r="J7" s="213"/>
      <c r="K7" s="213"/>
      <c r="L7" s="213"/>
      <c r="M7" s="213"/>
      <c r="N7" s="213"/>
      <c r="O7" s="213"/>
      <c r="P7" s="213"/>
      <c r="Q7" s="213"/>
      <c r="R7" s="213"/>
      <c r="S7" s="213"/>
      <c r="T7" s="214"/>
      <c r="U7" s="122"/>
      <c r="V7" s="123"/>
      <c r="W7" s="123"/>
      <c r="X7" s="123"/>
      <c r="Y7" s="124"/>
      <c r="Z7" s="124"/>
      <c r="AA7" s="125"/>
      <c r="AB7" s="122"/>
      <c r="AC7" s="123"/>
      <c r="AD7" s="123"/>
      <c r="AE7" s="123"/>
      <c r="AF7" s="126"/>
      <c r="AG7" s="122"/>
      <c r="AH7" s="123"/>
      <c r="AI7" s="123"/>
      <c r="AJ7" s="123"/>
      <c r="AK7" s="123"/>
      <c r="AL7" s="123"/>
      <c r="AM7" s="126"/>
      <c r="AN7" s="215"/>
      <c r="AO7" s="216"/>
      <c r="AP7" s="216"/>
      <c r="AQ7" s="216"/>
      <c r="AR7" s="216"/>
      <c r="AS7" s="216"/>
      <c r="AT7" s="217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12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3"/>
      <c r="S8" s="213"/>
      <c r="T8" s="214"/>
      <c r="U8" s="122"/>
      <c r="V8" s="123"/>
      <c r="W8" s="123"/>
      <c r="X8" s="123"/>
      <c r="Y8" s="124"/>
      <c r="Z8" s="124"/>
      <c r="AA8" s="125"/>
      <c r="AB8" s="122"/>
      <c r="AC8" s="123"/>
      <c r="AD8" s="123"/>
      <c r="AE8" s="123"/>
      <c r="AF8" s="126"/>
      <c r="AG8" s="122"/>
      <c r="AH8" s="123"/>
      <c r="AI8" s="123"/>
      <c r="AJ8" s="123"/>
      <c r="AK8" s="123"/>
      <c r="AL8" s="123"/>
      <c r="AM8" s="126"/>
      <c r="AN8" s="215"/>
      <c r="AO8" s="216"/>
      <c r="AP8" s="216"/>
      <c r="AQ8" s="216"/>
      <c r="AR8" s="216"/>
      <c r="AS8" s="216"/>
      <c r="AT8" s="217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12"/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3"/>
      <c r="R9" s="213"/>
      <c r="S9" s="213"/>
      <c r="T9" s="214"/>
      <c r="U9" s="122"/>
      <c r="V9" s="123"/>
      <c r="W9" s="123"/>
      <c r="X9" s="123"/>
      <c r="Y9" s="124"/>
      <c r="Z9" s="124"/>
      <c r="AA9" s="125"/>
      <c r="AB9" s="122"/>
      <c r="AC9" s="123"/>
      <c r="AD9" s="123"/>
      <c r="AE9" s="123"/>
      <c r="AF9" s="126"/>
      <c r="AG9" s="122"/>
      <c r="AH9" s="123"/>
      <c r="AI9" s="123"/>
      <c r="AJ9" s="123"/>
      <c r="AK9" s="123"/>
      <c r="AL9" s="123"/>
      <c r="AM9" s="126"/>
      <c r="AN9" s="215"/>
      <c r="AO9" s="216"/>
      <c r="AP9" s="216"/>
      <c r="AQ9" s="216"/>
      <c r="AR9" s="216"/>
      <c r="AS9" s="216"/>
      <c r="AT9" s="217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12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  <c r="Q10" s="213"/>
      <c r="R10" s="213"/>
      <c r="S10" s="213"/>
      <c r="T10" s="214"/>
      <c r="U10" s="122"/>
      <c r="V10" s="123"/>
      <c r="W10" s="123"/>
      <c r="X10" s="123"/>
      <c r="Y10" s="124"/>
      <c r="Z10" s="124"/>
      <c r="AA10" s="125"/>
      <c r="AB10" s="122"/>
      <c r="AC10" s="123"/>
      <c r="AD10" s="123"/>
      <c r="AE10" s="123"/>
      <c r="AF10" s="126"/>
      <c r="AG10" s="122"/>
      <c r="AH10" s="123"/>
      <c r="AI10" s="123"/>
      <c r="AJ10" s="123"/>
      <c r="AK10" s="123"/>
      <c r="AL10" s="123"/>
      <c r="AM10" s="126"/>
      <c r="AN10" s="215"/>
      <c r="AO10" s="216"/>
      <c r="AP10" s="216"/>
      <c r="AQ10" s="216"/>
      <c r="AR10" s="216"/>
      <c r="AS10" s="216"/>
      <c r="AT10" s="217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12"/>
      <c r="D11" s="213"/>
      <c r="E11" s="213"/>
      <c r="F11" s="213"/>
      <c r="G11" s="213"/>
      <c r="H11" s="213"/>
      <c r="I11" s="213"/>
      <c r="J11" s="213"/>
      <c r="K11" s="213"/>
      <c r="L11" s="213"/>
      <c r="M11" s="213"/>
      <c r="N11" s="213"/>
      <c r="O11" s="213"/>
      <c r="P11" s="213"/>
      <c r="Q11" s="213"/>
      <c r="R11" s="213"/>
      <c r="S11" s="213"/>
      <c r="T11" s="214"/>
      <c r="U11" s="122"/>
      <c r="V11" s="123"/>
      <c r="W11" s="123"/>
      <c r="X11" s="123"/>
      <c r="Y11" s="124"/>
      <c r="Z11" s="124"/>
      <c r="AA11" s="125"/>
      <c r="AB11" s="122"/>
      <c r="AC11" s="123"/>
      <c r="AD11" s="123"/>
      <c r="AE11" s="123"/>
      <c r="AF11" s="126"/>
      <c r="AG11" s="122"/>
      <c r="AH11" s="123"/>
      <c r="AI11" s="123"/>
      <c r="AJ11" s="123"/>
      <c r="AK11" s="123"/>
      <c r="AL11" s="123"/>
      <c r="AM11" s="126"/>
      <c r="AN11" s="215"/>
      <c r="AO11" s="216"/>
      <c r="AP11" s="216"/>
      <c r="AQ11" s="216"/>
      <c r="AR11" s="216"/>
      <c r="AS11" s="216"/>
      <c r="AT11" s="217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12"/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213"/>
      <c r="O12" s="213"/>
      <c r="P12" s="213"/>
      <c r="Q12" s="213"/>
      <c r="R12" s="213"/>
      <c r="S12" s="213"/>
      <c r="T12" s="214"/>
      <c r="U12" s="122"/>
      <c r="V12" s="123"/>
      <c r="W12" s="123"/>
      <c r="X12" s="123"/>
      <c r="Y12" s="124"/>
      <c r="Z12" s="124"/>
      <c r="AA12" s="125"/>
      <c r="AB12" s="122"/>
      <c r="AC12" s="123"/>
      <c r="AD12" s="123"/>
      <c r="AE12" s="123"/>
      <c r="AF12" s="126"/>
      <c r="AG12" s="122"/>
      <c r="AH12" s="123"/>
      <c r="AI12" s="123"/>
      <c r="AJ12" s="123"/>
      <c r="AK12" s="123"/>
      <c r="AL12" s="123"/>
      <c r="AM12" s="126"/>
      <c r="AN12" s="215"/>
      <c r="AO12" s="216"/>
      <c r="AP12" s="216"/>
      <c r="AQ12" s="216"/>
      <c r="AR12" s="216"/>
      <c r="AS12" s="216"/>
      <c r="AT12" s="217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12"/>
      <c r="D13" s="213"/>
      <c r="E13" s="213"/>
      <c r="F13" s="213"/>
      <c r="G13" s="213"/>
      <c r="H13" s="213"/>
      <c r="I13" s="213"/>
      <c r="J13" s="213"/>
      <c r="K13" s="213"/>
      <c r="L13" s="213"/>
      <c r="M13" s="213"/>
      <c r="N13" s="213"/>
      <c r="O13" s="213"/>
      <c r="P13" s="213"/>
      <c r="Q13" s="213"/>
      <c r="R13" s="213"/>
      <c r="S13" s="213"/>
      <c r="T13" s="214"/>
      <c r="U13" s="122"/>
      <c r="V13" s="123"/>
      <c r="W13" s="123"/>
      <c r="X13" s="123"/>
      <c r="Y13" s="124"/>
      <c r="Z13" s="124"/>
      <c r="AA13" s="125"/>
      <c r="AB13" s="122"/>
      <c r="AC13" s="123"/>
      <c r="AD13" s="123"/>
      <c r="AE13" s="123"/>
      <c r="AF13" s="126"/>
      <c r="AG13" s="122"/>
      <c r="AH13" s="123"/>
      <c r="AI13" s="123"/>
      <c r="AJ13" s="123"/>
      <c r="AK13" s="123"/>
      <c r="AL13" s="123"/>
      <c r="AM13" s="126"/>
      <c r="AN13" s="215"/>
      <c r="AO13" s="216"/>
      <c r="AP13" s="216"/>
      <c r="AQ13" s="216"/>
      <c r="AR13" s="216"/>
      <c r="AS13" s="216"/>
      <c r="AT13" s="217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12"/>
      <c r="D14" s="213"/>
      <c r="E14" s="213"/>
      <c r="F14" s="213"/>
      <c r="G14" s="213"/>
      <c r="H14" s="213"/>
      <c r="I14" s="213"/>
      <c r="J14" s="213"/>
      <c r="K14" s="213"/>
      <c r="L14" s="213"/>
      <c r="M14" s="213"/>
      <c r="N14" s="213"/>
      <c r="O14" s="213"/>
      <c r="P14" s="213"/>
      <c r="Q14" s="213"/>
      <c r="R14" s="213"/>
      <c r="S14" s="213"/>
      <c r="T14" s="214"/>
      <c r="U14" s="122"/>
      <c r="V14" s="123"/>
      <c r="W14" s="123"/>
      <c r="X14" s="123"/>
      <c r="Y14" s="124"/>
      <c r="Z14" s="124"/>
      <c r="AA14" s="125"/>
      <c r="AB14" s="122"/>
      <c r="AC14" s="123"/>
      <c r="AD14" s="123"/>
      <c r="AE14" s="123"/>
      <c r="AF14" s="126"/>
      <c r="AG14" s="122"/>
      <c r="AH14" s="123"/>
      <c r="AI14" s="123"/>
      <c r="AJ14" s="123"/>
      <c r="AK14" s="123"/>
      <c r="AL14" s="123"/>
      <c r="AM14" s="126"/>
      <c r="AN14" s="215"/>
      <c r="AO14" s="216"/>
      <c r="AP14" s="216"/>
      <c r="AQ14" s="216"/>
      <c r="AR14" s="216"/>
      <c r="AS14" s="216"/>
      <c r="AT14" s="217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12"/>
      <c r="D15" s="213"/>
      <c r="E15" s="213"/>
      <c r="F15" s="213"/>
      <c r="G15" s="213"/>
      <c r="H15" s="213"/>
      <c r="I15" s="213"/>
      <c r="J15" s="213"/>
      <c r="K15" s="213"/>
      <c r="L15" s="213"/>
      <c r="M15" s="213"/>
      <c r="N15" s="213"/>
      <c r="O15" s="213"/>
      <c r="P15" s="213"/>
      <c r="Q15" s="213"/>
      <c r="R15" s="213"/>
      <c r="S15" s="213"/>
      <c r="T15" s="214"/>
      <c r="U15" s="122"/>
      <c r="V15" s="123"/>
      <c r="W15" s="123"/>
      <c r="X15" s="123"/>
      <c r="Y15" s="124"/>
      <c r="Z15" s="124"/>
      <c r="AA15" s="125"/>
      <c r="AB15" s="122"/>
      <c r="AC15" s="123"/>
      <c r="AD15" s="123"/>
      <c r="AE15" s="123"/>
      <c r="AF15" s="126"/>
      <c r="AG15" s="122"/>
      <c r="AH15" s="123"/>
      <c r="AI15" s="123"/>
      <c r="AJ15" s="123"/>
      <c r="AK15" s="123"/>
      <c r="AL15" s="123"/>
      <c r="AM15" s="126"/>
      <c r="AN15" s="215"/>
      <c r="AO15" s="216"/>
      <c r="AP15" s="216"/>
      <c r="AQ15" s="216"/>
      <c r="AR15" s="216"/>
      <c r="AS15" s="216"/>
      <c r="AT15" s="217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12"/>
      <c r="D16" s="213"/>
      <c r="E16" s="213"/>
      <c r="F16" s="213"/>
      <c r="G16" s="213"/>
      <c r="H16" s="213"/>
      <c r="I16" s="213"/>
      <c r="J16" s="213"/>
      <c r="K16" s="213"/>
      <c r="L16" s="213"/>
      <c r="M16" s="213"/>
      <c r="N16" s="213"/>
      <c r="O16" s="213"/>
      <c r="P16" s="213"/>
      <c r="Q16" s="213"/>
      <c r="R16" s="213"/>
      <c r="S16" s="213"/>
      <c r="T16" s="214"/>
      <c r="U16" s="122"/>
      <c r="V16" s="123"/>
      <c r="W16" s="123"/>
      <c r="X16" s="123"/>
      <c r="Y16" s="124"/>
      <c r="Z16" s="124"/>
      <c r="AA16" s="125"/>
      <c r="AB16" s="122"/>
      <c r="AC16" s="123"/>
      <c r="AD16" s="123"/>
      <c r="AE16" s="123"/>
      <c r="AF16" s="126"/>
      <c r="AG16" s="122"/>
      <c r="AH16" s="123"/>
      <c r="AI16" s="123"/>
      <c r="AJ16" s="123"/>
      <c r="AK16" s="123"/>
      <c r="AL16" s="123"/>
      <c r="AM16" s="126"/>
      <c r="AN16" s="215"/>
      <c r="AO16" s="216"/>
      <c r="AP16" s="216"/>
      <c r="AQ16" s="216"/>
      <c r="AR16" s="216"/>
      <c r="AS16" s="216"/>
      <c r="AT16" s="217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12"/>
      <c r="D17" s="213"/>
      <c r="E17" s="213"/>
      <c r="F17" s="213"/>
      <c r="G17" s="213"/>
      <c r="H17" s="213"/>
      <c r="I17" s="213"/>
      <c r="J17" s="213"/>
      <c r="K17" s="213"/>
      <c r="L17" s="213"/>
      <c r="M17" s="213"/>
      <c r="N17" s="213"/>
      <c r="O17" s="213"/>
      <c r="P17" s="213"/>
      <c r="Q17" s="213"/>
      <c r="R17" s="213"/>
      <c r="S17" s="213"/>
      <c r="T17" s="214"/>
      <c r="U17" s="122"/>
      <c r="V17" s="123"/>
      <c r="W17" s="123"/>
      <c r="X17" s="123"/>
      <c r="Y17" s="124"/>
      <c r="Z17" s="124"/>
      <c r="AA17" s="125"/>
      <c r="AB17" s="122"/>
      <c r="AC17" s="123"/>
      <c r="AD17" s="123"/>
      <c r="AE17" s="123"/>
      <c r="AF17" s="126"/>
      <c r="AG17" s="122"/>
      <c r="AH17" s="123"/>
      <c r="AI17" s="123"/>
      <c r="AJ17" s="123"/>
      <c r="AK17" s="123"/>
      <c r="AL17" s="123"/>
      <c r="AM17" s="126"/>
      <c r="AN17" s="215"/>
      <c r="AO17" s="216"/>
      <c r="AP17" s="216"/>
      <c r="AQ17" s="216"/>
      <c r="AR17" s="216"/>
      <c r="AS17" s="216"/>
      <c r="AT17" s="217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12"/>
      <c r="D18" s="213"/>
      <c r="E18" s="213"/>
      <c r="F18" s="213"/>
      <c r="G18" s="213"/>
      <c r="H18" s="213"/>
      <c r="I18" s="213"/>
      <c r="J18" s="213"/>
      <c r="K18" s="213"/>
      <c r="L18" s="213"/>
      <c r="M18" s="213"/>
      <c r="N18" s="213"/>
      <c r="O18" s="213"/>
      <c r="P18" s="213"/>
      <c r="Q18" s="213"/>
      <c r="R18" s="213"/>
      <c r="S18" s="213"/>
      <c r="T18" s="214"/>
      <c r="U18" s="122"/>
      <c r="V18" s="123"/>
      <c r="W18" s="123"/>
      <c r="X18" s="123"/>
      <c r="Y18" s="124"/>
      <c r="Z18" s="124"/>
      <c r="AA18" s="125"/>
      <c r="AB18" s="122"/>
      <c r="AC18" s="123"/>
      <c r="AD18" s="123"/>
      <c r="AE18" s="123"/>
      <c r="AF18" s="126"/>
      <c r="AG18" s="122"/>
      <c r="AH18" s="123"/>
      <c r="AI18" s="123"/>
      <c r="AJ18" s="123"/>
      <c r="AK18" s="123"/>
      <c r="AL18" s="123"/>
      <c r="AM18" s="126"/>
      <c r="AN18" s="215"/>
      <c r="AO18" s="216"/>
      <c r="AP18" s="216"/>
      <c r="AQ18" s="216"/>
      <c r="AR18" s="216"/>
      <c r="AS18" s="216"/>
      <c r="AT18" s="217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12"/>
      <c r="D19" s="213"/>
      <c r="E19" s="213"/>
      <c r="F19" s="213"/>
      <c r="G19" s="213"/>
      <c r="H19" s="213"/>
      <c r="I19" s="213"/>
      <c r="J19" s="213"/>
      <c r="K19" s="213"/>
      <c r="L19" s="213"/>
      <c r="M19" s="213"/>
      <c r="N19" s="213"/>
      <c r="O19" s="213"/>
      <c r="P19" s="213"/>
      <c r="Q19" s="213"/>
      <c r="R19" s="213"/>
      <c r="S19" s="213"/>
      <c r="T19" s="214"/>
      <c r="U19" s="122"/>
      <c r="V19" s="123"/>
      <c r="W19" s="123"/>
      <c r="X19" s="123"/>
      <c r="Y19" s="124"/>
      <c r="Z19" s="124"/>
      <c r="AA19" s="125"/>
      <c r="AB19" s="122"/>
      <c r="AC19" s="123"/>
      <c r="AD19" s="123"/>
      <c r="AE19" s="123"/>
      <c r="AF19" s="126"/>
      <c r="AG19" s="122"/>
      <c r="AH19" s="123"/>
      <c r="AI19" s="123"/>
      <c r="AJ19" s="123"/>
      <c r="AK19" s="123"/>
      <c r="AL19" s="123"/>
      <c r="AM19" s="126"/>
      <c r="AN19" s="215"/>
      <c r="AO19" s="216"/>
      <c r="AP19" s="216"/>
      <c r="AQ19" s="216"/>
      <c r="AR19" s="216"/>
      <c r="AS19" s="216"/>
      <c r="AT19" s="217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212"/>
      <c r="D20" s="213"/>
      <c r="E20" s="213"/>
      <c r="F20" s="213"/>
      <c r="G20" s="213"/>
      <c r="H20" s="213"/>
      <c r="I20" s="213"/>
      <c r="J20" s="213"/>
      <c r="K20" s="213"/>
      <c r="L20" s="213"/>
      <c r="M20" s="213"/>
      <c r="N20" s="213"/>
      <c r="O20" s="213"/>
      <c r="P20" s="213"/>
      <c r="Q20" s="213"/>
      <c r="R20" s="213"/>
      <c r="S20" s="213"/>
      <c r="T20" s="214"/>
      <c r="U20" s="122"/>
      <c r="V20" s="123"/>
      <c r="W20" s="123"/>
      <c r="X20" s="123"/>
      <c r="Y20" s="124"/>
      <c r="Z20" s="124"/>
      <c r="AA20" s="125"/>
      <c r="AB20" s="122"/>
      <c r="AC20" s="123"/>
      <c r="AD20" s="123"/>
      <c r="AE20" s="123"/>
      <c r="AF20" s="126"/>
      <c r="AG20" s="122"/>
      <c r="AH20" s="123"/>
      <c r="AI20" s="123"/>
      <c r="AJ20" s="123"/>
      <c r="AK20" s="123"/>
      <c r="AL20" s="123"/>
      <c r="AM20" s="126"/>
      <c r="AN20" s="215"/>
      <c r="AO20" s="216"/>
      <c r="AP20" s="216"/>
      <c r="AQ20" s="216"/>
      <c r="AR20" s="216"/>
      <c r="AS20" s="216"/>
      <c r="AT20" s="217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212"/>
      <c r="D21" s="213"/>
      <c r="E21" s="213"/>
      <c r="F21" s="213"/>
      <c r="G21" s="213"/>
      <c r="H21" s="213"/>
      <c r="I21" s="213"/>
      <c r="J21" s="213"/>
      <c r="K21" s="213"/>
      <c r="L21" s="213"/>
      <c r="M21" s="213"/>
      <c r="N21" s="213"/>
      <c r="O21" s="213"/>
      <c r="P21" s="213"/>
      <c r="Q21" s="213"/>
      <c r="R21" s="213"/>
      <c r="S21" s="213"/>
      <c r="T21" s="214"/>
      <c r="U21" s="122"/>
      <c r="V21" s="123"/>
      <c r="W21" s="123"/>
      <c r="X21" s="123"/>
      <c r="Y21" s="124"/>
      <c r="Z21" s="124"/>
      <c r="AA21" s="125"/>
      <c r="AB21" s="122"/>
      <c r="AC21" s="123"/>
      <c r="AD21" s="123"/>
      <c r="AE21" s="123"/>
      <c r="AF21" s="126"/>
      <c r="AG21" s="122"/>
      <c r="AH21" s="123"/>
      <c r="AI21" s="123"/>
      <c r="AJ21" s="123"/>
      <c r="AK21" s="123"/>
      <c r="AL21" s="123"/>
      <c r="AM21" s="126"/>
      <c r="AN21" s="215"/>
      <c r="AO21" s="216"/>
      <c r="AP21" s="216"/>
      <c r="AQ21" s="216"/>
      <c r="AR21" s="216"/>
      <c r="AS21" s="216"/>
      <c r="AT21" s="217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212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4"/>
      <c r="U22" s="122"/>
      <c r="V22" s="123"/>
      <c r="W22" s="123"/>
      <c r="X22" s="123"/>
      <c r="Y22" s="124"/>
      <c r="Z22" s="124"/>
      <c r="AA22" s="125"/>
      <c r="AB22" s="122"/>
      <c r="AC22" s="123"/>
      <c r="AD22" s="123"/>
      <c r="AE22" s="123"/>
      <c r="AF22" s="126"/>
      <c r="AG22" s="122"/>
      <c r="AH22" s="123"/>
      <c r="AI22" s="123"/>
      <c r="AJ22" s="123"/>
      <c r="AK22" s="123"/>
      <c r="AL22" s="123"/>
      <c r="AM22" s="126"/>
      <c r="AN22" s="228"/>
      <c r="AO22" s="229"/>
      <c r="AP22" s="229"/>
      <c r="AQ22" s="229"/>
      <c r="AR22" s="229"/>
      <c r="AS22" s="229"/>
      <c r="AT22" s="230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12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13"/>
      <c r="T23" s="214"/>
      <c r="U23" s="122"/>
      <c r="V23" s="123"/>
      <c r="W23" s="123"/>
      <c r="X23" s="123"/>
      <c r="Y23" s="124"/>
      <c r="Z23" s="124"/>
      <c r="AA23" s="125"/>
      <c r="AB23" s="122"/>
      <c r="AC23" s="123"/>
      <c r="AD23" s="123"/>
      <c r="AE23" s="123"/>
      <c r="AF23" s="126"/>
      <c r="AG23" s="122"/>
      <c r="AH23" s="123"/>
      <c r="AI23" s="123"/>
      <c r="AJ23" s="123"/>
      <c r="AK23" s="123"/>
      <c r="AL23" s="123"/>
      <c r="AM23" s="126"/>
      <c r="AN23" s="228"/>
      <c r="AO23" s="229"/>
      <c r="AP23" s="229"/>
      <c r="AQ23" s="229"/>
      <c r="AR23" s="229"/>
      <c r="AS23" s="229"/>
      <c r="AT23" s="230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12"/>
      <c r="D24" s="213"/>
      <c r="E24" s="213"/>
      <c r="F24" s="213"/>
      <c r="G24" s="213"/>
      <c r="H24" s="213"/>
      <c r="I24" s="213"/>
      <c r="J24" s="213"/>
      <c r="K24" s="213"/>
      <c r="L24" s="213"/>
      <c r="M24" s="213"/>
      <c r="N24" s="213"/>
      <c r="O24" s="213"/>
      <c r="P24" s="213"/>
      <c r="Q24" s="213"/>
      <c r="R24" s="213"/>
      <c r="S24" s="213"/>
      <c r="T24" s="214"/>
      <c r="U24" s="122"/>
      <c r="V24" s="123"/>
      <c r="W24" s="123"/>
      <c r="X24" s="123"/>
      <c r="Y24" s="124"/>
      <c r="Z24" s="124"/>
      <c r="AA24" s="125"/>
      <c r="AB24" s="122"/>
      <c r="AC24" s="123"/>
      <c r="AD24" s="123"/>
      <c r="AE24" s="123"/>
      <c r="AF24" s="126"/>
      <c r="AG24" s="122"/>
      <c r="AH24" s="123"/>
      <c r="AI24" s="123"/>
      <c r="AJ24" s="123"/>
      <c r="AK24" s="123"/>
      <c r="AL24" s="123"/>
      <c r="AM24" s="126"/>
      <c r="AN24" s="228"/>
      <c r="AO24" s="229"/>
      <c r="AP24" s="229"/>
      <c r="AQ24" s="229"/>
      <c r="AR24" s="229"/>
      <c r="AS24" s="229"/>
      <c r="AT24" s="230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12"/>
      <c r="D25" s="213"/>
      <c r="E25" s="213"/>
      <c r="F25" s="213"/>
      <c r="G25" s="213"/>
      <c r="H25" s="213"/>
      <c r="I25" s="213"/>
      <c r="J25" s="213"/>
      <c r="K25" s="213"/>
      <c r="L25" s="213"/>
      <c r="M25" s="213"/>
      <c r="N25" s="213"/>
      <c r="O25" s="213"/>
      <c r="P25" s="213"/>
      <c r="Q25" s="213"/>
      <c r="R25" s="213"/>
      <c r="S25" s="213"/>
      <c r="T25" s="214"/>
      <c r="U25" s="122"/>
      <c r="V25" s="123"/>
      <c r="W25" s="123"/>
      <c r="X25" s="123"/>
      <c r="Y25" s="124"/>
      <c r="Z25" s="124"/>
      <c r="AA25" s="125"/>
      <c r="AB25" s="122"/>
      <c r="AC25" s="123"/>
      <c r="AD25" s="123"/>
      <c r="AE25" s="123"/>
      <c r="AF25" s="126"/>
      <c r="AG25" s="122"/>
      <c r="AH25" s="123"/>
      <c r="AI25" s="123"/>
      <c r="AJ25" s="123"/>
      <c r="AK25" s="123"/>
      <c r="AL25" s="123"/>
      <c r="AM25" s="126"/>
      <c r="AN25" s="228"/>
      <c r="AO25" s="229"/>
      <c r="AP25" s="229"/>
      <c r="AQ25" s="229"/>
      <c r="AR25" s="229"/>
      <c r="AS25" s="229"/>
      <c r="AT25" s="230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12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4"/>
      <c r="U26" s="122"/>
      <c r="V26" s="123"/>
      <c r="W26" s="123"/>
      <c r="X26" s="123"/>
      <c r="Y26" s="124"/>
      <c r="Z26" s="124"/>
      <c r="AA26" s="125"/>
      <c r="AB26" s="122"/>
      <c r="AC26" s="123"/>
      <c r="AD26" s="123"/>
      <c r="AE26" s="123"/>
      <c r="AF26" s="126"/>
      <c r="AG26" s="122"/>
      <c r="AH26" s="123"/>
      <c r="AI26" s="123"/>
      <c r="AJ26" s="123"/>
      <c r="AK26" s="123"/>
      <c r="AL26" s="123"/>
      <c r="AM26" s="126"/>
      <c r="AN26" s="228"/>
      <c r="AO26" s="229"/>
      <c r="AP26" s="229"/>
      <c r="AQ26" s="229"/>
      <c r="AR26" s="229"/>
      <c r="AS26" s="229"/>
      <c r="AT26" s="230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12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4"/>
      <c r="U27" s="122"/>
      <c r="V27" s="123"/>
      <c r="W27" s="123"/>
      <c r="X27" s="123"/>
      <c r="Y27" s="124"/>
      <c r="Z27" s="124"/>
      <c r="AA27" s="125"/>
      <c r="AB27" s="122"/>
      <c r="AC27" s="123"/>
      <c r="AD27" s="123"/>
      <c r="AE27" s="123"/>
      <c r="AF27" s="126"/>
      <c r="AG27" s="122"/>
      <c r="AH27" s="123"/>
      <c r="AI27" s="123"/>
      <c r="AJ27" s="123"/>
      <c r="AK27" s="123"/>
      <c r="AL27" s="123"/>
      <c r="AM27" s="126"/>
      <c r="AN27" s="228"/>
      <c r="AO27" s="229"/>
      <c r="AP27" s="229"/>
      <c r="AQ27" s="229"/>
      <c r="AR27" s="229"/>
      <c r="AS27" s="229"/>
      <c r="AT27" s="230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12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4"/>
      <c r="U28" s="122"/>
      <c r="V28" s="123"/>
      <c r="W28" s="123"/>
      <c r="X28" s="123"/>
      <c r="Y28" s="124"/>
      <c r="Z28" s="124"/>
      <c r="AA28" s="125"/>
      <c r="AB28" s="122"/>
      <c r="AC28" s="123"/>
      <c r="AD28" s="123"/>
      <c r="AE28" s="123"/>
      <c r="AF28" s="126"/>
      <c r="AG28" s="122"/>
      <c r="AH28" s="123"/>
      <c r="AI28" s="123"/>
      <c r="AJ28" s="123"/>
      <c r="AK28" s="123"/>
      <c r="AL28" s="123"/>
      <c r="AM28" s="126"/>
      <c r="AN28" s="228"/>
      <c r="AO28" s="229"/>
      <c r="AP28" s="229"/>
      <c r="AQ28" s="229"/>
      <c r="AR28" s="229"/>
      <c r="AS28" s="229"/>
      <c r="AT28" s="230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/>
      <c r="C29" s="212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4"/>
      <c r="U29" s="122"/>
      <c r="V29" s="123"/>
      <c r="W29" s="123"/>
      <c r="X29" s="123"/>
      <c r="Y29" s="124"/>
      <c r="Z29" s="124"/>
      <c r="AA29" s="125"/>
      <c r="AB29" s="225"/>
      <c r="AC29" s="226"/>
      <c r="AD29" s="226"/>
      <c r="AE29" s="226"/>
      <c r="AF29" s="227"/>
      <c r="AG29" s="225"/>
      <c r="AH29" s="226"/>
      <c r="AI29" s="226"/>
      <c r="AJ29" s="226"/>
      <c r="AK29" s="226"/>
      <c r="AL29" s="226"/>
      <c r="AM29" s="227"/>
      <c r="AN29" s="228"/>
      <c r="AO29" s="229"/>
      <c r="AP29" s="229"/>
      <c r="AQ29" s="229"/>
      <c r="AR29" s="229"/>
      <c r="AS29" s="229"/>
      <c r="AT29" s="230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57"/>
      <c r="V30" s="158"/>
      <c r="W30" s="158"/>
      <c r="X30" s="158"/>
      <c r="Y30" s="158"/>
      <c r="Z30" s="158"/>
      <c r="AA30" s="159"/>
      <c r="AB30" s="218"/>
      <c r="AC30" s="219"/>
      <c r="AD30" s="219"/>
      <c r="AE30" s="219"/>
      <c r="AF30" s="219"/>
      <c r="AG30" s="219"/>
      <c r="AH30" s="219"/>
      <c r="AI30" s="219"/>
      <c r="AJ30" s="219"/>
      <c r="AK30" s="219"/>
      <c r="AL30" s="219"/>
      <c r="AM30" s="219"/>
      <c r="AN30" s="220"/>
      <c r="AO30" s="221"/>
      <c r="AP30" s="221"/>
      <c r="AQ30" s="221"/>
      <c r="AR30" s="221"/>
      <c r="AS30" s="221"/>
      <c r="AT30" s="222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/>
      <c r="CT103" s="14"/>
    </row>
    <row r="104" spans="97:98" ht="13.5" customHeight="1" x14ac:dyDescent="0.15">
      <c r="CS104" s="58"/>
      <c r="CT104" s="18"/>
    </row>
    <row r="105" spans="97:98" ht="13.5" customHeight="1" x14ac:dyDescent="0.15">
      <c r="CS105" s="58"/>
      <c r="CT105" s="18"/>
    </row>
    <row r="106" spans="97:98" ht="13.5" customHeight="1" x14ac:dyDescent="0.15">
      <c r="CS106" s="58"/>
      <c r="CT106" s="21"/>
    </row>
    <row r="107" spans="97:98" ht="13.5" customHeight="1" x14ac:dyDescent="0.15">
      <c r="CS107" s="58"/>
      <c r="CT107" s="18"/>
    </row>
    <row r="108" spans="97:98" ht="13.5" customHeight="1" x14ac:dyDescent="0.15">
      <c r="CS108" s="58"/>
      <c r="CT108" s="18"/>
    </row>
    <row r="109" spans="97:98" ht="13.5" customHeight="1" x14ac:dyDescent="0.15">
      <c r="CS109" s="58"/>
      <c r="CT109" s="20"/>
    </row>
    <row r="110" spans="97:98" ht="13.5" customHeight="1" x14ac:dyDescent="0.15">
      <c r="CS110" s="58"/>
      <c r="CT110" s="20"/>
    </row>
    <row r="111" spans="97:98" ht="13.5" customHeight="1" x14ac:dyDescent="0.15">
      <c r="CS111" s="58"/>
      <c r="CT111" s="18"/>
    </row>
    <row r="112" spans="97:98" ht="13.5" customHeight="1" x14ac:dyDescent="0.15">
      <c r="CS112" s="58"/>
      <c r="CT112" s="18"/>
    </row>
    <row r="113" spans="87:125" ht="13.5" customHeight="1" x14ac:dyDescent="0.15">
      <c r="CS113" s="58"/>
      <c r="CT113" s="18"/>
    </row>
    <row r="114" spans="87:125" ht="13.5" customHeight="1" x14ac:dyDescent="0.15">
      <c r="CS114" s="58"/>
      <c r="CT114" s="21"/>
    </row>
    <row r="115" spans="87:125" ht="13.5" customHeight="1" x14ac:dyDescent="0.15">
      <c r="CS115" s="58"/>
      <c r="CT115" s="18"/>
    </row>
    <row r="116" spans="87:125" ht="13.5" customHeight="1" x14ac:dyDescent="0.15">
      <c r="CS116" s="58"/>
      <c r="CT116" s="18"/>
    </row>
    <row r="119" spans="87:125" ht="13.5" customHeight="1" x14ac:dyDescent="0.15">
      <c r="CI119" s="204"/>
      <c r="CJ119" s="204"/>
      <c r="CK119" s="204"/>
      <c r="CL119" s="204"/>
      <c r="CM119" s="223"/>
      <c r="CN119" s="224"/>
      <c r="CO119" s="224"/>
      <c r="CP119" s="224"/>
      <c r="CQ119" s="224"/>
      <c r="CR119" s="224"/>
      <c r="CS119" s="224"/>
      <c r="CT119" s="224"/>
      <c r="CU119" s="224"/>
      <c r="CV119" s="224"/>
      <c r="CW119" s="224"/>
      <c r="CX119" s="224"/>
      <c r="CY119" s="224"/>
      <c r="CZ119" s="224"/>
      <c r="DA119" s="224"/>
      <c r="DB119" s="224"/>
      <c r="DC119" s="224"/>
      <c r="DD119" s="224"/>
      <c r="DE119" s="224"/>
      <c r="DF119" s="224"/>
      <c r="DG119" s="224"/>
      <c r="DH119" s="224"/>
      <c r="DI119" s="224"/>
      <c r="DJ119" s="224"/>
      <c r="DK119" s="224"/>
      <c r="DO119" s="69"/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204"/>
      <c r="CJ120" s="204"/>
      <c r="CK120" s="204"/>
      <c r="CL120" s="204"/>
      <c r="CM120" s="223"/>
      <c r="CN120" s="224"/>
      <c r="CO120" s="224"/>
      <c r="CP120" s="224"/>
      <c r="CQ120" s="224"/>
      <c r="CR120" s="224"/>
      <c r="CS120" s="224"/>
      <c r="CT120" s="224"/>
      <c r="CU120" s="224"/>
      <c r="CV120" s="224"/>
      <c r="CW120" s="224"/>
      <c r="CX120" s="224"/>
      <c r="CY120" s="224"/>
      <c r="CZ120" s="224"/>
      <c r="DA120" s="224"/>
      <c r="DB120" s="224"/>
      <c r="DC120" s="224"/>
      <c r="DD120" s="224"/>
      <c r="DE120" s="224"/>
      <c r="DF120" s="224"/>
      <c r="DG120" s="224"/>
      <c r="DH120" s="224"/>
      <c r="DI120" s="224"/>
      <c r="DJ120" s="224"/>
      <c r="DK120" s="224"/>
    </row>
    <row r="178" spans="16:16" ht="13.5" customHeight="1" x14ac:dyDescent="0.15">
      <c r="P178" s="30"/>
    </row>
  </sheetData>
  <mergeCells count="152"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</mergeCells>
  <phoneticPr fontId="4"/>
  <dataValidations count="5">
    <dataValidation type="list" imeMode="hiragana" allowBlank="1" showInputMessage="1" showErrorMessage="1" prompt="ボタンを押し単位を入力" sqref="Y7:AA29" xr:uid="{00000000-0002-0000-0400-000000000000}">
      <formula1>$CS$104:$CS$116</formula1>
    </dataValidation>
    <dataValidation imeMode="hiragana" allowBlank="1" showInputMessage="1" showErrorMessage="1" prompt="備考があれば入力" sqref="AN7:AT29" xr:uid="{00000000-0002-0000-0400-000001000000}"/>
    <dataValidation imeMode="off" allowBlank="1" showInputMessage="1" showErrorMessage="1" prompt="単価を入力" sqref="AB7:AF29" xr:uid="{00000000-0002-0000-0400-000002000000}"/>
    <dataValidation imeMode="off" allowBlank="1" showInputMessage="1" showErrorMessage="1" prompt="数量を入力" sqref="U7:X29" xr:uid="{00000000-0002-0000-0400-000003000000}"/>
    <dataValidation imeMode="hiragana" allowBlank="1" showInputMessage="1" showErrorMessage="1" prompt="品名を入力" sqref="D15:T29 C7:C29" xr:uid="{00000000-0002-0000-0400-000004000000}"/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7</vt:i4>
      </vt:variant>
    </vt:vector>
  </HeadingPairs>
  <TitlesOfParts>
    <vt:vector size="14" baseType="lpstr">
      <vt:lpstr>パルス200w</vt:lpstr>
      <vt:lpstr>CLC1.5KW</vt:lpstr>
      <vt:lpstr>CLC2kw_3kw</vt:lpstr>
      <vt:lpstr>工具箱内一覧</vt:lpstr>
      <vt:lpstr>CLC付属品</vt:lpstr>
      <vt:lpstr>購入おすすめ品</vt:lpstr>
      <vt:lpstr>USBフラッシュメモリ内一覧</vt:lpstr>
      <vt:lpstr>CLC1.5KW!Print_Area</vt:lpstr>
      <vt:lpstr>CLC2kw_3kw!Print_Area</vt:lpstr>
      <vt:lpstr>CLC付属品!Print_Area</vt:lpstr>
      <vt:lpstr>USBフラッシュメモリ内一覧!Print_Area</vt:lpstr>
      <vt:lpstr>パルス200w!Print_Area</vt:lpstr>
      <vt:lpstr>工具箱内一覧!Print_Area</vt:lpstr>
      <vt:lpstr>購入おすすめ品!Print_Area</vt:lpstr>
    </vt:vector>
  </TitlesOfParts>
  <Company>有限会社アイ・ビー・エス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稲葉　秀夫</dc:creator>
  <cp:lastModifiedBy>a58</cp:lastModifiedBy>
  <cp:lastPrinted>2026-02-09T23:33:35Z</cp:lastPrinted>
  <dcterms:created xsi:type="dcterms:W3CDTF">2001-10-18T00:35:45Z</dcterms:created>
  <dcterms:modified xsi:type="dcterms:W3CDTF">2026-02-09T23:33:41Z</dcterms:modified>
</cp:coreProperties>
</file>