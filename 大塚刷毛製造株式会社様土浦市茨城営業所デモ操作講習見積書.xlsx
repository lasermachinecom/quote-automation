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4.xml" ContentType="application/vnd.openxmlformats-officedocument.drawing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drawings/drawing5.xml" ContentType="application/vnd.openxmlformats-officedocument.drawing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drawings/drawing6.xml" ContentType="application/vnd.openxmlformats-officedocument.drawing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B3A51E53-506E-48A2-B7CF-8E15B9609607}" xr6:coauthVersionLast="47" xr6:coauthVersionMax="47" xr10:uidLastSave="{00000000-0000-0000-0000-000000000000}"/>
  <bookViews>
    <workbookView xWindow="27210" yWindow="390" windowWidth="20760" windowHeight="19800" tabRatio="657" activeTab="1" xr2:uid="{00000000-000D-0000-FFFF-FFFF00000000}"/>
  </bookViews>
  <sheets>
    <sheet name="見積書A4" sheetId="1" r:id="rId1"/>
    <sheet name="請求書" sheetId="6" r:id="rId2"/>
    <sheet name="別紙購入おすすめ品" sheetId="5" r:id="rId3"/>
    <sheet name="USBフラッシュメモリ内一覧" sheetId="3" r:id="rId4"/>
    <sheet name="工具箱内付属一覧" sheetId="4" r:id="rId5"/>
    <sheet name="本体装備品一覧" sheetId="2" r:id="rId6"/>
  </sheets>
  <definedNames>
    <definedName name="_xlnm.Print_Area" localSheetId="3">USBフラッシュメモリ内一覧!$B$3:$AU$30</definedName>
    <definedName name="_xlnm.Print_Area" localSheetId="0">見積書A4!$B$2:$AT$42</definedName>
    <definedName name="_xlnm.Print_Area" localSheetId="4">工具箱内付属一覧!$B$3:$AU$30</definedName>
    <definedName name="_xlnm.Print_Area" localSheetId="1">請求書!$B$2:$AT$42</definedName>
    <definedName name="_xlnm.Print_Area" localSheetId="2">別紙購入おすすめ品!$B$3:$AU$30</definedName>
    <definedName name="_xlnm.Print_Area" localSheetId="5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6" l="1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H112" i="6"/>
  <c r="FG112" i="6"/>
  <c r="FF112" i="6"/>
  <c r="FE112" i="6"/>
  <c r="FD112" i="6"/>
  <c r="FI111" i="6"/>
  <c r="FH111" i="6"/>
  <c r="FG111" i="6"/>
  <c r="FF111" i="6"/>
  <c r="FE111" i="6"/>
  <c r="FD111" i="6"/>
  <c r="FI110" i="6"/>
  <c r="FH110" i="6"/>
  <c r="FG110" i="6"/>
  <c r="FF110" i="6"/>
  <c r="FE110" i="6"/>
  <c r="FD110" i="6"/>
  <c r="FI109" i="6"/>
  <c r="FH109" i="6"/>
  <c r="FG109" i="6"/>
  <c r="FF109" i="6"/>
  <c r="FE109" i="6"/>
  <c r="FD109" i="6"/>
  <c r="FI108" i="6"/>
  <c r="FH108" i="6"/>
  <c r="FG108" i="6"/>
  <c r="FF108" i="6"/>
  <c r="FE108" i="6"/>
  <c r="FD108" i="6"/>
  <c r="FI107" i="6"/>
  <c r="FH107" i="6"/>
  <c r="FG107" i="6"/>
  <c r="FF107" i="6"/>
  <c r="FE107" i="6"/>
  <c r="FD107" i="6"/>
  <c r="CK107" i="6"/>
  <c r="FI106" i="6"/>
  <c r="FH106" i="6"/>
  <c r="FG106" i="6"/>
  <c r="FF106" i="6"/>
  <c r="FE106" i="6"/>
  <c r="FD106" i="6"/>
  <c r="CK106" i="6"/>
  <c r="FI105" i="6"/>
  <c r="FH105" i="6"/>
  <c r="FG105" i="6"/>
  <c r="FF105" i="6"/>
  <c r="FE105" i="6"/>
  <c r="FD105" i="6"/>
  <c r="CK105" i="6"/>
  <c r="CE105" i="6"/>
  <c r="FI104" i="6"/>
  <c r="FH104" i="6"/>
  <c r="FG104" i="6"/>
  <c r="FF104" i="6"/>
  <c r="FE104" i="6"/>
  <c r="FD104" i="6"/>
  <c r="FI103" i="6"/>
  <c r="FH103" i="6"/>
  <c r="FG103" i="6"/>
  <c r="FF103" i="6"/>
  <c r="FE103" i="6"/>
  <c r="FD103" i="6"/>
  <c r="FI102" i="6"/>
  <c r="FH102" i="6"/>
  <c r="FG102" i="6"/>
  <c r="FF102" i="6"/>
  <c r="FE102" i="6"/>
  <c r="FD102" i="6"/>
  <c r="FI101" i="6"/>
  <c r="FH101" i="6"/>
  <c r="FG101" i="6"/>
  <c r="FF101" i="6"/>
  <c r="FE101" i="6"/>
  <c r="FD101" i="6"/>
  <c r="AA38" i="6"/>
  <c r="CK104" i="6" s="1"/>
  <c r="CK115" i="6" s="1"/>
  <c r="H38" i="6"/>
  <c r="AF35" i="6"/>
  <c r="AF34" i="6"/>
  <c r="AF33" i="6"/>
  <c r="AF32" i="6"/>
  <c r="AF31" i="6"/>
  <c r="AF30" i="6"/>
  <c r="AF29" i="6"/>
  <c r="AF28" i="6"/>
  <c r="AF27" i="6"/>
  <c r="AF26" i="6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P56" i="6" l="1"/>
  <c r="H39" i="6"/>
  <c r="AB7" i="2"/>
  <c r="AF29" i="1"/>
  <c r="AF30" i="1"/>
  <c r="J19" i="6" l="1"/>
  <c r="J20" i="6"/>
  <c r="AF28" i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<sst xmlns="http://schemas.openxmlformats.org/spreadsheetml/2006/main" count="359" uniqueCount="155">
  <si>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</si>
  <si>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</si>
  <si>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</si>
  <si>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</si>
  <si>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</si>
  <si>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</si>
  <si>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</si>
  <si>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</si>
  <si>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</si>
  <si>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</si>
  <si>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</si>
  <si>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</si>
  <si>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</si>
  <si>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</si>
  <si>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</si>
  <si>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</si>
  <si>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</si>
  <si>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</si>
  <si>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</si>
  <si>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</si>
  <si>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</si>
  <si>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</si>
  <si>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</si>
  <si>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</si>
  <si>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</si>
  <si>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</si>
  <si>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</si>
  <si>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</si>
  <si>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</si>
  <si>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</si>
  <si>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</si>
  <si>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</si>
  <si>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</si>
  <si>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</si>
  <si>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</si>
  <si>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</si>
  <si>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</si>
  <si>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</si>
  <si>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</si>
  <si>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</si>
  <si>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</si>
  <si>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</si>
  <si>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</si>
  <si>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</si>
  <si>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</si>
  <si>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</si>
  <si>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</si>
  <si>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</si>
  <si>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</si>
  <si>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</si>
  <si>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</si>
  <si>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</si>
  <si>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</si>
  <si>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</si>
  <si>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</si>
  <si>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</si>
  <si>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</si>
  <si>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</si>
  <si>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</si>
  <si>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</si>
  <si>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</si>
  <si>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</si>
  <si>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</si>
  <si>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</si>
  <si>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</si>
  <si>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</si>
  <si>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</si>
  <si>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</si>
  <si>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</si>
  <si>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</si>
  <si>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</si>
  <si>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</si>
  <si>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</si>
  <si>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</si>
  <si>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</si>
  <si>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</si>
  <si>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</si>
  <si>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</si>
  <si>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</si>
  <si>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</si>
  <si>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</si>
  <si>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</si>
  <si>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</si>
  <si>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</si>
  <si>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</si>
  <si>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</si>
  <si>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</si>
  <si>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</si>
  <si>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</si>
  <si>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</si>
  <si>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</si>
  <si>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</si>
  <si>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</si>
  <si>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</si>
  <si>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</si>
  <si>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</si>
  <si>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</si>
  <si>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</si>
  <si>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</si>
  <si>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</si>
  <si>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</si>
  <si>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</si>
  <si>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</si>
  <si>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</si>
  <si>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</si>
  <si>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</si>
  <si>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</si>
  <si>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</si>
  <si>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</si>
  <si>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</si>
  <si>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</si>
  <si>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</si>
  <si>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</si>
  <si>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</si>
  <si>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</si>
  <si>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</si>
  <si>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</si>
  <si>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</si>
  <si>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</si>
  <si>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</si>
  <si>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</si>
  <si>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</si>
  <si>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</si>
  <si>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</si>
  <si>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</si>
  <si>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</si>
  <si>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</si>
  <si>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</si>
  <si>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</si>
  <si>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</si>
  <si>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</si>
  <si>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</si>
  <si>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</si>
  <si>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</si>
  <si>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</si>
  <si>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</si>
  <si>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</si>
  <si>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</si>
  <si>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</si>
  <si>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14日～機種により</t>
    <rPh sb="2" eb="3">
      <t>ニチ</t>
    </rPh>
    <rPh sb="4" eb="6">
      <t>キシュ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</si>
  <si>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</si>
  <si>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</si>
  <si>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160-8511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</si>
  <si>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</si>
  <si>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</si>
  <si>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</si>
  <si>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RSD-SUNMAX-FL-LCW 1500w　</t>
    <phoneticPr fontId="4"/>
  </si>
  <si>
    <t>〒300-0066  茨城県土浦市虫掛3545</t>
    <phoneticPr fontId="4"/>
  </si>
  <si>
    <t>設置操作講習費　日時：2025年4月12日（土曜）</t>
    <rPh sb="0" eb="2">
      <t>セッチ</t>
    </rPh>
    <rPh sb="2" eb="7">
      <t>ソウサコウシュウヒ</t>
    </rPh>
    <phoneticPr fontId="4"/>
  </si>
  <si>
    <t>10:00～17:00</t>
    <phoneticPr fontId="4"/>
  </si>
  <si>
    <t xml:space="preserve"> デモ機持ち込み費用除く</t>
    <rPh sb="4" eb="5">
      <t>モ</t>
    </rPh>
    <rPh sb="6" eb="7">
      <t>コ</t>
    </rPh>
    <rPh sb="8" eb="10">
      <t>ヒヨウ</t>
    </rPh>
    <rPh sb="10" eb="11">
      <t>ノゾ</t>
    </rPh>
    <phoneticPr fontId="4"/>
  </si>
  <si>
    <t>場所　大塚刷毛製造株式会社　茨城営業所</t>
    <rPh sb="0" eb="2">
      <t>バショ</t>
    </rPh>
    <rPh sb="3" eb="5">
      <t>オオツカ</t>
    </rPh>
    <phoneticPr fontId="4"/>
  </si>
  <si>
    <t>FL2412245</t>
    <phoneticPr fontId="4"/>
  </si>
  <si>
    <t>茨城営業所</t>
    <rPh sb="0" eb="2">
      <t>イバラギ</t>
    </rPh>
    <rPh sb="2" eb="5">
      <t>エイギョウショ</t>
    </rPh>
    <phoneticPr fontId="4"/>
  </si>
  <si>
    <t>FL2504145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</si>
</sst>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0" fillId="0" borderId="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19" xfId="0" applyNumberForma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9217" name="表示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9218" name="表示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9219" name="呼出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9220" name="保存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9221" name="終了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9222" name="印刷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9223" name="入力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9224" name="削除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9225" name="合計無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9226" name="ヘルプ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9227" name="税無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9228" name="画像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9229" name="画像PW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9230" name="明細入力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9231" name="明細書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6BE62681-DE20-4774-8333-FA898F81DC23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A60A1F16-17E4-40A7-8699-9572CA3B741C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E3ABD67F-31DF-4E71-9A6C-8469DB8C1CAE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F61C612D-08EA-4822-9388-33C526CF1971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9232" name="客呼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9233" name="入力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9234" name="担当呼出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9235" name="品名呼出01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9236" name="品名呼出02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9237" name="品名呼出03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9238" name="品名呼出04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9239" name="品名呼出05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9240" name="品名呼出06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9241" name="品名呼出07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9242" name="品名呼出08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9243" name="品名呼出09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9244" name="品名呼出10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9245" name="品名呼出11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9246" name="品名呼出12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9247" name="更新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9248" name="プレビュー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9249" name="環境設定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9250" name="詳細無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1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9251" name="電卓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1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9252" name="データ更新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1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9253" name="並替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1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9254" name="戻る2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1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9255" name="環境設定2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1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9256" name="再選択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9257" name="ﾃﾞｰﾀ処理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9258" name="詳細無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1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9259" name="参照1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1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9260" name="参照2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1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9261" name="入力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9262" name="入力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1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CE704BE9-535A-4DC6-A340-085F488AD876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7A372254-6A22-4864-A690-D12FA7EA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111A5252-F037-4C18-8DCE-DB61DF125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31E6802-9119-4E16-B8EE-EF746566B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743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2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2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2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2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2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2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2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2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2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2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2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2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2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3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3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3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3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3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3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3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3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3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3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3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3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3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3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3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3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3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3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4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4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4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4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4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4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4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4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5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5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5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5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5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5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5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5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5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5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5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5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5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5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5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5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5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5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5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5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5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5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5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5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5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5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5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5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5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5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7" Type="http://schemas.openxmlformats.org/officeDocument/2006/relationships/ctrlProp" Target="../ctrlProps/ctrlProp96.x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0" Type="http://schemas.openxmlformats.org/officeDocument/2006/relationships/ctrlProp" Target="../ctrlProps/ctrlProp109.xml"/><Relationship Id="rId29" Type="http://schemas.openxmlformats.org/officeDocument/2006/relationships/ctrlProp" Target="../ctrlProps/ctrlProp11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8" Type="http://schemas.openxmlformats.org/officeDocument/2006/relationships/ctrlProp" Target="../ctrlProps/ctrlProp9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5.xml"/><Relationship Id="rId18" Type="http://schemas.openxmlformats.org/officeDocument/2006/relationships/ctrlProp" Target="../ctrlProps/ctrlProp140.xml"/><Relationship Id="rId26" Type="http://schemas.openxmlformats.org/officeDocument/2006/relationships/ctrlProp" Target="../ctrlProps/ctrlProp148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43.xml"/><Relationship Id="rId34" Type="http://schemas.openxmlformats.org/officeDocument/2006/relationships/ctrlProp" Target="../ctrlProps/ctrlProp156.xml"/><Relationship Id="rId7" Type="http://schemas.openxmlformats.org/officeDocument/2006/relationships/ctrlProp" Target="../ctrlProps/ctrlProp129.xml"/><Relationship Id="rId12" Type="http://schemas.openxmlformats.org/officeDocument/2006/relationships/ctrlProp" Target="../ctrlProps/ctrlProp134.xml"/><Relationship Id="rId17" Type="http://schemas.openxmlformats.org/officeDocument/2006/relationships/ctrlProp" Target="../ctrlProps/ctrlProp139.xml"/><Relationship Id="rId25" Type="http://schemas.openxmlformats.org/officeDocument/2006/relationships/ctrlProp" Target="../ctrlProps/ctrlProp147.xml"/><Relationship Id="rId33" Type="http://schemas.openxmlformats.org/officeDocument/2006/relationships/ctrlProp" Target="../ctrlProps/ctrlProp15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8.xml"/><Relationship Id="rId20" Type="http://schemas.openxmlformats.org/officeDocument/2006/relationships/ctrlProp" Target="../ctrlProps/ctrlProp142.xml"/><Relationship Id="rId29" Type="http://schemas.openxmlformats.org/officeDocument/2006/relationships/ctrlProp" Target="../ctrlProps/ctrlProp15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8.xml"/><Relationship Id="rId11" Type="http://schemas.openxmlformats.org/officeDocument/2006/relationships/ctrlProp" Target="../ctrlProps/ctrlProp133.xml"/><Relationship Id="rId24" Type="http://schemas.openxmlformats.org/officeDocument/2006/relationships/ctrlProp" Target="../ctrlProps/ctrlProp146.xml"/><Relationship Id="rId32" Type="http://schemas.openxmlformats.org/officeDocument/2006/relationships/ctrlProp" Target="../ctrlProps/ctrlProp154.xml"/><Relationship Id="rId5" Type="http://schemas.openxmlformats.org/officeDocument/2006/relationships/ctrlProp" Target="../ctrlProps/ctrlProp127.xml"/><Relationship Id="rId15" Type="http://schemas.openxmlformats.org/officeDocument/2006/relationships/ctrlProp" Target="../ctrlProps/ctrlProp137.xml"/><Relationship Id="rId23" Type="http://schemas.openxmlformats.org/officeDocument/2006/relationships/ctrlProp" Target="../ctrlProps/ctrlProp145.xml"/><Relationship Id="rId28" Type="http://schemas.openxmlformats.org/officeDocument/2006/relationships/ctrlProp" Target="../ctrlProps/ctrlProp150.xml"/><Relationship Id="rId36" Type="http://schemas.openxmlformats.org/officeDocument/2006/relationships/ctrlProp" Target="../ctrlProps/ctrlProp158.xml"/><Relationship Id="rId10" Type="http://schemas.openxmlformats.org/officeDocument/2006/relationships/ctrlProp" Target="../ctrlProps/ctrlProp132.xml"/><Relationship Id="rId19" Type="http://schemas.openxmlformats.org/officeDocument/2006/relationships/ctrlProp" Target="../ctrlProps/ctrlProp141.xml"/><Relationship Id="rId31" Type="http://schemas.openxmlformats.org/officeDocument/2006/relationships/ctrlProp" Target="../ctrlProps/ctrlProp153.xml"/><Relationship Id="rId4" Type="http://schemas.openxmlformats.org/officeDocument/2006/relationships/ctrlProp" Target="../ctrlProps/ctrlProp126.xml"/><Relationship Id="rId9" Type="http://schemas.openxmlformats.org/officeDocument/2006/relationships/ctrlProp" Target="../ctrlProps/ctrlProp131.xml"/><Relationship Id="rId14" Type="http://schemas.openxmlformats.org/officeDocument/2006/relationships/ctrlProp" Target="../ctrlProps/ctrlProp136.xml"/><Relationship Id="rId22" Type="http://schemas.openxmlformats.org/officeDocument/2006/relationships/ctrlProp" Target="../ctrlProps/ctrlProp144.xml"/><Relationship Id="rId27" Type="http://schemas.openxmlformats.org/officeDocument/2006/relationships/ctrlProp" Target="../ctrlProps/ctrlProp149.xml"/><Relationship Id="rId30" Type="http://schemas.openxmlformats.org/officeDocument/2006/relationships/ctrlProp" Target="../ctrlProps/ctrlProp152.xml"/><Relationship Id="rId35" Type="http://schemas.openxmlformats.org/officeDocument/2006/relationships/ctrlProp" Target="../ctrlProps/ctrlProp157.xml"/><Relationship Id="rId8" Type="http://schemas.openxmlformats.org/officeDocument/2006/relationships/ctrlProp" Target="../ctrlProps/ctrlProp130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8.xml"/><Relationship Id="rId18" Type="http://schemas.openxmlformats.org/officeDocument/2006/relationships/ctrlProp" Target="../ctrlProps/ctrlProp173.xml"/><Relationship Id="rId26" Type="http://schemas.openxmlformats.org/officeDocument/2006/relationships/ctrlProp" Target="../ctrlProps/ctrlProp181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76.xml"/><Relationship Id="rId34" Type="http://schemas.openxmlformats.org/officeDocument/2006/relationships/ctrlProp" Target="../ctrlProps/ctrlProp189.xml"/><Relationship Id="rId7" Type="http://schemas.openxmlformats.org/officeDocument/2006/relationships/ctrlProp" Target="../ctrlProps/ctrlProp162.xml"/><Relationship Id="rId12" Type="http://schemas.openxmlformats.org/officeDocument/2006/relationships/ctrlProp" Target="../ctrlProps/ctrlProp167.xml"/><Relationship Id="rId17" Type="http://schemas.openxmlformats.org/officeDocument/2006/relationships/ctrlProp" Target="../ctrlProps/ctrlProp172.xml"/><Relationship Id="rId25" Type="http://schemas.openxmlformats.org/officeDocument/2006/relationships/ctrlProp" Target="../ctrlProps/ctrlProp180.xml"/><Relationship Id="rId33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71.xml"/><Relationship Id="rId20" Type="http://schemas.openxmlformats.org/officeDocument/2006/relationships/ctrlProp" Target="../ctrlProps/ctrlProp175.xml"/><Relationship Id="rId29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61.xml"/><Relationship Id="rId11" Type="http://schemas.openxmlformats.org/officeDocument/2006/relationships/ctrlProp" Target="../ctrlProps/ctrlProp166.xml"/><Relationship Id="rId24" Type="http://schemas.openxmlformats.org/officeDocument/2006/relationships/ctrlProp" Target="../ctrlProps/ctrlProp179.xml"/><Relationship Id="rId32" Type="http://schemas.openxmlformats.org/officeDocument/2006/relationships/ctrlProp" Target="../ctrlProps/ctrlProp187.xml"/><Relationship Id="rId5" Type="http://schemas.openxmlformats.org/officeDocument/2006/relationships/ctrlProp" Target="../ctrlProps/ctrlProp160.xml"/><Relationship Id="rId15" Type="http://schemas.openxmlformats.org/officeDocument/2006/relationships/ctrlProp" Target="../ctrlProps/ctrlProp170.xml"/><Relationship Id="rId23" Type="http://schemas.openxmlformats.org/officeDocument/2006/relationships/ctrlProp" Target="../ctrlProps/ctrlProp178.xml"/><Relationship Id="rId28" Type="http://schemas.openxmlformats.org/officeDocument/2006/relationships/ctrlProp" Target="../ctrlProps/ctrlProp183.xml"/><Relationship Id="rId36" Type="http://schemas.openxmlformats.org/officeDocument/2006/relationships/ctrlProp" Target="../ctrlProps/ctrlProp191.xml"/><Relationship Id="rId10" Type="http://schemas.openxmlformats.org/officeDocument/2006/relationships/ctrlProp" Target="../ctrlProps/ctrlProp165.xml"/><Relationship Id="rId19" Type="http://schemas.openxmlformats.org/officeDocument/2006/relationships/ctrlProp" Target="../ctrlProps/ctrlProp174.xml"/><Relationship Id="rId31" Type="http://schemas.openxmlformats.org/officeDocument/2006/relationships/ctrlProp" Target="../ctrlProps/ctrlProp186.xml"/><Relationship Id="rId4" Type="http://schemas.openxmlformats.org/officeDocument/2006/relationships/ctrlProp" Target="../ctrlProps/ctrlProp159.xml"/><Relationship Id="rId9" Type="http://schemas.openxmlformats.org/officeDocument/2006/relationships/ctrlProp" Target="../ctrlProps/ctrlProp164.xml"/><Relationship Id="rId14" Type="http://schemas.openxmlformats.org/officeDocument/2006/relationships/ctrlProp" Target="../ctrlProps/ctrlProp169.xml"/><Relationship Id="rId22" Type="http://schemas.openxmlformats.org/officeDocument/2006/relationships/ctrlProp" Target="../ctrlProps/ctrlProp177.xml"/><Relationship Id="rId27" Type="http://schemas.openxmlformats.org/officeDocument/2006/relationships/ctrlProp" Target="../ctrlProps/ctrlProp182.xml"/><Relationship Id="rId30" Type="http://schemas.openxmlformats.org/officeDocument/2006/relationships/ctrlProp" Target="../ctrlProps/ctrlProp185.xml"/><Relationship Id="rId35" Type="http://schemas.openxmlformats.org/officeDocument/2006/relationships/ctrlProp" Target="../ctrlProps/ctrlProp190.xml"/><Relationship Id="rId8" Type="http://schemas.openxmlformats.org/officeDocument/2006/relationships/ctrlProp" Target="../ctrlProps/ctrlProp16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1.xml"/><Relationship Id="rId18" Type="http://schemas.openxmlformats.org/officeDocument/2006/relationships/ctrlProp" Target="../ctrlProps/ctrlProp206.xml"/><Relationship Id="rId26" Type="http://schemas.openxmlformats.org/officeDocument/2006/relationships/ctrlProp" Target="../ctrlProps/ctrlProp214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09.xml"/><Relationship Id="rId34" Type="http://schemas.openxmlformats.org/officeDocument/2006/relationships/ctrlProp" Target="../ctrlProps/ctrlProp222.xml"/><Relationship Id="rId7" Type="http://schemas.openxmlformats.org/officeDocument/2006/relationships/ctrlProp" Target="../ctrlProps/ctrlProp195.xml"/><Relationship Id="rId12" Type="http://schemas.openxmlformats.org/officeDocument/2006/relationships/ctrlProp" Target="../ctrlProps/ctrlProp200.xml"/><Relationship Id="rId17" Type="http://schemas.openxmlformats.org/officeDocument/2006/relationships/ctrlProp" Target="../ctrlProps/ctrlProp205.xml"/><Relationship Id="rId25" Type="http://schemas.openxmlformats.org/officeDocument/2006/relationships/ctrlProp" Target="../ctrlProps/ctrlProp213.xml"/><Relationship Id="rId33" Type="http://schemas.openxmlformats.org/officeDocument/2006/relationships/ctrlProp" Target="../ctrlProps/ctrlProp221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04.xml"/><Relationship Id="rId20" Type="http://schemas.openxmlformats.org/officeDocument/2006/relationships/ctrlProp" Target="../ctrlProps/ctrlProp208.xml"/><Relationship Id="rId29" Type="http://schemas.openxmlformats.org/officeDocument/2006/relationships/ctrlProp" Target="../ctrlProps/ctrlProp21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94.xml"/><Relationship Id="rId11" Type="http://schemas.openxmlformats.org/officeDocument/2006/relationships/ctrlProp" Target="../ctrlProps/ctrlProp199.xml"/><Relationship Id="rId24" Type="http://schemas.openxmlformats.org/officeDocument/2006/relationships/ctrlProp" Target="../ctrlProps/ctrlProp212.xml"/><Relationship Id="rId32" Type="http://schemas.openxmlformats.org/officeDocument/2006/relationships/ctrlProp" Target="../ctrlProps/ctrlProp220.xml"/><Relationship Id="rId5" Type="http://schemas.openxmlformats.org/officeDocument/2006/relationships/ctrlProp" Target="../ctrlProps/ctrlProp193.xml"/><Relationship Id="rId15" Type="http://schemas.openxmlformats.org/officeDocument/2006/relationships/ctrlProp" Target="../ctrlProps/ctrlProp203.xml"/><Relationship Id="rId23" Type="http://schemas.openxmlformats.org/officeDocument/2006/relationships/ctrlProp" Target="../ctrlProps/ctrlProp211.xml"/><Relationship Id="rId28" Type="http://schemas.openxmlformats.org/officeDocument/2006/relationships/ctrlProp" Target="../ctrlProps/ctrlProp216.xml"/><Relationship Id="rId36" Type="http://schemas.openxmlformats.org/officeDocument/2006/relationships/ctrlProp" Target="../ctrlProps/ctrlProp224.xml"/><Relationship Id="rId10" Type="http://schemas.openxmlformats.org/officeDocument/2006/relationships/ctrlProp" Target="../ctrlProps/ctrlProp198.xml"/><Relationship Id="rId19" Type="http://schemas.openxmlformats.org/officeDocument/2006/relationships/ctrlProp" Target="../ctrlProps/ctrlProp207.xml"/><Relationship Id="rId31" Type="http://schemas.openxmlformats.org/officeDocument/2006/relationships/ctrlProp" Target="../ctrlProps/ctrlProp219.xml"/><Relationship Id="rId4" Type="http://schemas.openxmlformats.org/officeDocument/2006/relationships/ctrlProp" Target="../ctrlProps/ctrlProp192.xml"/><Relationship Id="rId9" Type="http://schemas.openxmlformats.org/officeDocument/2006/relationships/ctrlProp" Target="../ctrlProps/ctrlProp197.xml"/><Relationship Id="rId14" Type="http://schemas.openxmlformats.org/officeDocument/2006/relationships/ctrlProp" Target="../ctrlProps/ctrlProp202.xml"/><Relationship Id="rId22" Type="http://schemas.openxmlformats.org/officeDocument/2006/relationships/ctrlProp" Target="../ctrlProps/ctrlProp210.xml"/><Relationship Id="rId27" Type="http://schemas.openxmlformats.org/officeDocument/2006/relationships/ctrlProp" Target="../ctrlProps/ctrlProp215.xml"/><Relationship Id="rId30" Type="http://schemas.openxmlformats.org/officeDocument/2006/relationships/ctrlProp" Target="../ctrlProps/ctrlProp218.xml"/><Relationship Id="rId35" Type="http://schemas.openxmlformats.org/officeDocument/2006/relationships/ctrlProp" Target="../ctrlProps/ctrlProp223.xml"/><Relationship Id="rId8" Type="http://schemas.openxmlformats.org/officeDocument/2006/relationships/ctrlProp" Target="../ctrlProps/ctrlProp1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workbookViewId="0">
      <selection activeCell="AA11" sqref="AA11:AT17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8" t="s">
        <v>77</v>
      </c>
      <c r="N2" s="208"/>
      <c r="O2" s="208"/>
      <c r="P2" s="208"/>
      <c r="Q2" s="208"/>
      <c r="R2" s="208"/>
      <c r="W2" s="4"/>
      <c r="X2" s="4"/>
      <c r="Y2" s="4"/>
      <c r="Z2" s="4"/>
      <c r="AA2" s="175" t="s">
        <v>46</v>
      </c>
      <c r="AB2" s="175"/>
      <c r="AC2" s="175"/>
      <c r="AD2" s="175"/>
      <c r="AE2" s="175"/>
      <c r="AF2" s="175"/>
      <c r="AG2" s="175"/>
      <c r="AH2" s="175"/>
      <c r="AI2" s="175"/>
      <c r="AJ2" s="175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200" t="s">
        <v>142</v>
      </c>
      <c r="F3" s="200"/>
      <c r="G3" s="200"/>
      <c r="H3" s="200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L3" s="5" t="s">
        <v>0</v>
      </c>
      <c r="AM3" s="5"/>
      <c r="AN3" s="196" t="s">
        <v>152</v>
      </c>
      <c r="AO3" s="196"/>
      <c r="AP3" s="196"/>
      <c r="AQ3" s="196"/>
      <c r="AR3" s="196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8" t="s">
        <v>143</v>
      </c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8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9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204">
        <v>6</v>
      </c>
      <c r="AJ6" s="204"/>
      <c r="AK6" s="204"/>
      <c r="AL6" s="9" t="s">
        <v>1</v>
      </c>
      <c r="AM6" s="204">
        <v>12</v>
      </c>
      <c r="AN6" s="204"/>
      <c r="AO6" s="9" t="s">
        <v>2</v>
      </c>
      <c r="AP6" s="204">
        <v>24</v>
      </c>
      <c r="AQ6" s="204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202" t="s">
        <v>145</v>
      </c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1" t="s">
        <v>54</v>
      </c>
      <c r="U7" s="201"/>
      <c r="V7" s="201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1"/>
      <c r="U8" s="201"/>
      <c r="V8" s="20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11" t="s">
        <v>139</v>
      </c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85" t="s">
        <v>144</v>
      </c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74"/>
      <c r="Z13" s="78"/>
      <c r="AA13" s="78"/>
      <c r="AB13" s="186" t="s">
        <v>56</v>
      </c>
      <c r="AC13" s="186"/>
      <c r="AD13" s="186"/>
      <c r="AE13" s="187" t="s">
        <v>81</v>
      </c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138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8" t="s">
        <v>57</v>
      </c>
      <c r="AC15" s="188"/>
      <c r="AD15" s="188"/>
      <c r="AE15" s="187" t="s">
        <v>82</v>
      </c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6"/>
      <c r="K17" s="196"/>
      <c r="L17" s="196"/>
      <c r="M17" s="5"/>
      <c r="N17" s="196"/>
      <c r="O17" s="196"/>
      <c r="P17" s="5"/>
      <c r="Q17" s="196"/>
      <c r="R17" s="196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185" t="s">
        <v>96</v>
      </c>
      <c r="AG17" s="185"/>
      <c r="AH17" s="185"/>
      <c r="AI17" s="185"/>
      <c r="AJ17" s="185"/>
      <c r="AK17" s="185"/>
      <c r="AL17" s="185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165000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76"/>
      <c r="AC19" s="177"/>
      <c r="AD19" s="177"/>
      <c r="AE19" s="177"/>
      <c r="AF19" s="178"/>
      <c r="AG19" s="176"/>
      <c r="AH19" s="177"/>
      <c r="AI19" s="177"/>
      <c r="AJ19" s="177"/>
      <c r="AK19" s="178"/>
      <c r="AL19" s="176"/>
      <c r="AM19" s="177"/>
      <c r="AN19" s="177"/>
      <c r="AO19" s="177"/>
      <c r="AP19" s="178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75" t="s">
        <v>97</v>
      </c>
      <c r="E20" s="175"/>
      <c r="F20" s="175"/>
      <c r="G20" s="175"/>
      <c r="H20" s="175"/>
      <c r="I20" s="175"/>
      <c r="J20" s="206">
        <f>H39</f>
        <v>165000</v>
      </c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AB20" s="179"/>
      <c r="AC20" s="180"/>
      <c r="AD20" s="180"/>
      <c r="AE20" s="180"/>
      <c r="AF20" s="181"/>
      <c r="AG20" s="179"/>
      <c r="AH20" s="180"/>
      <c r="AI20" s="180"/>
      <c r="AJ20" s="180"/>
      <c r="AK20" s="181"/>
      <c r="AL20" s="179"/>
      <c r="AM20" s="180"/>
      <c r="AN20" s="180"/>
      <c r="AO20" s="180"/>
      <c r="AP20" s="181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97"/>
      <c r="E21" s="197"/>
      <c r="F21" s="197"/>
      <c r="G21" s="197"/>
      <c r="H21" s="197"/>
      <c r="I21" s="19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AB21" s="179"/>
      <c r="AC21" s="180"/>
      <c r="AD21" s="180"/>
      <c r="AE21" s="180"/>
      <c r="AF21" s="181"/>
      <c r="AG21" s="179"/>
      <c r="AH21" s="180"/>
      <c r="AI21" s="180"/>
      <c r="AJ21" s="180"/>
      <c r="AK21" s="181"/>
      <c r="AL21" s="179"/>
      <c r="AM21" s="180"/>
      <c r="AN21" s="180"/>
      <c r="AO21" s="180"/>
      <c r="AP21" s="181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5" t="s">
        <v>141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78"/>
      <c r="AB22" s="182"/>
      <c r="AC22" s="183"/>
      <c r="AD22" s="183"/>
      <c r="AE22" s="183"/>
      <c r="AF22" s="184"/>
      <c r="AG22" s="182"/>
      <c r="AH22" s="183"/>
      <c r="AI22" s="183"/>
      <c r="AJ22" s="183"/>
      <c r="AK22" s="184"/>
      <c r="AL22" s="182"/>
      <c r="AM22" s="183"/>
      <c r="AN22" s="183"/>
      <c r="AO22" s="183"/>
      <c r="AP22" s="184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9" t="s">
        <v>8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1"/>
      <c r="T24" s="161" t="s">
        <v>9</v>
      </c>
      <c r="U24" s="162"/>
      <c r="V24" s="162"/>
      <c r="W24" s="162"/>
      <c r="X24" s="162"/>
      <c r="Y24" s="162"/>
      <c r="Z24" s="167"/>
      <c r="AA24" s="161" t="s">
        <v>98</v>
      </c>
      <c r="AB24" s="162"/>
      <c r="AC24" s="162"/>
      <c r="AD24" s="162"/>
      <c r="AE24" s="162"/>
      <c r="AF24" s="161" t="s">
        <v>11</v>
      </c>
      <c r="AG24" s="162"/>
      <c r="AH24" s="162"/>
      <c r="AI24" s="162"/>
      <c r="AJ24" s="162"/>
      <c r="AK24" s="162"/>
      <c r="AL24" s="167"/>
      <c r="AM24" s="161" t="s">
        <v>12</v>
      </c>
      <c r="AN24" s="162"/>
      <c r="AO24" s="162"/>
      <c r="AP24" s="162"/>
      <c r="AQ24" s="162"/>
      <c r="AR24" s="162"/>
      <c r="AS24" s="165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72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4"/>
      <c r="T25" s="163"/>
      <c r="U25" s="164"/>
      <c r="V25" s="164"/>
      <c r="W25" s="164"/>
      <c r="X25" s="164"/>
      <c r="Y25" s="164"/>
      <c r="Z25" s="168"/>
      <c r="AA25" s="163"/>
      <c r="AB25" s="164"/>
      <c r="AC25" s="164"/>
      <c r="AD25" s="164"/>
      <c r="AE25" s="164"/>
      <c r="AF25" s="163"/>
      <c r="AG25" s="164"/>
      <c r="AH25" s="164"/>
      <c r="AI25" s="164"/>
      <c r="AJ25" s="164"/>
      <c r="AK25" s="164"/>
      <c r="AL25" s="168"/>
      <c r="AM25" s="163"/>
      <c r="AN25" s="164"/>
      <c r="AO25" s="164"/>
      <c r="AP25" s="164"/>
      <c r="AQ25" s="164"/>
      <c r="AR25" s="164"/>
      <c r="AS25" s="166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4" t="s">
        <v>146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6"/>
      <c r="T26" s="147"/>
      <c r="U26" s="148"/>
      <c r="V26" s="148"/>
      <c r="W26" s="148"/>
      <c r="X26" s="149" t="s">
        <v>21</v>
      </c>
      <c r="Y26" s="149"/>
      <c r="Z26" s="150"/>
      <c r="AA26" s="147"/>
      <c r="AB26" s="148"/>
      <c r="AC26" s="148"/>
      <c r="AD26" s="148"/>
      <c r="AE26" s="151"/>
      <c r="AF26" s="147">
        <f t="shared" ref="AF26" si="0">IF(T26="",1*AA26,T26*AA26)</f>
        <v>0</v>
      </c>
      <c r="AG26" s="148"/>
      <c r="AH26" s="148"/>
      <c r="AI26" s="148"/>
      <c r="AJ26" s="148"/>
      <c r="AK26" s="148"/>
      <c r="AL26" s="151"/>
      <c r="AM26" s="155"/>
      <c r="AN26" s="156"/>
      <c r="AO26" s="156"/>
      <c r="AP26" s="156"/>
      <c r="AQ26" s="156"/>
      <c r="AR26" s="156"/>
      <c r="AS26" s="1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4" t="s">
        <v>148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6"/>
      <c r="T27" s="147"/>
      <c r="U27" s="148"/>
      <c r="V27" s="148"/>
      <c r="W27" s="148"/>
      <c r="X27" s="149" t="s">
        <v>21</v>
      </c>
      <c r="Y27" s="149"/>
      <c r="Z27" s="150"/>
      <c r="AA27" s="147">
        <v>150000</v>
      </c>
      <c r="AB27" s="148"/>
      <c r="AC27" s="148"/>
      <c r="AD27" s="148"/>
      <c r="AE27" s="151"/>
      <c r="AF27" s="147">
        <f t="shared" ref="AF27" si="1">IF(T27="",1*AA27,T27*AA27)</f>
        <v>150000</v>
      </c>
      <c r="AG27" s="148"/>
      <c r="AH27" s="148"/>
      <c r="AI27" s="148"/>
      <c r="AJ27" s="148"/>
      <c r="AK27" s="148"/>
      <c r="AL27" s="151"/>
      <c r="AM27" s="155" t="s">
        <v>149</v>
      </c>
      <c r="AN27" s="156"/>
      <c r="AO27" s="156"/>
      <c r="AP27" s="156"/>
      <c r="AQ27" s="156"/>
      <c r="AR27" s="156"/>
      <c r="AS27" s="1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4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6"/>
      <c r="T28" s="147"/>
      <c r="U28" s="148"/>
      <c r="V28" s="148"/>
      <c r="W28" s="148"/>
      <c r="X28" s="149"/>
      <c r="Y28" s="149"/>
      <c r="Z28" s="150"/>
      <c r="AA28" s="147"/>
      <c r="AB28" s="148"/>
      <c r="AC28" s="148"/>
      <c r="AD28" s="148"/>
      <c r="AE28" s="151"/>
      <c r="AF28" s="147">
        <f>IF(T28="",1*AA28,T28*AA28)</f>
        <v>0</v>
      </c>
      <c r="AG28" s="148"/>
      <c r="AH28" s="148"/>
      <c r="AI28" s="148"/>
      <c r="AJ28" s="148"/>
      <c r="AK28" s="148"/>
      <c r="AL28" s="151"/>
      <c r="AM28" s="155"/>
      <c r="AN28" s="156"/>
      <c r="AO28" s="156"/>
      <c r="AP28" s="156"/>
      <c r="AQ28" s="156"/>
      <c r="AR28" s="156"/>
      <c r="AS28" s="1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4" t="s">
        <v>150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6"/>
      <c r="T29" s="147"/>
      <c r="U29" s="148"/>
      <c r="V29" s="148"/>
      <c r="W29" s="148"/>
      <c r="X29" s="149"/>
      <c r="Y29" s="149"/>
      <c r="Z29" s="150"/>
      <c r="AA29" s="147"/>
      <c r="AB29" s="148"/>
      <c r="AC29" s="148"/>
      <c r="AD29" s="148"/>
      <c r="AE29" s="151"/>
      <c r="AF29" s="147">
        <f t="shared" ref="AF29" si="2">IF(T29="",1*AA29,T29*AA29)</f>
        <v>0</v>
      </c>
      <c r="AG29" s="148"/>
      <c r="AH29" s="148"/>
      <c r="AI29" s="148"/>
      <c r="AJ29" s="148"/>
      <c r="AK29" s="148"/>
      <c r="AL29" s="151"/>
      <c r="AM29" s="155"/>
      <c r="AN29" s="156"/>
      <c r="AO29" s="156"/>
      <c r="AP29" s="156"/>
      <c r="AQ29" s="156"/>
      <c r="AR29" s="156"/>
      <c r="AS29" s="1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4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6"/>
      <c r="T30" s="147"/>
      <c r="U30" s="148"/>
      <c r="V30" s="148"/>
      <c r="W30" s="148"/>
      <c r="X30" s="149"/>
      <c r="Y30" s="149"/>
      <c r="Z30" s="150"/>
      <c r="AA30" s="147"/>
      <c r="AB30" s="148"/>
      <c r="AC30" s="148"/>
      <c r="AD30" s="148"/>
      <c r="AE30" s="151"/>
      <c r="AF30" s="147">
        <f t="shared" ref="AF30" si="3">IF(T30="",1*AA30,T30*AA30)</f>
        <v>0</v>
      </c>
      <c r="AG30" s="148"/>
      <c r="AH30" s="148"/>
      <c r="AI30" s="148"/>
      <c r="AJ30" s="148"/>
      <c r="AK30" s="148"/>
      <c r="AL30" s="151"/>
      <c r="AM30" s="155"/>
      <c r="AN30" s="156"/>
      <c r="AO30" s="156"/>
      <c r="AP30" s="156"/>
      <c r="AQ30" s="156"/>
      <c r="AR30" s="156"/>
      <c r="AS30" s="1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4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6"/>
      <c r="T31" s="147"/>
      <c r="U31" s="148"/>
      <c r="V31" s="148"/>
      <c r="W31" s="148"/>
      <c r="X31" s="149"/>
      <c r="Y31" s="149"/>
      <c r="Z31" s="150"/>
      <c r="AA31" s="147"/>
      <c r="AB31" s="148"/>
      <c r="AC31" s="148"/>
      <c r="AD31" s="148"/>
      <c r="AE31" s="151"/>
      <c r="AF31" s="147">
        <f t="shared" ref="AF31:AF32" si="4">IF(T31="",1*AA31,T31*AA31)</f>
        <v>0</v>
      </c>
      <c r="AG31" s="148"/>
      <c r="AH31" s="148"/>
      <c r="AI31" s="148"/>
      <c r="AJ31" s="148"/>
      <c r="AK31" s="148"/>
      <c r="AL31" s="151"/>
      <c r="AM31" s="158"/>
      <c r="AN31" s="159"/>
      <c r="AO31" s="159"/>
      <c r="AP31" s="159"/>
      <c r="AQ31" s="159"/>
      <c r="AR31" s="159"/>
      <c r="AS31" s="160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4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6"/>
      <c r="T32" s="147"/>
      <c r="U32" s="148"/>
      <c r="V32" s="148"/>
      <c r="W32" s="148"/>
      <c r="X32" s="149"/>
      <c r="Y32" s="149"/>
      <c r="Z32" s="150"/>
      <c r="AA32" s="147"/>
      <c r="AB32" s="148"/>
      <c r="AC32" s="148"/>
      <c r="AD32" s="148"/>
      <c r="AE32" s="151"/>
      <c r="AF32" s="147">
        <f t="shared" si="4"/>
        <v>0</v>
      </c>
      <c r="AG32" s="148"/>
      <c r="AH32" s="148"/>
      <c r="AI32" s="148"/>
      <c r="AJ32" s="148"/>
      <c r="AK32" s="148"/>
      <c r="AL32" s="151"/>
      <c r="AM32" s="158"/>
      <c r="AN32" s="159"/>
      <c r="AO32" s="159"/>
      <c r="AP32" s="159"/>
      <c r="AQ32" s="159"/>
      <c r="AR32" s="159"/>
      <c r="AS32" s="160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4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6"/>
      <c r="T33" s="147"/>
      <c r="U33" s="148"/>
      <c r="V33" s="148"/>
      <c r="W33" s="148"/>
      <c r="X33" s="149"/>
      <c r="Y33" s="149"/>
      <c r="Z33" s="150"/>
      <c r="AA33" s="147"/>
      <c r="AB33" s="148"/>
      <c r="AC33" s="148"/>
      <c r="AD33" s="148"/>
      <c r="AE33" s="151"/>
      <c r="AF33" s="147">
        <f>IF(T33="",1*AA33,T33*AA33)</f>
        <v>0</v>
      </c>
      <c r="AG33" s="148"/>
      <c r="AH33" s="148"/>
      <c r="AI33" s="148"/>
      <c r="AJ33" s="148"/>
      <c r="AK33" s="148"/>
      <c r="AL33" s="151"/>
      <c r="AM33" s="158"/>
      <c r="AN33" s="159"/>
      <c r="AO33" s="159"/>
      <c r="AP33" s="159"/>
      <c r="AQ33" s="159"/>
      <c r="AR33" s="159"/>
      <c r="AS33" s="160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6"/>
      <c r="T34" s="147"/>
      <c r="U34" s="148"/>
      <c r="V34" s="148"/>
      <c r="W34" s="148"/>
      <c r="X34" s="149"/>
      <c r="Y34" s="149"/>
      <c r="Z34" s="150"/>
      <c r="AA34" s="147"/>
      <c r="AB34" s="148"/>
      <c r="AC34" s="148"/>
      <c r="AD34" s="148"/>
      <c r="AE34" s="151"/>
      <c r="AF34" s="147">
        <f>IF(T34="",1*AA34,T34*AA34)</f>
        <v>0</v>
      </c>
      <c r="AG34" s="148"/>
      <c r="AH34" s="148"/>
      <c r="AI34" s="148"/>
      <c r="AJ34" s="148"/>
      <c r="AK34" s="148"/>
      <c r="AL34" s="151"/>
      <c r="AM34" s="158"/>
      <c r="AN34" s="159"/>
      <c r="AO34" s="159"/>
      <c r="AP34" s="159"/>
      <c r="AQ34" s="159"/>
      <c r="AR34" s="159"/>
      <c r="AS34" s="160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4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6"/>
      <c r="T35" s="147"/>
      <c r="U35" s="148"/>
      <c r="V35" s="148"/>
      <c r="W35" s="148"/>
      <c r="X35" s="149"/>
      <c r="Y35" s="149"/>
      <c r="Z35" s="150"/>
      <c r="AA35" s="147"/>
      <c r="AB35" s="148"/>
      <c r="AC35" s="148"/>
      <c r="AD35" s="148"/>
      <c r="AE35" s="151"/>
      <c r="AF35" s="147">
        <f>IF(T35="",1*AA35,T35*AA35)</f>
        <v>0</v>
      </c>
      <c r="AG35" s="148"/>
      <c r="AH35" s="148"/>
      <c r="AI35" s="148"/>
      <c r="AJ35" s="148"/>
      <c r="AK35" s="148"/>
      <c r="AL35" s="151"/>
      <c r="AM35" s="152"/>
      <c r="AN35" s="153"/>
      <c r="AO35" s="153"/>
      <c r="AP35" s="153"/>
      <c r="AQ35" s="153"/>
      <c r="AR35" s="153"/>
      <c r="AS35" s="154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4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6"/>
      <c r="T36" s="147"/>
      <c r="U36" s="148"/>
      <c r="V36" s="148"/>
      <c r="W36" s="148"/>
      <c r="X36" s="149"/>
      <c r="Y36" s="149"/>
      <c r="Z36" s="150"/>
      <c r="AA36" s="147"/>
      <c r="AB36" s="148"/>
      <c r="AC36" s="148"/>
      <c r="AD36" s="148"/>
      <c r="AE36" s="151"/>
      <c r="AF36" s="147"/>
      <c r="AG36" s="148"/>
      <c r="AH36" s="148"/>
      <c r="AI36" s="148"/>
      <c r="AJ36" s="148"/>
      <c r="AK36" s="148"/>
      <c r="AL36" s="151"/>
      <c r="AM36" s="152"/>
      <c r="AN36" s="153"/>
      <c r="AO36" s="153"/>
      <c r="AP36" s="153"/>
      <c r="AQ36" s="153"/>
      <c r="AR36" s="153"/>
      <c r="AS36" s="154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4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6"/>
      <c r="T37" s="147"/>
      <c r="U37" s="148"/>
      <c r="V37" s="148"/>
      <c r="W37" s="148"/>
      <c r="X37" s="149"/>
      <c r="Y37" s="149"/>
      <c r="Z37" s="150"/>
      <c r="AA37" s="147"/>
      <c r="AB37" s="148"/>
      <c r="AC37" s="148"/>
      <c r="AD37" s="148"/>
      <c r="AE37" s="151"/>
      <c r="AF37" s="147"/>
      <c r="AG37" s="148"/>
      <c r="AH37" s="148"/>
      <c r="AI37" s="148"/>
      <c r="AJ37" s="148"/>
      <c r="AK37" s="148"/>
      <c r="AL37" s="151"/>
      <c r="AM37" s="152"/>
      <c r="AN37" s="153"/>
      <c r="AO37" s="153"/>
      <c r="AP37" s="153"/>
      <c r="AQ37" s="153"/>
      <c r="AR37" s="153"/>
      <c r="AS37" s="154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4"/>
      <c r="C38" s="135"/>
      <c r="D38" s="135"/>
      <c r="E38" s="135"/>
      <c r="F38" s="135"/>
      <c r="G38" s="136"/>
      <c r="H38" s="137">
        <f>AA38*0.1</f>
        <v>15000</v>
      </c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40" t="s">
        <v>14</v>
      </c>
      <c r="U38" s="135"/>
      <c r="V38" s="135"/>
      <c r="W38" s="135"/>
      <c r="X38" s="135"/>
      <c r="Y38" s="135"/>
      <c r="Z38" s="136"/>
      <c r="AA38" s="141">
        <f>SUM(AF26:AL37)</f>
        <v>150000</v>
      </c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3"/>
      <c r="AM38" s="193"/>
      <c r="AN38" s="194"/>
      <c r="AO38" s="194"/>
      <c r="AP38" s="194"/>
      <c r="AQ38" s="194"/>
      <c r="AR38" s="194"/>
      <c r="AS38" s="195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8" t="s">
        <v>7</v>
      </c>
      <c r="C39" s="119"/>
      <c r="D39" s="119"/>
      <c r="E39" s="119"/>
      <c r="F39" s="119"/>
      <c r="G39" s="120"/>
      <c r="H39" s="121">
        <f>CK115+H38</f>
        <v>165000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9"/>
      <c r="AN39" s="190"/>
      <c r="AO39" s="190"/>
      <c r="AP39" s="190"/>
      <c r="AQ39" s="190"/>
      <c r="AR39" s="190"/>
      <c r="AS39" s="19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4" t="s">
        <v>15</v>
      </c>
      <c r="C40" s="125"/>
      <c r="D40" s="125"/>
      <c r="E40" s="126" t="s">
        <v>151</v>
      </c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7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31" t="s">
        <v>147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3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8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30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1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3"/>
      <c r="Y45" s="54"/>
      <c r="Z45" s="15"/>
      <c r="AA45" s="15"/>
      <c r="AB45" s="116"/>
      <c r="AC45" s="116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3"/>
      <c r="Y47" s="54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3"/>
      <c r="Y48" s="54"/>
      <c r="Z48" s="15"/>
      <c r="AA48" s="56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3"/>
      <c r="Y49" s="54"/>
      <c r="Z49" s="15"/>
      <c r="AA49" s="56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3"/>
      <c r="Y51" s="53"/>
      <c r="Z51" s="15"/>
      <c r="AA51" s="192"/>
      <c r="AB51" s="192"/>
      <c r="AC51" s="192"/>
      <c r="AD51" s="192"/>
      <c r="AE51" s="192"/>
      <c r="AF51" s="192"/>
      <c r="AG51" s="192"/>
      <c r="AH51" s="192"/>
      <c r="AI51" s="192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3"/>
      <c r="Y52" s="54"/>
      <c r="Z52" s="15"/>
      <c r="AA52" s="56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3"/>
      <c r="Y53" s="54"/>
      <c r="Z53" s="15"/>
      <c r="AA53" s="56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3"/>
      <c r="Y54" s="54"/>
      <c r="Z54" s="15"/>
      <c r="AA54" s="56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3"/>
      <c r="Y55" s="54"/>
      <c r="Z55" s="15"/>
      <c r="AA55" s="56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150000</v>
      </c>
      <c r="Q56" s="107"/>
      <c r="R56" s="107"/>
      <c r="S56" s="107"/>
      <c r="T56" s="107"/>
      <c r="U56" s="107"/>
      <c r="V56" s="107"/>
      <c r="W56" s="1"/>
      <c r="X56" s="53"/>
      <c r="Y56" s="54"/>
      <c r="Z56" s="15"/>
      <c r="AA56" s="56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　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設置操作講習費　日時：2025年4月12日（土曜）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150000</v>
      </c>
      <c r="FH102" s="64">
        <f t="shared" ref="FH102:FH112" si="9">AF27</f>
        <v>150000</v>
      </c>
      <c r="FI102" s="64" t="str">
        <f t="shared" ref="FI102:FI112" si="10">AM27</f>
        <v>10:00～17:00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7" t="s">
        <v>16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7" t="s">
        <v>17</v>
      </c>
      <c r="CT103" s="14"/>
      <c r="CU103" s="15"/>
      <c r="CV103" s="15"/>
      <c r="CW103" s="106" t="s">
        <v>13</v>
      </c>
      <c r="CX103" s="106"/>
      <c r="CY103" s="106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8" t="s">
        <v>58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5"/>
        <v>0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9">
        <v>0</v>
      </c>
      <c r="CJ104" s="99"/>
      <c r="CK104" s="98">
        <f>AA38</f>
        <v>150000</v>
      </c>
      <c r="CL104" s="98"/>
      <c r="CM104" s="98"/>
      <c r="CN104" s="98"/>
      <c r="CO104" s="98"/>
      <c r="CP104" s="98"/>
      <c r="CQ104" s="98"/>
      <c r="CR104" s="1"/>
      <c r="CS104" s="17" t="s">
        <v>18</v>
      </c>
      <c r="CT104" s="18"/>
      <c r="CU104" s="15"/>
      <c r="CV104" s="15"/>
      <c r="CW104" s="100">
        <v>5</v>
      </c>
      <c r="CX104" s="101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3" t="s">
        <v>59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 xml:space="preserve"> デモ機持ち込み費用除く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9">
        <v>1</v>
      </c>
      <c r="CJ105" s="99"/>
      <c r="CK105" s="98">
        <f>IF(ISERROR(本体装備品一覧!AB30),0,本体装備品一覧!AB30)</f>
        <v>0</v>
      </c>
      <c r="CL105" s="98"/>
      <c r="CM105" s="98"/>
      <c r="CN105" s="98"/>
      <c r="CO105" s="98"/>
      <c r="CP105" s="98"/>
      <c r="CQ105" s="98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21</v>
      </c>
      <c r="CT106" s="21"/>
      <c r="CU106" s="15"/>
      <c r="CV106" s="106" t="s">
        <v>22</v>
      </c>
      <c r="CW106" s="106"/>
      <c r="CX106" s="106"/>
      <c r="CY106" s="106"/>
      <c r="CZ106" s="106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8" t="s">
        <v>69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23</v>
      </c>
      <c r="CT107" s="18"/>
      <c r="CU107" s="15"/>
      <c r="CV107" s="28" t="s">
        <v>24</v>
      </c>
      <c r="CW107" s="100">
        <v>100</v>
      </c>
      <c r="CX107" s="100"/>
      <c r="CY107" s="101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9" t="s">
        <v>78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25</v>
      </c>
      <c r="CT108" s="18"/>
      <c r="CU108" s="15"/>
      <c r="CV108" s="28" t="s">
        <v>26</v>
      </c>
      <c r="CW108" s="100">
        <v>80</v>
      </c>
      <c r="CX108" s="100"/>
      <c r="CY108" s="101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3" t="s">
        <v>70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71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28</v>
      </c>
      <c r="CT110" s="20"/>
      <c r="CU110" s="15"/>
      <c r="CV110" s="102" t="s">
        <v>29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30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31</v>
      </c>
      <c r="CT111" s="18"/>
      <c r="CU111" s="15"/>
      <c r="CV111" s="28" t="s">
        <v>24</v>
      </c>
      <c r="CW111" s="96" t="s">
        <v>74</v>
      </c>
      <c r="CX111" s="96"/>
      <c r="CY111" s="96"/>
      <c r="CZ111" s="96"/>
      <c r="DA111" s="96"/>
      <c r="DB111" s="96"/>
      <c r="DC111" s="96"/>
      <c r="DD111" s="96"/>
      <c r="DE111" s="96" t="s">
        <v>32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33</v>
      </c>
      <c r="CT112" s="18"/>
      <c r="CU112" s="15"/>
      <c r="CV112" s="28" t="s">
        <v>26</v>
      </c>
      <c r="CW112" s="96" t="s">
        <v>83</v>
      </c>
      <c r="CX112" s="96"/>
      <c r="CY112" s="96"/>
      <c r="CZ112" s="96"/>
      <c r="DA112" s="96"/>
      <c r="DB112" s="96"/>
      <c r="DC112" s="96"/>
      <c r="DD112" s="96"/>
      <c r="DE112" s="96" t="s">
        <v>84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34</v>
      </c>
      <c r="CT113" s="18"/>
      <c r="CU113" s="15"/>
      <c r="CV113" s="28" t="s">
        <v>35</v>
      </c>
      <c r="CW113" s="96" t="s">
        <v>86</v>
      </c>
      <c r="CX113" s="96"/>
      <c r="CY113" s="96"/>
      <c r="CZ113" s="96"/>
      <c r="DA113" s="96"/>
      <c r="DB113" s="96"/>
      <c r="DC113" s="96"/>
      <c r="DD113" s="96"/>
      <c r="DE113" s="96" t="s">
        <v>85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36</v>
      </c>
      <c r="CT114" s="21"/>
      <c r="CU114" s="15"/>
      <c r="CV114" s="28" t="s">
        <v>37</v>
      </c>
      <c r="CW114" s="96" t="s">
        <v>75</v>
      </c>
      <c r="CX114" s="96"/>
      <c r="CY114" s="96"/>
      <c r="CZ114" s="96"/>
      <c r="DA114" s="96"/>
      <c r="DB114" s="96"/>
      <c r="DC114" s="96"/>
      <c r="DD114" s="96"/>
      <c r="DE114" s="96" t="s">
        <v>38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7" t="s">
        <v>39</v>
      </c>
      <c r="CJ115" s="97"/>
      <c r="CK115" s="98">
        <f>SUM(CK104:CQ114)</f>
        <v>150000</v>
      </c>
      <c r="CL115" s="98"/>
      <c r="CM115" s="98"/>
      <c r="CN115" s="98"/>
      <c r="CO115" s="98"/>
      <c r="CP115" s="98"/>
      <c r="CQ115" s="98"/>
      <c r="CR115" s="1"/>
      <c r="CS115" s="17" t="s">
        <v>45</v>
      </c>
      <c r="CT115" s="18"/>
      <c r="CU115" s="15"/>
      <c r="CV115" s="28" t="s">
        <v>40</v>
      </c>
      <c r="CW115" s="96" t="s">
        <v>76</v>
      </c>
      <c r="CX115" s="96"/>
      <c r="CY115" s="96"/>
      <c r="CZ115" s="96"/>
      <c r="DA115" s="96"/>
      <c r="DB115" s="96"/>
      <c r="DC115" s="96"/>
      <c r="DD115" s="96"/>
      <c r="DE115" s="96" t="s">
        <v>41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3" t="s">
        <v>42</v>
      </c>
      <c r="CJ119" s="93"/>
      <c r="CK119" s="93"/>
      <c r="CL119" s="93"/>
      <c r="CM119" s="94" t="s">
        <v>87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44</v>
      </c>
      <c r="DN119" s="88"/>
      <c r="DO119" s="89" t="s">
        <v>79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3" t="s">
        <v>72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65FA-003C-4AFA-9E80-E44007943602}">
  <sheetPr>
    <pageSetUpPr fitToPage="1"/>
  </sheetPr>
  <dimension ref="A1:FI642"/>
  <sheetViews>
    <sheetView showGridLines="0" showRowColHeaders="0" tabSelected="1" workbookViewId="0">
      <selection activeCell="B33" sqref="B33:S33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8" t="s">
        <v>77</v>
      </c>
      <c r="N2" s="208"/>
      <c r="O2" s="208"/>
      <c r="P2" s="208"/>
      <c r="Q2" s="208"/>
      <c r="R2" s="208"/>
      <c r="W2" s="4"/>
      <c r="X2" s="4"/>
      <c r="Y2" s="4"/>
      <c r="Z2" s="4"/>
      <c r="AA2" s="175" t="s">
        <v>49</v>
      </c>
      <c r="AB2" s="175"/>
      <c r="AC2" s="175"/>
      <c r="AD2" s="175"/>
      <c r="AE2" s="175"/>
      <c r="AF2" s="175"/>
      <c r="AG2" s="175"/>
      <c r="AH2" s="175"/>
      <c r="AI2" s="175"/>
      <c r="AJ2" s="175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200" t="s">
        <v>142</v>
      </c>
      <c r="F3" s="200"/>
      <c r="G3" s="200"/>
      <c r="H3" s="200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L3" s="5" t="s">
        <v>0</v>
      </c>
      <c r="AM3" s="5"/>
      <c r="AN3" s="196" t="s">
        <v>154</v>
      </c>
      <c r="AO3" s="196"/>
      <c r="AP3" s="196"/>
      <c r="AQ3" s="196"/>
      <c r="AR3" s="196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8" t="s">
        <v>143</v>
      </c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8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9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204">
        <v>7</v>
      </c>
      <c r="AJ6" s="204"/>
      <c r="AK6" s="204"/>
      <c r="AL6" s="9" t="s">
        <v>1</v>
      </c>
      <c r="AM6" s="204">
        <v>4</v>
      </c>
      <c r="AN6" s="204"/>
      <c r="AO6" s="9" t="s">
        <v>2</v>
      </c>
      <c r="AP6" s="204">
        <v>14</v>
      </c>
      <c r="AQ6" s="204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202" t="s">
        <v>145</v>
      </c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1" t="s">
        <v>54</v>
      </c>
      <c r="U7" s="201"/>
      <c r="V7" s="201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1"/>
      <c r="U8" s="201"/>
      <c r="V8" s="20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11">
        <v>45759</v>
      </c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85" t="s">
        <v>153</v>
      </c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74"/>
      <c r="Z13" s="78"/>
      <c r="AB13" s="212" t="s">
        <v>56</v>
      </c>
      <c r="AC13" s="212"/>
      <c r="AD13" s="212"/>
      <c r="AE13" s="213" t="s">
        <v>81</v>
      </c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138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B15" s="214" t="s">
        <v>57</v>
      </c>
      <c r="AC15" s="214"/>
      <c r="AD15" s="214"/>
      <c r="AE15" s="213" t="s">
        <v>82</v>
      </c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6"/>
      <c r="K17" s="196"/>
      <c r="L17" s="196"/>
      <c r="M17" s="5"/>
      <c r="N17" s="196"/>
      <c r="O17" s="196"/>
      <c r="P17" s="5"/>
      <c r="Q17" s="196"/>
      <c r="R17" s="196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185" t="s">
        <v>96</v>
      </c>
      <c r="AG17" s="185"/>
      <c r="AH17" s="185"/>
      <c r="AI17" s="185"/>
      <c r="AJ17" s="185"/>
      <c r="AK17" s="185"/>
      <c r="AL17" s="185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165000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76"/>
      <c r="AC19" s="177"/>
      <c r="AD19" s="177"/>
      <c r="AE19" s="177"/>
      <c r="AF19" s="178"/>
      <c r="AG19" s="176"/>
      <c r="AH19" s="177"/>
      <c r="AI19" s="177"/>
      <c r="AJ19" s="177"/>
      <c r="AK19" s="178"/>
      <c r="AL19" s="176"/>
      <c r="AM19" s="177"/>
      <c r="AN19" s="177"/>
      <c r="AO19" s="177"/>
      <c r="AP19" s="178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75" t="s">
        <v>97</v>
      </c>
      <c r="E20" s="175"/>
      <c r="F20" s="175"/>
      <c r="G20" s="175"/>
      <c r="H20" s="175"/>
      <c r="I20" s="175"/>
      <c r="J20" s="206">
        <f>H39</f>
        <v>165000</v>
      </c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AB20" s="179"/>
      <c r="AC20" s="180"/>
      <c r="AD20" s="180"/>
      <c r="AE20" s="180"/>
      <c r="AF20" s="181"/>
      <c r="AG20" s="179"/>
      <c r="AH20" s="180"/>
      <c r="AI20" s="180"/>
      <c r="AJ20" s="180"/>
      <c r="AK20" s="181"/>
      <c r="AL20" s="179"/>
      <c r="AM20" s="180"/>
      <c r="AN20" s="180"/>
      <c r="AO20" s="180"/>
      <c r="AP20" s="181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97"/>
      <c r="E21" s="197"/>
      <c r="F21" s="197"/>
      <c r="G21" s="197"/>
      <c r="H21" s="197"/>
      <c r="I21" s="19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AB21" s="179"/>
      <c r="AC21" s="180"/>
      <c r="AD21" s="180"/>
      <c r="AE21" s="180"/>
      <c r="AF21" s="181"/>
      <c r="AG21" s="179"/>
      <c r="AH21" s="180"/>
      <c r="AI21" s="180"/>
      <c r="AJ21" s="180"/>
      <c r="AK21" s="181"/>
      <c r="AL21" s="179"/>
      <c r="AM21" s="180"/>
      <c r="AN21" s="180"/>
      <c r="AO21" s="180"/>
      <c r="AP21" s="181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5" t="s">
        <v>141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78"/>
      <c r="AB22" s="182"/>
      <c r="AC22" s="183"/>
      <c r="AD22" s="183"/>
      <c r="AE22" s="183"/>
      <c r="AF22" s="184"/>
      <c r="AG22" s="182"/>
      <c r="AH22" s="183"/>
      <c r="AI22" s="183"/>
      <c r="AJ22" s="183"/>
      <c r="AK22" s="184"/>
      <c r="AL22" s="182"/>
      <c r="AM22" s="183"/>
      <c r="AN22" s="183"/>
      <c r="AO22" s="183"/>
      <c r="AP22" s="184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9" t="s">
        <v>8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1"/>
      <c r="T24" s="161" t="s">
        <v>9</v>
      </c>
      <c r="U24" s="162"/>
      <c r="V24" s="162"/>
      <c r="W24" s="162"/>
      <c r="X24" s="162"/>
      <c r="Y24" s="162"/>
      <c r="Z24" s="167"/>
      <c r="AA24" s="161" t="s">
        <v>98</v>
      </c>
      <c r="AB24" s="162"/>
      <c r="AC24" s="162"/>
      <c r="AD24" s="162"/>
      <c r="AE24" s="162"/>
      <c r="AF24" s="161" t="s">
        <v>11</v>
      </c>
      <c r="AG24" s="162"/>
      <c r="AH24" s="162"/>
      <c r="AI24" s="162"/>
      <c r="AJ24" s="162"/>
      <c r="AK24" s="162"/>
      <c r="AL24" s="167"/>
      <c r="AM24" s="161" t="s">
        <v>12</v>
      </c>
      <c r="AN24" s="162"/>
      <c r="AO24" s="162"/>
      <c r="AP24" s="162"/>
      <c r="AQ24" s="162"/>
      <c r="AR24" s="162"/>
      <c r="AS24" s="165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72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4"/>
      <c r="T25" s="163"/>
      <c r="U25" s="164"/>
      <c r="V25" s="164"/>
      <c r="W25" s="164"/>
      <c r="X25" s="164"/>
      <c r="Y25" s="164"/>
      <c r="Z25" s="168"/>
      <c r="AA25" s="163"/>
      <c r="AB25" s="164"/>
      <c r="AC25" s="164"/>
      <c r="AD25" s="164"/>
      <c r="AE25" s="164"/>
      <c r="AF25" s="163"/>
      <c r="AG25" s="164"/>
      <c r="AH25" s="164"/>
      <c r="AI25" s="164"/>
      <c r="AJ25" s="164"/>
      <c r="AK25" s="164"/>
      <c r="AL25" s="168"/>
      <c r="AM25" s="163"/>
      <c r="AN25" s="164"/>
      <c r="AO25" s="164"/>
      <c r="AP25" s="164"/>
      <c r="AQ25" s="164"/>
      <c r="AR25" s="164"/>
      <c r="AS25" s="166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4" t="s">
        <v>146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6"/>
      <c r="T26" s="147"/>
      <c r="U26" s="148"/>
      <c r="V26" s="148"/>
      <c r="W26" s="148"/>
      <c r="X26" s="149" t="s">
        <v>21</v>
      </c>
      <c r="Y26" s="149"/>
      <c r="Z26" s="150"/>
      <c r="AA26" s="147"/>
      <c r="AB26" s="148"/>
      <c r="AC26" s="148"/>
      <c r="AD26" s="148"/>
      <c r="AE26" s="151"/>
      <c r="AF26" s="147">
        <f t="shared" ref="AF26:AF27" si="0">IF(T26="",1*AA26,T26*AA26)</f>
        <v>0</v>
      </c>
      <c r="AG26" s="148"/>
      <c r="AH26" s="148"/>
      <c r="AI26" s="148"/>
      <c r="AJ26" s="148"/>
      <c r="AK26" s="148"/>
      <c r="AL26" s="151"/>
      <c r="AM26" s="155"/>
      <c r="AN26" s="156"/>
      <c r="AO26" s="156"/>
      <c r="AP26" s="156"/>
      <c r="AQ26" s="156"/>
      <c r="AR26" s="156"/>
      <c r="AS26" s="1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4" t="s">
        <v>148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6"/>
      <c r="T27" s="147"/>
      <c r="U27" s="148"/>
      <c r="V27" s="148"/>
      <c r="W27" s="148"/>
      <c r="X27" s="149" t="s">
        <v>21</v>
      </c>
      <c r="Y27" s="149"/>
      <c r="Z27" s="150"/>
      <c r="AA27" s="147">
        <v>150000</v>
      </c>
      <c r="AB27" s="148"/>
      <c r="AC27" s="148"/>
      <c r="AD27" s="148"/>
      <c r="AE27" s="151"/>
      <c r="AF27" s="147">
        <f t="shared" si="0"/>
        <v>150000</v>
      </c>
      <c r="AG27" s="148"/>
      <c r="AH27" s="148"/>
      <c r="AI27" s="148"/>
      <c r="AJ27" s="148"/>
      <c r="AK27" s="148"/>
      <c r="AL27" s="151"/>
      <c r="AM27" s="155" t="s">
        <v>149</v>
      </c>
      <c r="AN27" s="156"/>
      <c r="AO27" s="156"/>
      <c r="AP27" s="156"/>
      <c r="AQ27" s="156"/>
      <c r="AR27" s="156"/>
      <c r="AS27" s="1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4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6"/>
      <c r="T28" s="147"/>
      <c r="U28" s="148"/>
      <c r="V28" s="148"/>
      <c r="W28" s="148"/>
      <c r="X28" s="149"/>
      <c r="Y28" s="149"/>
      <c r="Z28" s="150"/>
      <c r="AA28" s="147"/>
      <c r="AB28" s="148"/>
      <c r="AC28" s="148"/>
      <c r="AD28" s="148"/>
      <c r="AE28" s="151"/>
      <c r="AF28" s="147">
        <f>IF(T28="",1*AA28,T28*AA28)</f>
        <v>0</v>
      </c>
      <c r="AG28" s="148"/>
      <c r="AH28" s="148"/>
      <c r="AI28" s="148"/>
      <c r="AJ28" s="148"/>
      <c r="AK28" s="148"/>
      <c r="AL28" s="151"/>
      <c r="AM28" s="155"/>
      <c r="AN28" s="156"/>
      <c r="AO28" s="156"/>
      <c r="AP28" s="156"/>
      <c r="AQ28" s="156"/>
      <c r="AR28" s="156"/>
      <c r="AS28" s="1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4" t="s">
        <v>150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6"/>
      <c r="T29" s="147"/>
      <c r="U29" s="148"/>
      <c r="V29" s="148"/>
      <c r="W29" s="148"/>
      <c r="X29" s="149"/>
      <c r="Y29" s="149"/>
      <c r="Z29" s="150"/>
      <c r="AA29" s="147"/>
      <c r="AB29" s="148"/>
      <c r="AC29" s="148"/>
      <c r="AD29" s="148"/>
      <c r="AE29" s="151"/>
      <c r="AF29" s="147">
        <f t="shared" ref="AF29:AF32" si="1">IF(T29="",1*AA29,T29*AA29)</f>
        <v>0</v>
      </c>
      <c r="AG29" s="148"/>
      <c r="AH29" s="148"/>
      <c r="AI29" s="148"/>
      <c r="AJ29" s="148"/>
      <c r="AK29" s="148"/>
      <c r="AL29" s="151"/>
      <c r="AM29" s="155"/>
      <c r="AN29" s="156"/>
      <c r="AO29" s="156"/>
      <c r="AP29" s="156"/>
      <c r="AQ29" s="156"/>
      <c r="AR29" s="156"/>
      <c r="AS29" s="1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4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6"/>
      <c r="T30" s="147"/>
      <c r="U30" s="148"/>
      <c r="V30" s="148"/>
      <c r="W30" s="148"/>
      <c r="X30" s="149"/>
      <c r="Y30" s="149"/>
      <c r="Z30" s="150"/>
      <c r="AA30" s="147"/>
      <c r="AB30" s="148"/>
      <c r="AC30" s="148"/>
      <c r="AD30" s="148"/>
      <c r="AE30" s="151"/>
      <c r="AF30" s="147">
        <f t="shared" si="1"/>
        <v>0</v>
      </c>
      <c r="AG30" s="148"/>
      <c r="AH30" s="148"/>
      <c r="AI30" s="148"/>
      <c r="AJ30" s="148"/>
      <c r="AK30" s="148"/>
      <c r="AL30" s="151"/>
      <c r="AM30" s="155"/>
      <c r="AN30" s="156"/>
      <c r="AO30" s="156"/>
      <c r="AP30" s="156"/>
      <c r="AQ30" s="156"/>
      <c r="AR30" s="156"/>
      <c r="AS30" s="1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4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6"/>
      <c r="T31" s="147"/>
      <c r="U31" s="148"/>
      <c r="V31" s="148"/>
      <c r="W31" s="148"/>
      <c r="X31" s="149"/>
      <c r="Y31" s="149"/>
      <c r="Z31" s="150"/>
      <c r="AA31" s="147"/>
      <c r="AB31" s="148"/>
      <c r="AC31" s="148"/>
      <c r="AD31" s="148"/>
      <c r="AE31" s="151"/>
      <c r="AF31" s="147">
        <f t="shared" si="1"/>
        <v>0</v>
      </c>
      <c r="AG31" s="148"/>
      <c r="AH31" s="148"/>
      <c r="AI31" s="148"/>
      <c r="AJ31" s="148"/>
      <c r="AK31" s="148"/>
      <c r="AL31" s="151"/>
      <c r="AM31" s="158"/>
      <c r="AN31" s="159"/>
      <c r="AO31" s="159"/>
      <c r="AP31" s="159"/>
      <c r="AQ31" s="159"/>
      <c r="AR31" s="159"/>
      <c r="AS31" s="160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4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6"/>
      <c r="T32" s="147"/>
      <c r="U32" s="148"/>
      <c r="V32" s="148"/>
      <c r="W32" s="148"/>
      <c r="X32" s="149"/>
      <c r="Y32" s="149"/>
      <c r="Z32" s="150"/>
      <c r="AA32" s="147"/>
      <c r="AB32" s="148"/>
      <c r="AC32" s="148"/>
      <c r="AD32" s="148"/>
      <c r="AE32" s="151"/>
      <c r="AF32" s="147">
        <f t="shared" si="1"/>
        <v>0</v>
      </c>
      <c r="AG32" s="148"/>
      <c r="AH32" s="148"/>
      <c r="AI32" s="148"/>
      <c r="AJ32" s="148"/>
      <c r="AK32" s="148"/>
      <c r="AL32" s="151"/>
      <c r="AM32" s="158"/>
      <c r="AN32" s="159"/>
      <c r="AO32" s="159"/>
      <c r="AP32" s="159"/>
      <c r="AQ32" s="159"/>
      <c r="AR32" s="159"/>
      <c r="AS32" s="160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4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6"/>
      <c r="T33" s="147"/>
      <c r="U33" s="148"/>
      <c r="V33" s="148"/>
      <c r="W33" s="148"/>
      <c r="X33" s="149"/>
      <c r="Y33" s="149"/>
      <c r="Z33" s="150"/>
      <c r="AA33" s="147"/>
      <c r="AB33" s="148"/>
      <c r="AC33" s="148"/>
      <c r="AD33" s="148"/>
      <c r="AE33" s="151"/>
      <c r="AF33" s="147">
        <f>IF(T33="",1*AA33,T33*AA33)</f>
        <v>0</v>
      </c>
      <c r="AG33" s="148"/>
      <c r="AH33" s="148"/>
      <c r="AI33" s="148"/>
      <c r="AJ33" s="148"/>
      <c r="AK33" s="148"/>
      <c r="AL33" s="151"/>
      <c r="AM33" s="158"/>
      <c r="AN33" s="159"/>
      <c r="AO33" s="159"/>
      <c r="AP33" s="159"/>
      <c r="AQ33" s="159"/>
      <c r="AR33" s="159"/>
      <c r="AS33" s="160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6"/>
      <c r="T34" s="147"/>
      <c r="U34" s="148"/>
      <c r="V34" s="148"/>
      <c r="W34" s="148"/>
      <c r="X34" s="149"/>
      <c r="Y34" s="149"/>
      <c r="Z34" s="150"/>
      <c r="AA34" s="147"/>
      <c r="AB34" s="148"/>
      <c r="AC34" s="148"/>
      <c r="AD34" s="148"/>
      <c r="AE34" s="151"/>
      <c r="AF34" s="147">
        <f>IF(T34="",1*AA34,T34*AA34)</f>
        <v>0</v>
      </c>
      <c r="AG34" s="148"/>
      <c r="AH34" s="148"/>
      <c r="AI34" s="148"/>
      <c r="AJ34" s="148"/>
      <c r="AK34" s="148"/>
      <c r="AL34" s="151"/>
      <c r="AM34" s="158"/>
      <c r="AN34" s="159"/>
      <c r="AO34" s="159"/>
      <c r="AP34" s="159"/>
      <c r="AQ34" s="159"/>
      <c r="AR34" s="159"/>
      <c r="AS34" s="160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4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6"/>
      <c r="T35" s="147"/>
      <c r="U35" s="148"/>
      <c r="V35" s="148"/>
      <c r="W35" s="148"/>
      <c r="X35" s="149"/>
      <c r="Y35" s="149"/>
      <c r="Z35" s="150"/>
      <c r="AA35" s="147"/>
      <c r="AB35" s="148"/>
      <c r="AC35" s="148"/>
      <c r="AD35" s="148"/>
      <c r="AE35" s="151"/>
      <c r="AF35" s="147">
        <f>IF(T35="",1*AA35,T35*AA35)</f>
        <v>0</v>
      </c>
      <c r="AG35" s="148"/>
      <c r="AH35" s="148"/>
      <c r="AI35" s="148"/>
      <c r="AJ35" s="148"/>
      <c r="AK35" s="148"/>
      <c r="AL35" s="151"/>
      <c r="AM35" s="152"/>
      <c r="AN35" s="153"/>
      <c r="AO35" s="153"/>
      <c r="AP35" s="153"/>
      <c r="AQ35" s="153"/>
      <c r="AR35" s="153"/>
      <c r="AS35" s="154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4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6"/>
      <c r="T36" s="147"/>
      <c r="U36" s="148"/>
      <c r="V36" s="148"/>
      <c r="W36" s="148"/>
      <c r="X36" s="149"/>
      <c r="Y36" s="149"/>
      <c r="Z36" s="150"/>
      <c r="AA36" s="147"/>
      <c r="AB36" s="148"/>
      <c r="AC36" s="148"/>
      <c r="AD36" s="148"/>
      <c r="AE36" s="151"/>
      <c r="AF36" s="147"/>
      <c r="AG36" s="148"/>
      <c r="AH36" s="148"/>
      <c r="AI36" s="148"/>
      <c r="AJ36" s="148"/>
      <c r="AK36" s="148"/>
      <c r="AL36" s="151"/>
      <c r="AM36" s="152"/>
      <c r="AN36" s="153"/>
      <c r="AO36" s="153"/>
      <c r="AP36" s="153"/>
      <c r="AQ36" s="153"/>
      <c r="AR36" s="153"/>
      <c r="AS36" s="154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4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6"/>
      <c r="T37" s="147"/>
      <c r="U37" s="148"/>
      <c r="V37" s="148"/>
      <c r="W37" s="148"/>
      <c r="X37" s="149"/>
      <c r="Y37" s="149"/>
      <c r="Z37" s="150"/>
      <c r="AA37" s="147"/>
      <c r="AB37" s="148"/>
      <c r="AC37" s="148"/>
      <c r="AD37" s="148"/>
      <c r="AE37" s="151"/>
      <c r="AF37" s="147"/>
      <c r="AG37" s="148"/>
      <c r="AH37" s="148"/>
      <c r="AI37" s="148"/>
      <c r="AJ37" s="148"/>
      <c r="AK37" s="148"/>
      <c r="AL37" s="151"/>
      <c r="AM37" s="152"/>
      <c r="AN37" s="153"/>
      <c r="AO37" s="153"/>
      <c r="AP37" s="153"/>
      <c r="AQ37" s="153"/>
      <c r="AR37" s="153"/>
      <c r="AS37" s="154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4"/>
      <c r="C38" s="135"/>
      <c r="D38" s="135"/>
      <c r="E38" s="135"/>
      <c r="F38" s="135"/>
      <c r="G38" s="136"/>
      <c r="H38" s="137">
        <f>AA38*0.1</f>
        <v>15000</v>
      </c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40" t="s">
        <v>14</v>
      </c>
      <c r="U38" s="135"/>
      <c r="V38" s="135"/>
      <c r="W38" s="135"/>
      <c r="X38" s="135"/>
      <c r="Y38" s="135"/>
      <c r="Z38" s="136"/>
      <c r="AA38" s="141">
        <f>SUM(AF26:AL37)</f>
        <v>150000</v>
      </c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3"/>
      <c r="AM38" s="193"/>
      <c r="AN38" s="194"/>
      <c r="AO38" s="194"/>
      <c r="AP38" s="194"/>
      <c r="AQ38" s="194"/>
      <c r="AR38" s="194"/>
      <c r="AS38" s="195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8" t="s">
        <v>7</v>
      </c>
      <c r="C39" s="119"/>
      <c r="D39" s="119"/>
      <c r="E39" s="119"/>
      <c r="F39" s="119"/>
      <c r="G39" s="120"/>
      <c r="H39" s="121">
        <f>CK115+H38</f>
        <v>165000</v>
      </c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3"/>
      <c r="AM39" s="189"/>
      <c r="AN39" s="190"/>
      <c r="AO39" s="190"/>
      <c r="AP39" s="190"/>
      <c r="AQ39" s="190"/>
      <c r="AR39" s="190"/>
      <c r="AS39" s="19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4" t="s">
        <v>15</v>
      </c>
      <c r="C40" s="125"/>
      <c r="D40" s="125"/>
      <c r="E40" s="126" t="s">
        <v>151</v>
      </c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7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31" t="s">
        <v>147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3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8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30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9"/>
      <c r="O44" s="109"/>
      <c r="P44" s="109"/>
      <c r="Q44" s="109"/>
      <c r="R44" s="109"/>
      <c r="S44" s="109"/>
      <c r="T44" s="109"/>
      <c r="U44" s="109"/>
      <c r="V44" s="109"/>
      <c r="W44" s="1"/>
      <c r="X44" s="51"/>
      <c r="Y44" s="16"/>
      <c r="Z44" s="15"/>
      <c r="AA44" s="15"/>
      <c r="AB44" s="117"/>
      <c r="AC44" s="117"/>
      <c r="AD44" s="117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1"/>
      <c r="O45" s="111"/>
      <c r="P45" s="107"/>
      <c r="Q45" s="107"/>
      <c r="R45" s="107"/>
      <c r="S45" s="107"/>
      <c r="T45" s="107"/>
      <c r="U45" s="107"/>
      <c r="V45" s="107"/>
      <c r="W45" s="1"/>
      <c r="X45" s="53"/>
      <c r="Y45" s="54"/>
      <c r="Z45" s="15"/>
      <c r="AA45" s="15"/>
      <c r="AB45" s="116"/>
      <c r="AC45" s="116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1"/>
      <c r="O46" s="111"/>
      <c r="P46" s="107"/>
      <c r="Q46" s="107"/>
      <c r="R46" s="107"/>
      <c r="S46" s="107"/>
      <c r="T46" s="107"/>
      <c r="U46" s="107"/>
      <c r="V46" s="107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1"/>
      <c r="O47" s="111"/>
      <c r="P47" s="107"/>
      <c r="Q47" s="107"/>
      <c r="R47" s="107"/>
      <c r="S47" s="107"/>
      <c r="T47" s="107"/>
      <c r="U47" s="107"/>
      <c r="V47" s="107"/>
      <c r="W47" s="1"/>
      <c r="X47" s="53"/>
      <c r="Y47" s="54"/>
      <c r="Z47" s="15"/>
      <c r="AA47" s="117"/>
      <c r="AB47" s="117"/>
      <c r="AC47" s="117"/>
      <c r="AD47" s="117"/>
      <c r="AE47" s="117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1"/>
      <c r="O48" s="111"/>
      <c r="P48" s="107"/>
      <c r="Q48" s="107"/>
      <c r="R48" s="107"/>
      <c r="S48" s="107"/>
      <c r="T48" s="107"/>
      <c r="U48" s="107"/>
      <c r="V48" s="107"/>
      <c r="W48" s="1"/>
      <c r="X48" s="53"/>
      <c r="Y48" s="54"/>
      <c r="Z48" s="15"/>
      <c r="AA48" s="56"/>
      <c r="AB48" s="116"/>
      <c r="AC48" s="116"/>
      <c r="AD48" s="116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1"/>
      <c r="O49" s="111"/>
      <c r="P49" s="107"/>
      <c r="Q49" s="107"/>
      <c r="R49" s="107"/>
      <c r="S49" s="107"/>
      <c r="T49" s="107"/>
      <c r="U49" s="107"/>
      <c r="V49" s="107"/>
      <c r="W49" s="1"/>
      <c r="X49" s="53"/>
      <c r="Y49" s="54"/>
      <c r="Z49" s="15"/>
      <c r="AA49" s="56"/>
      <c r="AB49" s="116"/>
      <c r="AC49" s="116"/>
      <c r="AD49" s="116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1"/>
      <c r="O50" s="111"/>
      <c r="P50" s="107"/>
      <c r="Q50" s="107"/>
      <c r="R50" s="107"/>
      <c r="S50" s="107"/>
      <c r="T50" s="107"/>
      <c r="U50" s="107"/>
      <c r="V50" s="107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1"/>
      <c r="O51" s="111"/>
      <c r="P51" s="107"/>
      <c r="Q51" s="107"/>
      <c r="R51" s="107"/>
      <c r="S51" s="107"/>
      <c r="T51" s="107"/>
      <c r="U51" s="107"/>
      <c r="V51" s="107"/>
      <c r="W51" s="1"/>
      <c r="X51" s="53"/>
      <c r="Y51" s="53"/>
      <c r="Z51" s="15"/>
      <c r="AA51" s="192"/>
      <c r="AB51" s="192"/>
      <c r="AC51" s="192"/>
      <c r="AD51" s="192"/>
      <c r="AE51" s="192"/>
      <c r="AF51" s="192"/>
      <c r="AG51" s="192"/>
      <c r="AH51" s="192"/>
      <c r="AI51" s="192"/>
      <c r="AJ51" s="117"/>
      <c r="AK51" s="117"/>
      <c r="AL51" s="117"/>
      <c r="AM51" s="117"/>
      <c r="AN51" s="117"/>
      <c r="AO51" s="117"/>
      <c r="AP51" s="117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1"/>
      <c r="O52" s="111"/>
      <c r="P52" s="107"/>
      <c r="Q52" s="107"/>
      <c r="R52" s="107"/>
      <c r="S52" s="107"/>
      <c r="T52" s="107"/>
      <c r="U52" s="107"/>
      <c r="V52" s="107"/>
      <c r="W52" s="1"/>
      <c r="X52" s="53"/>
      <c r="Y52" s="54"/>
      <c r="Z52" s="15"/>
      <c r="AA52" s="56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1"/>
      <c r="O53" s="111"/>
      <c r="P53" s="107"/>
      <c r="Q53" s="107"/>
      <c r="R53" s="107"/>
      <c r="S53" s="107"/>
      <c r="T53" s="107"/>
      <c r="U53" s="107"/>
      <c r="V53" s="107"/>
      <c r="W53" s="1"/>
      <c r="X53" s="53"/>
      <c r="Y53" s="54"/>
      <c r="Z53" s="15"/>
      <c r="AA53" s="56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1"/>
      <c r="O54" s="111"/>
      <c r="P54" s="107"/>
      <c r="Q54" s="107"/>
      <c r="R54" s="107"/>
      <c r="S54" s="107"/>
      <c r="T54" s="107"/>
      <c r="U54" s="107"/>
      <c r="V54" s="107"/>
      <c r="W54" s="1"/>
      <c r="X54" s="53"/>
      <c r="Y54" s="54"/>
      <c r="Z54" s="15"/>
      <c r="AA54" s="56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1"/>
      <c r="O55" s="111"/>
      <c r="P55" s="107"/>
      <c r="Q55" s="107"/>
      <c r="R55" s="107"/>
      <c r="S55" s="107"/>
      <c r="T55" s="107"/>
      <c r="U55" s="107"/>
      <c r="V55" s="107"/>
      <c r="W55" s="1"/>
      <c r="X55" s="53"/>
      <c r="Y55" s="54"/>
      <c r="Z55" s="15"/>
      <c r="AA55" s="56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9"/>
      <c r="O56" s="109"/>
      <c r="P56" s="107">
        <f>SUM(CK115:CQ115)</f>
        <v>150000</v>
      </c>
      <c r="Q56" s="107"/>
      <c r="R56" s="107"/>
      <c r="S56" s="107"/>
      <c r="T56" s="107"/>
      <c r="U56" s="107"/>
      <c r="V56" s="107"/>
      <c r="W56" s="1"/>
      <c r="X56" s="53"/>
      <c r="Y56" s="54"/>
      <c r="Z56" s="15"/>
      <c r="AA56" s="56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5"/>
      <c r="O60" s="115"/>
      <c r="P60" s="115"/>
      <c r="Q60" s="115"/>
      <c r="R60" s="11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"/>
      <c r="AR60" s="109"/>
      <c r="AS60" s="109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　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2">B27</f>
        <v>設置操作講習費　日時：2025年4月12日（土曜）</v>
      </c>
      <c r="FE102" s="64">
        <f t="shared" ref="FE102:FE112" si="3">T27</f>
        <v>0</v>
      </c>
      <c r="FF102" s="64" t="str">
        <f t="shared" ref="FF102:FF112" si="4">X27</f>
        <v>一式</v>
      </c>
      <c r="FG102" s="64">
        <f t="shared" ref="FG102:FG112" si="5">AA27</f>
        <v>150000</v>
      </c>
      <c r="FH102" s="64">
        <f t="shared" ref="FH102:FH112" si="6">AF27</f>
        <v>150000</v>
      </c>
      <c r="FI102" s="64" t="str">
        <f t="shared" ref="FI102:FI112" si="7">AM27</f>
        <v>10:00～17:00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7" t="s">
        <v>16</v>
      </c>
      <c r="CJ103" s="112"/>
      <c r="CK103" s="112"/>
      <c r="CL103" s="112"/>
      <c r="CM103" s="112"/>
      <c r="CN103" s="112"/>
      <c r="CO103" s="112"/>
      <c r="CP103" s="112"/>
      <c r="CQ103" s="88"/>
      <c r="CR103" s="1"/>
      <c r="CS103" s="27" t="s">
        <v>17</v>
      </c>
      <c r="CT103" s="14"/>
      <c r="CU103" s="15"/>
      <c r="CV103" s="15"/>
      <c r="CW103" s="106" t="s">
        <v>13</v>
      </c>
      <c r="CX103" s="106"/>
      <c r="CY103" s="106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8" t="s">
        <v>58</v>
      </c>
      <c r="DN103" s="108"/>
      <c r="DO103" s="108"/>
      <c r="DP103" s="108"/>
      <c r="DQ103" s="108"/>
      <c r="DR103" s="10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2"/>
        <v>0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9">
        <v>0</v>
      </c>
      <c r="CJ104" s="99"/>
      <c r="CK104" s="98">
        <f>AA38</f>
        <v>150000</v>
      </c>
      <c r="CL104" s="98"/>
      <c r="CM104" s="98"/>
      <c r="CN104" s="98"/>
      <c r="CO104" s="98"/>
      <c r="CP104" s="98"/>
      <c r="CQ104" s="98"/>
      <c r="CR104" s="1"/>
      <c r="CS104" s="17" t="s">
        <v>18</v>
      </c>
      <c r="CT104" s="18"/>
      <c r="CU104" s="15"/>
      <c r="CV104" s="15"/>
      <c r="CW104" s="100">
        <v>5</v>
      </c>
      <c r="CX104" s="101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3" t="s">
        <v>59</v>
      </c>
      <c r="DN104" s="104"/>
      <c r="DO104" s="104"/>
      <c r="DP104" s="104"/>
      <c r="DQ104" s="104"/>
      <c r="DR104" s="10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 xml:space="preserve"> デモ機持ち込み費用除く</v>
      </c>
      <c r="FE104" s="64">
        <f t="shared" si="3"/>
        <v>0</v>
      </c>
      <c r="FF104" s="64">
        <f t="shared" si="4"/>
        <v>0</v>
      </c>
      <c r="FG104" s="64">
        <f t="shared" si="5"/>
        <v>0</v>
      </c>
      <c r="FH104" s="64">
        <f t="shared" si="6"/>
        <v>0</v>
      </c>
      <c r="FI104" s="64">
        <f t="shared" si="7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9">
        <v>1</v>
      </c>
      <c r="CJ105" s="99"/>
      <c r="CK105" s="98">
        <f>IF(ISERROR(本体装備品一覧!AB30),0,本体装備品一覧!AB30)</f>
        <v>0</v>
      </c>
      <c r="CL105" s="98"/>
      <c r="CM105" s="98"/>
      <c r="CN105" s="98"/>
      <c r="CO105" s="98"/>
      <c r="CP105" s="98"/>
      <c r="CQ105" s="98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0</v>
      </c>
      <c r="FF105" s="64">
        <f t="shared" si="4"/>
        <v>0</v>
      </c>
      <c r="FG105" s="64">
        <f t="shared" si="5"/>
        <v>0</v>
      </c>
      <c r="FH105" s="64">
        <f t="shared" si="6"/>
        <v>0</v>
      </c>
      <c r="FI105" s="64">
        <f t="shared" si="7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9">
        <v>2</v>
      </c>
      <c r="CJ106" s="99"/>
      <c r="CK106" s="98">
        <f>IF(ISERROR(#REF!),0,#REF!)</f>
        <v>0</v>
      </c>
      <c r="CL106" s="98"/>
      <c r="CM106" s="98"/>
      <c r="CN106" s="98"/>
      <c r="CO106" s="98"/>
      <c r="CP106" s="98"/>
      <c r="CQ106" s="98"/>
      <c r="CR106" s="1"/>
      <c r="CS106" s="20" t="s">
        <v>21</v>
      </c>
      <c r="CT106" s="21"/>
      <c r="CU106" s="15"/>
      <c r="CV106" s="106" t="s">
        <v>22</v>
      </c>
      <c r="CW106" s="106"/>
      <c r="CX106" s="106"/>
      <c r="CY106" s="106"/>
      <c r="CZ106" s="106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8" t="s">
        <v>69</v>
      </c>
      <c r="DN106" s="108"/>
      <c r="DO106" s="108"/>
      <c r="DP106" s="108"/>
      <c r="DQ106" s="108"/>
      <c r="DR106" s="10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>
        <f t="shared" si="4"/>
        <v>0</v>
      </c>
      <c r="FG106" s="64">
        <f t="shared" si="5"/>
        <v>0</v>
      </c>
      <c r="FH106" s="64">
        <f t="shared" si="6"/>
        <v>0</v>
      </c>
      <c r="FI106" s="64">
        <f t="shared" si="7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9">
        <v>3</v>
      </c>
      <c r="CJ107" s="99"/>
      <c r="CK107" s="98">
        <f>IF(ISERROR(#REF!),0,#REF!)</f>
        <v>0</v>
      </c>
      <c r="CL107" s="98"/>
      <c r="CM107" s="98"/>
      <c r="CN107" s="98"/>
      <c r="CO107" s="98"/>
      <c r="CP107" s="98"/>
      <c r="CQ107" s="98"/>
      <c r="CR107" s="1"/>
      <c r="CS107" s="17" t="s">
        <v>23</v>
      </c>
      <c r="CT107" s="18"/>
      <c r="CU107" s="15"/>
      <c r="CV107" s="28" t="s">
        <v>24</v>
      </c>
      <c r="CW107" s="100">
        <v>100</v>
      </c>
      <c r="CX107" s="100"/>
      <c r="CY107" s="101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9" t="s">
        <v>78</v>
      </c>
      <c r="DN107" s="90"/>
      <c r="DO107" s="90"/>
      <c r="DP107" s="90"/>
      <c r="DQ107" s="90"/>
      <c r="DR107" s="9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9">
        <v>4</v>
      </c>
      <c r="CJ108" s="99"/>
      <c r="CK108" s="98"/>
      <c r="CL108" s="98"/>
      <c r="CM108" s="98"/>
      <c r="CN108" s="98"/>
      <c r="CO108" s="98"/>
      <c r="CP108" s="98"/>
      <c r="CQ108" s="98"/>
      <c r="CR108" s="1"/>
      <c r="CS108" s="17" t="s">
        <v>25</v>
      </c>
      <c r="CT108" s="18"/>
      <c r="CU108" s="15"/>
      <c r="CV108" s="28" t="s">
        <v>26</v>
      </c>
      <c r="CW108" s="100">
        <v>80</v>
      </c>
      <c r="CX108" s="100"/>
      <c r="CY108" s="101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3" t="s">
        <v>70</v>
      </c>
      <c r="DN108" s="104"/>
      <c r="DO108" s="104"/>
      <c r="DP108" s="104"/>
      <c r="DQ108" s="104"/>
      <c r="DR108" s="10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3"/>
        <v>0</v>
      </c>
      <c r="FF108" s="64">
        <f t="shared" si="4"/>
        <v>0</v>
      </c>
      <c r="FG108" s="64">
        <f t="shared" si="5"/>
        <v>0</v>
      </c>
      <c r="FH108" s="64">
        <f t="shared" si="6"/>
        <v>0</v>
      </c>
      <c r="FI108" s="64">
        <f t="shared" si="7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9">
        <v>5</v>
      </c>
      <c r="CJ109" s="99"/>
      <c r="CK109" s="98"/>
      <c r="CL109" s="98"/>
      <c r="CM109" s="98"/>
      <c r="CN109" s="98"/>
      <c r="CO109" s="98"/>
      <c r="CP109" s="98"/>
      <c r="CQ109" s="98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3" t="s">
        <v>71</v>
      </c>
      <c r="DN109" s="104"/>
      <c r="DO109" s="104"/>
      <c r="DP109" s="104"/>
      <c r="DQ109" s="104"/>
      <c r="DR109" s="10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2"/>
        <v>0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9">
        <v>6</v>
      </c>
      <c r="CJ110" s="99"/>
      <c r="CK110" s="98"/>
      <c r="CL110" s="98"/>
      <c r="CM110" s="98"/>
      <c r="CN110" s="98"/>
      <c r="CO110" s="98"/>
      <c r="CP110" s="98"/>
      <c r="CQ110" s="98"/>
      <c r="CR110" s="1"/>
      <c r="CS110" s="20" t="s">
        <v>28</v>
      </c>
      <c r="CT110" s="20"/>
      <c r="CU110" s="15"/>
      <c r="CV110" s="102" t="s">
        <v>29</v>
      </c>
      <c r="CW110" s="102"/>
      <c r="CX110" s="102"/>
      <c r="CY110" s="102"/>
      <c r="CZ110" s="102"/>
      <c r="DA110" s="102"/>
      <c r="DB110" s="102"/>
      <c r="DC110" s="102"/>
      <c r="DD110" s="102"/>
      <c r="DE110" s="106" t="s">
        <v>30</v>
      </c>
      <c r="DF110" s="106"/>
      <c r="DG110" s="106"/>
      <c r="DH110" s="106"/>
      <c r="DI110" s="106"/>
      <c r="DJ110" s="106"/>
      <c r="DK110" s="106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2"/>
        <v>0</v>
      </c>
      <c r="FE110" s="64">
        <f t="shared" si="3"/>
        <v>0</v>
      </c>
      <c r="FF110" s="64">
        <f t="shared" si="4"/>
        <v>0</v>
      </c>
      <c r="FG110" s="64">
        <f t="shared" si="5"/>
        <v>0</v>
      </c>
      <c r="FH110" s="64">
        <f t="shared" si="6"/>
        <v>0</v>
      </c>
      <c r="FI110" s="64">
        <f t="shared" si="7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9">
        <v>7</v>
      </c>
      <c r="CJ111" s="99"/>
      <c r="CK111" s="98"/>
      <c r="CL111" s="98"/>
      <c r="CM111" s="98"/>
      <c r="CN111" s="98"/>
      <c r="CO111" s="98"/>
      <c r="CP111" s="98"/>
      <c r="CQ111" s="98"/>
      <c r="CR111" s="1"/>
      <c r="CS111" s="17" t="s">
        <v>31</v>
      </c>
      <c r="CT111" s="18"/>
      <c r="CU111" s="15"/>
      <c r="CV111" s="28" t="s">
        <v>24</v>
      </c>
      <c r="CW111" s="96" t="s">
        <v>74</v>
      </c>
      <c r="CX111" s="96"/>
      <c r="CY111" s="96"/>
      <c r="CZ111" s="96"/>
      <c r="DA111" s="96"/>
      <c r="DB111" s="96"/>
      <c r="DC111" s="96"/>
      <c r="DD111" s="96"/>
      <c r="DE111" s="96" t="s">
        <v>32</v>
      </c>
      <c r="DF111" s="96"/>
      <c r="DG111" s="96"/>
      <c r="DH111" s="96"/>
      <c r="DI111" s="96"/>
      <c r="DJ111" s="96"/>
      <c r="DK111" s="96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2"/>
        <v>0</v>
      </c>
      <c r="FE111" s="64">
        <f t="shared" si="3"/>
        <v>0</v>
      </c>
      <c r="FF111" s="64">
        <f t="shared" si="4"/>
        <v>0</v>
      </c>
      <c r="FG111" s="64">
        <f t="shared" si="5"/>
        <v>0</v>
      </c>
      <c r="FH111" s="64">
        <f t="shared" si="6"/>
        <v>0</v>
      </c>
      <c r="FI111" s="64">
        <f t="shared" si="7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9">
        <v>8</v>
      </c>
      <c r="CJ112" s="99"/>
      <c r="CK112" s="98"/>
      <c r="CL112" s="98"/>
      <c r="CM112" s="98"/>
      <c r="CN112" s="98"/>
      <c r="CO112" s="98"/>
      <c r="CP112" s="98"/>
      <c r="CQ112" s="98"/>
      <c r="CR112" s="1"/>
      <c r="CS112" s="17" t="s">
        <v>33</v>
      </c>
      <c r="CT112" s="18"/>
      <c r="CU112" s="15"/>
      <c r="CV112" s="28" t="s">
        <v>26</v>
      </c>
      <c r="CW112" s="96" t="s">
        <v>83</v>
      </c>
      <c r="CX112" s="96"/>
      <c r="CY112" s="96"/>
      <c r="CZ112" s="96"/>
      <c r="DA112" s="96"/>
      <c r="DB112" s="96"/>
      <c r="DC112" s="96"/>
      <c r="DD112" s="96"/>
      <c r="DE112" s="96" t="s">
        <v>84</v>
      </c>
      <c r="DF112" s="96"/>
      <c r="DG112" s="96"/>
      <c r="DH112" s="96"/>
      <c r="DI112" s="96"/>
      <c r="DJ112" s="96"/>
      <c r="DK112" s="96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2"/>
        <v>0</v>
      </c>
      <c r="FE112" s="64">
        <f t="shared" si="3"/>
        <v>0</v>
      </c>
      <c r="FF112" s="64">
        <f t="shared" si="4"/>
        <v>0</v>
      </c>
      <c r="FG112" s="64">
        <f t="shared" si="5"/>
        <v>0</v>
      </c>
      <c r="FH112" s="64">
        <f t="shared" si="6"/>
        <v>0</v>
      </c>
      <c r="FI112" s="64">
        <f t="shared" si="7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9">
        <v>9</v>
      </c>
      <c r="CJ113" s="99"/>
      <c r="CK113" s="98"/>
      <c r="CL113" s="98"/>
      <c r="CM113" s="98"/>
      <c r="CN113" s="98"/>
      <c r="CO113" s="98"/>
      <c r="CP113" s="98"/>
      <c r="CQ113" s="98"/>
      <c r="CR113" s="1"/>
      <c r="CS113" s="17" t="s">
        <v>34</v>
      </c>
      <c r="CT113" s="18"/>
      <c r="CU113" s="15"/>
      <c r="CV113" s="28" t="s">
        <v>35</v>
      </c>
      <c r="CW113" s="96" t="s">
        <v>86</v>
      </c>
      <c r="CX113" s="96"/>
      <c r="CY113" s="96"/>
      <c r="CZ113" s="96"/>
      <c r="DA113" s="96"/>
      <c r="DB113" s="96"/>
      <c r="DC113" s="96"/>
      <c r="DD113" s="96"/>
      <c r="DE113" s="96" t="s">
        <v>85</v>
      </c>
      <c r="DF113" s="96"/>
      <c r="DG113" s="96"/>
      <c r="DH113" s="96"/>
      <c r="DI113" s="96"/>
      <c r="DJ113" s="96"/>
      <c r="DK113" s="96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9">
        <v>10</v>
      </c>
      <c r="CJ114" s="99"/>
      <c r="CK114" s="98"/>
      <c r="CL114" s="98"/>
      <c r="CM114" s="98"/>
      <c r="CN114" s="98"/>
      <c r="CO114" s="98"/>
      <c r="CP114" s="98"/>
      <c r="CQ114" s="98"/>
      <c r="CR114" s="1"/>
      <c r="CS114" s="20" t="s">
        <v>36</v>
      </c>
      <c r="CT114" s="21"/>
      <c r="CU114" s="15"/>
      <c r="CV114" s="28" t="s">
        <v>37</v>
      </c>
      <c r="CW114" s="96" t="s">
        <v>75</v>
      </c>
      <c r="CX114" s="96"/>
      <c r="CY114" s="96"/>
      <c r="CZ114" s="96"/>
      <c r="DA114" s="96"/>
      <c r="DB114" s="96"/>
      <c r="DC114" s="96"/>
      <c r="DD114" s="96"/>
      <c r="DE114" s="96" t="s">
        <v>38</v>
      </c>
      <c r="DF114" s="96"/>
      <c r="DG114" s="96"/>
      <c r="DH114" s="96"/>
      <c r="DI114" s="96"/>
      <c r="DJ114" s="96"/>
      <c r="DK114" s="96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7" t="s">
        <v>39</v>
      </c>
      <c r="CJ115" s="97"/>
      <c r="CK115" s="98">
        <f>SUM(CK104:CQ114)</f>
        <v>150000</v>
      </c>
      <c r="CL115" s="98"/>
      <c r="CM115" s="98"/>
      <c r="CN115" s="98"/>
      <c r="CO115" s="98"/>
      <c r="CP115" s="98"/>
      <c r="CQ115" s="98"/>
      <c r="CR115" s="1"/>
      <c r="CS115" s="17" t="s">
        <v>45</v>
      </c>
      <c r="CT115" s="18"/>
      <c r="CU115" s="15"/>
      <c r="CV115" s="28" t="s">
        <v>40</v>
      </c>
      <c r="CW115" s="96" t="s">
        <v>76</v>
      </c>
      <c r="CX115" s="96"/>
      <c r="CY115" s="96"/>
      <c r="CZ115" s="96"/>
      <c r="DA115" s="96"/>
      <c r="DB115" s="96"/>
      <c r="DC115" s="96"/>
      <c r="DD115" s="96"/>
      <c r="DE115" s="96" t="s">
        <v>41</v>
      </c>
      <c r="DF115" s="96"/>
      <c r="DG115" s="96"/>
      <c r="DH115" s="96"/>
      <c r="DI115" s="96"/>
      <c r="DJ115" s="96"/>
      <c r="DK115" s="96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3" t="s">
        <v>42</v>
      </c>
      <c r="CJ119" s="93"/>
      <c r="CK119" s="93"/>
      <c r="CL119" s="93"/>
      <c r="CM119" s="94" t="s">
        <v>87</v>
      </c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1"/>
      <c r="DM119" s="87" t="s">
        <v>44</v>
      </c>
      <c r="DN119" s="88"/>
      <c r="DO119" s="89" t="s">
        <v>79</v>
      </c>
      <c r="DP119" s="90"/>
      <c r="DQ119" s="90"/>
      <c r="DR119" s="90"/>
      <c r="DS119" s="90"/>
      <c r="DT119" s="90"/>
      <c r="DU119" s="9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3" t="s">
        <v>72</v>
      </c>
      <c r="CJ120" s="93"/>
      <c r="CK120" s="93"/>
      <c r="CL120" s="93"/>
      <c r="CM120" s="94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hiragana" allowBlank="1" showInputMessage="1" showErrorMessage="1" prompt="取引方法を入力_x000a_例：従来通り" sqref="I15:T15" xr:uid="{F278E7BB-C046-48E3-B88A-9BBB04E0A795}"/>
    <dataValidation allowBlank="1" showInputMessage="1" showErrorMessage="1" promptTitle="明細書01の状態" prompt="明細書01が表示されているときは 0_x000a_明細書01が非表示のときは 1" sqref="CE107" xr:uid="{92EFD110-4E7A-4861-A067-95ED957F66AE}"/>
    <dataValidation allowBlank="1" showInputMessage="1" showErrorMessage="1" promptTitle="シート数を入力" prompt="明細書が出ていない状態でシート枚数を表示" sqref="CE106" xr:uid="{E8A630B3-791C-46F0-8ABA-59FB7124FEBB}"/>
    <dataValidation type="list" allowBlank="1" showInputMessage="1" showErrorMessage="1" sqref="DM104:DR104" xr:uid="{F28D187B-5463-4CC2-968A-DBF2B4361F1A}">
      <formula1>$EM$102:$EM$103</formula1>
    </dataValidation>
    <dataValidation type="list" allowBlank="1" showInputMessage="1" showErrorMessage="1" sqref="T7:V8" xr:uid="{00BB4ADD-FC34-4608-B472-755A42EB12F5}">
      <formula1>$CE$109:$CE$111</formula1>
    </dataValidation>
    <dataValidation type="list" imeMode="hiragana" allowBlank="1" showInputMessage="1" showErrorMessage="1" prompt="ボタンを押し単位を入力" sqref="X26:Z37" xr:uid="{B1BA0AFE-24CA-45CE-B6F6-BF82FA010C2B}">
      <formula1>$CS$104:$CS$116</formula1>
    </dataValidation>
    <dataValidation type="list" allowBlank="1" showInputMessage="1" showErrorMessage="1" sqref="AA2:AJ3" xr:uid="{6CB5258D-D8EC-4331-B6E1-CC762FB4B904}">
      <formula1>$DD$104:$DD$108</formula1>
    </dataValidation>
    <dataValidation imeMode="hiragana" allowBlank="1" showInputMessage="1" showErrorMessage="1" prompt="備考があれば入力" sqref="AN35:AS37 AM26:AM37" xr:uid="{C20AC0EC-11C8-4797-B377-F5B1D75EACF8}"/>
    <dataValidation imeMode="off" allowBlank="1" showInputMessage="1" showErrorMessage="1" prompt="単価を入力" sqref="AA26:AE37" xr:uid="{BA85DE83-55AD-4A75-A3BF-FEAC9C717FAF}"/>
    <dataValidation imeMode="off" allowBlank="1" showInputMessage="1" showErrorMessage="1" prompt="数量を入力" sqref="T26:W37" xr:uid="{D247DD3F-7A89-43EB-A07A-FBE88E840B7A}"/>
    <dataValidation imeMode="hiragana" allowBlank="1" showInputMessage="1" showErrorMessage="1" prompt="品名を入力" sqref="B26:S37" xr:uid="{46E4D7BC-5584-4744-8F2D-4AC41BC4D135}"/>
    <dataValidation imeMode="hiragana" allowBlank="1" showInputMessage="1" showErrorMessage="1" prompt="担当者を入力" sqref="AF17:AL17" xr:uid="{E9733257-C808-4767-9E6E-206AC6C9F1C5}"/>
    <dataValidation imeMode="hiragana" allowBlank="1" showInputMessage="1" showErrorMessage="1" prompt="受渡場所を入力_x000a_例：貴社指定場所" sqref="H13:T13" xr:uid="{66282CD6-3DA1-41DA-8811-BAED79FF667A}"/>
    <dataValidation imeMode="off" allowBlank="1" showInputMessage="1" showErrorMessage="1" prompt="年を入力" sqref="J17:L17" xr:uid="{80851B2F-20BF-4219-B9D8-F9574FAD8F78}"/>
    <dataValidation imeMode="hiragana" allowBlank="1" showInputMessage="1" showErrorMessage="1" sqref="AB9:AS9 B41:AS42 E40:AS40" xr:uid="{8E573549-C4A0-4CDE-9D79-3C0156492CFB}"/>
    <dataValidation allowBlank="1" showInputMessage="1" showErrorMessage="1" prompt="見積書NOを入力" sqref="AN3:AR3" xr:uid="{C4E6AE61-52CC-43A0-9ED8-DCF94BB19173}"/>
    <dataValidation imeMode="hiragana" allowBlank="1" showInputMessage="1" showErrorMessage="1" prompt="お客様名を入力" sqref="D7:S8" xr:uid="{2E0FC379-F925-49FB-991F-3EBB55955961}"/>
    <dataValidation imeMode="hiragana" allowBlank="1" showInputMessage="1" showErrorMessage="1" prompt="お客様の住所でビル名番地など入力" sqref="D5:R5" xr:uid="{D7E0EDAB-F0C3-4CEE-BE6B-77D803F20CF8}"/>
    <dataValidation imeMode="hiragana" allowBlank="1" showInputMessage="1" showErrorMessage="1" prompt="お客様の住所を入力" sqref="D4" xr:uid="{9B3D1744-BDA2-4D69-BC3F-D170DE918769}"/>
    <dataValidation imeMode="off" allowBlank="1" showInputMessage="1" showErrorMessage="1" prompt="お客様の郵便番号を入力" sqref="E3:H3" xr:uid="{FBE80942-81B0-4779-95FC-3065A822521A}"/>
    <dataValidation imeMode="off" allowBlank="1" showInputMessage="1" showErrorMessage="1" prompt="日を入力" sqref="AP6:AQ6 Q17:R17" xr:uid="{FC479AE9-68BE-4ED6-925C-1C98C196E950}"/>
    <dataValidation imeMode="off" allowBlank="1" showInputMessage="1" showErrorMessage="1" prompt="月を入力" sqref="AM6:AN6 N17:O17" xr:uid="{8F1AA47E-F45A-4AA5-B036-19AF1CCA858E}"/>
    <dataValidation imeMode="off" allowBlank="1" showInputMessage="1" showErrorMessage="1" prompt="年を入力  西暦表示の場合、平成を消してください" sqref="AI6:AK6" xr:uid="{7EB3F056-4745-469A-891D-3D26DA1FF95E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33" t="s">
        <v>128</v>
      </c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AL3" s="5" t="s">
        <v>0</v>
      </c>
      <c r="AM3" s="5"/>
      <c r="AN3" s="236"/>
      <c r="AO3" s="236"/>
      <c r="AP3" s="236"/>
      <c r="AQ3" s="236"/>
      <c r="AR3" s="23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9" t="s">
        <v>88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1"/>
      <c r="U5" s="161" t="s">
        <v>9</v>
      </c>
      <c r="V5" s="162"/>
      <c r="W5" s="162"/>
      <c r="X5" s="162"/>
      <c r="Y5" s="162"/>
      <c r="Z5" s="162"/>
      <c r="AA5" s="167"/>
      <c r="AB5" s="161" t="s">
        <v>10</v>
      </c>
      <c r="AC5" s="162"/>
      <c r="AD5" s="162"/>
      <c r="AE5" s="162"/>
      <c r="AF5" s="162"/>
      <c r="AG5" s="161" t="s">
        <v>11</v>
      </c>
      <c r="AH5" s="162"/>
      <c r="AI5" s="162"/>
      <c r="AJ5" s="162"/>
      <c r="AK5" s="162"/>
      <c r="AL5" s="162"/>
      <c r="AM5" s="167"/>
      <c r="AN5" s="161" t="s">
        <v>12</v>
      </c>
      <c r="AO5" s="162"/>
      <c r="AP5" s="162"/>
      <c r="AQ5" s="162"/>
      <c r="AR5" s="162"/>
      <c r="AS5" s="162"/>
      <c r="AT5" s="16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2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4"/>
      <c r="U6" s="163"/>
      <c r="V6" s="164"/>
      <c r="W6" s="164"/>
      <c r="X6" s="164"/>
      <c r="Y6" s="164"/>
      <c r="Z6" s="164"/>
      <c r="AA6" s="168"/>
      <c r="AB6" s="163"/>
      <c r="AC6" s="164"/>
      <c r="AD6" s="164"/>
      <c r="AE6" s="164"/>
      <c r="AF6" s="164"/>
      <c r="AG6" s="163"/>
      <c r="AH6" s="164"/>
      <c r="AI6" s="164"/>
      <c r="AJ6" s="164"/>
      <c r="AK6" s="164"/>
      <c r="AL6" s="164"/>
      <c r="AM6" s="168"/>
      <c r="AN6" s="163"/>
      <c r="AO6" s="164"/>
      <c r="AP6" s="164"/>
      <c r="AQ6" s="164"/>
      <c r="AR6" s="164"/>
      <c r="AS6" s="164"/>
      <c r="AT6" s="16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5" t="s">
        <v>137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226"/>
      <c r="U7" s="147">
        <v>1</v>
      </c>
      <c r="V7" s="148"/>
      <c r="W7" s="148"/>
      <c r="X7" s="148"/>
      <c r="Y7" s="149" t="s">
        <v>131</v>
      </c>
      <c r="Z7" s="149"/>
      <c r="AA7" s="150"/>
      <c r="AB7" s="147">
        <v>13200</v>
      </c>
      <c r="AC7" s="148"/>
      <c r="AD7" s="148"/>
      <c r="AE7" s="148"/>
      <c r="AF7" s="151"/>
      <c r="AG7" s="147">
        <f>IF(U7="",1*AB7,U7*AB7)</f>
        <v>13200</v>
      </c>
      <c r="AH7" s="148"/>
      <c r="AI7" s="148"/>
      <c r="AJ7" s="148"/>
      <c r="AK7" s="148"/>
      <c r="AL7" s="148"/>
      <c r="AM7" s="151"/>
      <c r="AN7" s="227"/>
      <c r="AO7" s="228"/>
      <c r="AP7" s="228"/>
      <c r="AQ7" s="228"/>
      <c r="AR7" s="228"/>
      <c r="AS7" s="228"/>
      <c r="AT7" s="22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5" t="s">
        <v>132</v>
      </c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226"/>
      <c r="U8" s="147">
        <v>1</v>
      </c>
      <c r="V8" s="148"/>
      <c r="W8" s="148"/>
      <c r="X8" s="148"/>
      <c r="Y8" s="149" t="s">
        <v>131</v>
      </c>
      <c r="Z8" s="149"/>
      <c r="AA8" s="150"/>
      <c r="AB8" s="147">
        <v>10340</v>
      </c>
      <c r="AC8" s="148"/>
      <c r="AD8" s="148"/>
      <c r="AE8" s="148"/>
      <c r="AF8" s="151"/>
      <c r="AG8" s="147">
        <f t="shared" ref="AG8:AG29" si="0">IF(U8="",1*AB8,U8*AB8)</f>
        <v>10340</v>
      </c>
      <c r="AH8" s="148"/>
      <c r="AI8" s="148"/>
      <c r="AJ8" s="148"/>
      <c r="AK8" s="148"/>
      <c r="AL8" s="148"/>
      <c r="AM8" s="151"/>
      <c r="AN8" s="227"/>
      <c r="AO8" s="228"/>
      <c r="AP8" s="228"/>
      <c r="AQ8" s="228"/>
      <c r="AR8" s="228"/>
      <c r="AS8" s="228"/>
      <c r="AT8" s="22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5" t="s">
        <v>133</v>
      </c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226"/>
      <c r="U9" s="147">
        <v>1</v>
      </c>
      <c r="V9" s="148"/>
      <c r="W9" s="148"/>
      <c r="X9" s="148"/>
      <c r="Y9" s="149" t="s">
        <v>131</v>
      </c>
      <c r="Z9" s="149"/>
      <c r="AA9" s="150"/>
      <c r="AB9" s="147">
        <v>18400</v>
      </c>
      <c r="AC9" s="148"/>
      <c r="AD9" s="148"/>
      <c r="AE9" s="148"/>
      <c r="AF9" s="151"/>
      <c r="AG9" s="147">
        <f t="shared" si="0"/>
        <v>18400</v>
      </c>
      <c r="AH9" s="148"/>
      <c r="AI9" s="148"/>
      <c r="AJ9" s="148"/>
      <c r="AK9" s="148"/>
      <c r="AL9" s="148"/>
      <c r="AM9" s="151"/>
      <c r="AN9" s="227"/>
      <c r="AO9" s="228"/>
      <c r="AP9" s="228"/>
      <c r="AQ9" s="228"/>
      <c r="AR9" s="228"/>
      <c r="AS9" s="228"/>
      <c r="AT9" s="22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5" t="s">
        <v>134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226"/>
      <c r="U10" s="147">
        <v>1</v>
      </c>
      <c r="V10" s="148"/>
      <c r="W10" s="148"/>
      <c r="X10" s="148"/>
      <c r="Y10" s="149" t="s">
        <v>131</v>
      </c>
      <c r="Z10" s="149"/>
      <c r="AA10" s="150"/>
      <c r="AB10" s="147">
        <v>18400</v>
      </c>
      <c r="AC10" s="148"/>
      <c r="AD10" s="148"/>
      <c r="AE10" s="148"/>
      <c r="AF10" s="151"/>
      <c r="AG10" s="147">
        <f t="shared" si="0"/>
        <v>18400</v>
      </c>
      <c r="AH10" s="148"/>
      <c r="AI10" s="148"/>
      <c r="AJ10" s="148"/>
      <c r="AK10" s="148"/>
      <c r="AL10" s="148"/>
      <c r="AM10" s="151"/>
      <c r="AN10" s="227"/>
      <c r="AO10" s="228"/>
      <c r="AP10" s="228"/>
      <c r="AQ10" s="228"/>
      <c r="AR10" s="228"/>
      <c r="AS10" s="228"/>
      <c r="AT10" s="22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5" t="s">
        <v>135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226"/>
      <c r="U11" s="147">
        <v>1</v>
      </c>
      <c r="V11" s="148"/>
      <c r="W11" s="148"/>
      <c r="X11" s="148"/>
      <c r="Y11" s="149" t="s">
        <v>131</v>
      </c>
      <c r="Z11" s="149"/>
      <c r="AA11" s="150"/>
      <c r="AB11" s="147">
        <v>3960</v>
      </c>
      <c r="AC11" s="148"/>
      <c r="AD11" s="148"/>
      <c r="AE11" s="148"/>
      <c r="AF11" s="151"/>
      <c r="AG11" s="147">
        <f t="shared" si="0"/>
        <v>3960</v>
      </c>
      <c r="AH11" s="148"/>
      <c r="AI11" s="148"/>
      <c r="AJ11" s="148"/>
      <c r="AK11" s="148"/>
      <c r="AL11" s="148"/>
      <c r="AM11" s="151"/>
      <c r="AN11" s="227"/>
      <c r="AO11" s="228"/>
      <c r="AP11" s="228"/>
      <c r="AQ11" s="228"/>
      <c r="AR11" s="228"/>
      <c r="AS11" s="228"/>
      <c r="AT11" s="22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5" t="s">
        <v>136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226"/>
      <c r="U12" s="147">
        <v>10</v>
      </c>
      <c r="V12" s="148"/>
      <c r="W12" s="148"/>
      <c r="X12" s="148"/>
      <c r="Y12" s="149" t="s">
        <v>131</v>
      </c>
      <c r="Z12" s="149"/>
      <c r="AA12" s="150"/>
      <c r="AB12" s="147">
        <v>1200</v>
      </c>
      <c r="AC12" s="148"/>
      <c r="AD12" s="148"/>
      <c r="AE12" s="148"/>
      <c r="AF12" s="151"/>
      <c r="AG12" s="147">
        <f t="shared" si="0"/>
        <v>12000</v>
      </c>
      <c r="AH12" s="148"/>
      <c r="AI12" s="148"/>
      <c r="AJ12" s="148"/>
      <c r="AK12" s="148"/>
      <c r="AL12" s="148"/>
      <c r="AM12" s="151"/>
      <c r="AN12" s="227"/>
      <c r="AO12" s="228"/>
      <c r="AP12" s="228"/>
      <c r="AQ12" s="228"/>
      <c r="AR12" s="228"/>
      <c r="AS12" s="228"/>
      <c r="AT12" s="22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5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226"/>
      <c r="U13" s="147"/>
      <c r="V13" s="148"/>
      <c r="W13" s="148"/>
      <c r="X13" s="148"/>
      <c r="Y13" s="149"/>
      <c r="Z13" s="149"/>
      <c r="AA13" s="150"/>
      <c r="AB13" s="147"/>
      <c r="AC13" s="148"/>
      <c r="AD13" s="148"/>
      <c r="AE13" s="148"/>
      <c r="AF13" s="151"/>
      <c r="AG13" s="147">
        <f t="shared" si="0"/>
        <v>0</v>
      </c>
      <c r="AH13" s="148"/>
      <c r="AI13" s="148"/>
      <c r="AJ13" s="148"/>
      <c r="AK13" s="148"/>
      <c r="AL13" s="148"/>
      <c r="AM13" s="151"/>
      <c r="AN13" s="227"/>
      <c r="AO13" s="228"/>
      <c r="AP13" s="228"/>
      <c r="AQ13" s="228"/>
      <c r="AR13" s="228"/>
      <c r="AS13" s="228"/>
      <c r="AT13" s="22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5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226"/>
      <c r="U14" s="147"/>
      <c r="V14" s="148"/>
      <c r="W14" s="148"/>
      <c r="X14" s="148"/>
      <c r="Y14" s="149"/>
      <c r="Z14" s="149"/>
      <c r="AA14" s="150"/>
      <c r="AB14" s="147"/>
      <c r="AC14" s="148"/>
      <c r="AD14" s="148"/>
      <c r="AE14" s="148"/>
      <c r="AF14" s="151"/>
      <c r="AG14" s="147">
        <f t="shared" si="0"/>
        <v>0</v>
      </c>
      <c r="AH14" s="148"/>
      <c r="AI14" s="148"/>
      <c r="AJ14" s="148"/>
      <c r="AK14" s="148"/>
      <c r="AL14" s="148"/>
      <c r="AM14" s="151"/>
      <c r="AN14" s="227"/>
      <c r="AO14" s="228"/>
      <c r="AP14" s="228"/>
      <c r="AQ14" s="228"/>
      <c r="AR14" s="228"/>
      <c r="AS14" s="228"/>
      <c r="AT14" s="22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5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226"/>
      <c r="U15" s="147"/>
      <c r="V15" s="148"/>
      <c r="W15" s="148"/>
      <c r="X15" s="148"/>
      <c r="Y15" s="149"/>
      <c r="Z15" s="149"/>
      <c r="AA15" s="150"/>
      <c r="AB15" s="147"/>
      <c r="AC15" s="148"/>
      <c r="AD15" s="148"/>
      <c r="AE15" s="148"/>
      <c r="AF15" s="151"/>
      <c r="AG15" s="147">
        <f t="shared" si="0"/>
        <v>0</v>
      </c>
      <c r="AH15" s="148"/>
      <c r="AI15" s="148"/>
      <c r="AJ15" s="148"/>
      <c r="AK15" s="148"/>
      <c r="AL15" s="148"/>
      <c r="AM15" s="151"/>
      <c r="AN15" s="227"/>
      <c r="AO15" s="228"/>
      <c r="AP15" s="228"/>
      <c r="AQ15" s="228"/>
      <c r="AR15" s="228"/>
      <c r="AS15" s="228"/>
      <c r="AT15" s="22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5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226"/>
      <c r="U16" s="147"/>
      <c r="V16" s="148"/>
      <c r="W16" s="148"/>
      <c r="X16" s="148"/>
      <c r="Y16" s="149"/>
      <c r="Z16" s="149"/>
      <c r="AA16" s="150"/>
      <c r="AB16" s="147"/>
      <c r="AC16" s="148"/>
      <c r="AD16" s="148"/>
      <c r="AE16" s="148"/>
      <c r="AF16" s="151"/>
      <c r="AG16" s="147">
        <f t="shared" si="0"/>
        <v>0</v>
      </c>
      <c r="AH16" s="148"/>
      <c r="AI16" s="148"/>
      <c r="AJ16" s="148"/>
      <c r="AK16" s="148"/>
      <c r="AL16" s="148"/>
      <c r="AM16" s="151"/>
      <c r="AN16" s="227"/>
      <c r="AO16" s="228"/>
      <c r="AP16" s="228"/>
      <c r="AQ16" s="228"/>
      <c r="AR16" s="228"/>
      <c r="AS16" s="228"/>
      <c r="AT16" s="22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5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226"/>
      <c r="U17" s="147"/>
      <c r="V17" s="148"/>
      <c r="W17" s="148"/>
      <c r="X17" s="148"/>
      <c r="Y17" s="149"/>
      <c r="Z17" s="149"/>
      <c r="AA17" s="150"/>
      <c r="AB17" s="147"/>
      <c r="AC17" s="148"/>
      <c r="AD17" s="148"/>
      <c r="AE17" s="148"/>
      <c r="AF17" s="151"/>
      <c r="AG17" s="147">
        <f t="shared" si="0"/>
        <v>0</v>
      </c>
      <c r="AH17" s="148"/>
      <c r="AI17" s="148"/>
      <c r="AJ17" s="148"/>
      <c r="AK17" s="148"/>
      <c r="AL17" s="148"/>
      <c r="AM17" s="151"/>
      <c r="AN17" s="227"/>
      <c r="AO17" s="228"/>
      <c r="AP17" s="228"/>
      <c r="AQ17" s="228"/>
      <c r="AR17" s="228"/>
      <c r="AS17" s="228"/>
      <c r="AT17" s="22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5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226"/>
      <c r="U18" s="147"/>
      <c r="V18" s="148"/>
      <c r="W18" s="148"/>
      <c r="X18" s="148"/>
      <c r="Y18" s="149"/>
      <c r="Z18" s="149"/>
      <c r="AA18" s="150"/>
      <c r="AB18" s="147"/>
      <c r="AC18" s="148"/>
      <c r="AD18" s="148"/>
      <c r="AE18" s="148"/>
      <c r="AF18" s="151"/>
      <c r="AG18" s="147">
        <f t="shared" si="0"/>
        <v>0</v>
      </c>
      <c r="AH18" s="148"/>
      <c r="AI18" s="148"/>
      <c r="AJ18" s="148"/>
      <c r="AK18" s="148"/>
      <c r="AL18" s="148"/>
      <c r="AM18" s="151"/>
      <c r="AN18" s="227"/>
      <c r="AO18" s="228"/>
      <c r="AP18" s="228"/>
      <c r="AQ18" s="228"/>
      <c r="AR18" s="228"/>
      <c r="AS18" s="228"/>
      <c r="AT18" s="22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5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226"/>
      <c r="U19" s="147"/>
      <c r="V19" s="148"/>
      <c r="W19" s="148"/>
      <c r="X19" s="148"/>
      <c r="Y19" s="149"/>
      <c r="Z19" s="149"/>
      <c r="AA19" s="150"/>
      <c r="AB19" s="147"/>
      <c r="AC19" s="148"/>
      <c r="AD19" s="148"/>
      <c r="AE19" s="148"/>
      <c r="AF19" s="151"/>
      <c r="AG19" s="147">
        <f t="shared" si="0"/>
        <v>0</v>
      </c>
      <c r="AH19" s="148"/>
      <c r="AI19" s="148"/>
      <c r="AJ19" s="148"/>
      <c r="AK19" s="148"/>
      <c r="AL19" s="148"/>
      <c r="AM19" s="151"/>
      <c r="AN19" s="227"/>
      <c r="AO19" s="228"/>
      <c r="AP19" s="228"/>
      <c r="AQ19" s="228"/>
      <c r="AR19" s="228"/>
      <c r="AS19" s="228"/>
      <c r="AT19" s="22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4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226"/>
      <c r="U20" s="147"/>
      <c r="V20" s="148"/>
      <c r="W20" s="148"/>
      <c r="X20" s="148"/>
      <c r="Y20" s="149"/>
      <c r="Z20" s="149"/>
      <c r="AA20" s="150"/>
      <c r="AB20" s="147"/>
      <c r="AC20" s="148"/>
      <c r="AD20" s="148"/>
      <c r="AE20" s="148"/>
      <c r="AF20" s="151"/>
      <c r="AG20" s="147">
        <f t="shared" si="0"/>
        <v>0</v>
      </c>
      <c r="AH20" s="148"/>
      <c r="AI20" s="148"/>
      <c r="AJ20" s="148"/>
      <c r="AK20" s="148"/>
      <c r="AL20" s="148"/>
      <c r="AM20" s="151"/>
      <c r="AN20" s="227"/>
      <c r="AO20" s="228"/>
      <c r="AP20" s="228"/>
      <c r="AQ20" s="228"/>
      <c r="AR20" s="228"/>
      <c r="AS20" s="228"/>
      <c r="AT20" s="22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4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47"/>
      <c r="V21" s="148"/>
      <c r="W21" s="148"/>
      <c r="X21" s="148"/>
      <c r="Y21" s="149"/>
      <c r="Z21" s="149"/>
      <c r="AA21" s="150"/>
      <c r="AB21" s="147"/>
      <c r="AC21" s="148"/>
      <c r="AD21" s="148"/>
      <c r="AE21" s="148"/>
      <c r="AF21" s="151"/>
      <c r="AG21" s="147">
        <f t="shared" si="0"/>
        <v>0</v>
      </c>
      <c r="AH21" s="148"/>
      <c r="AI21" s="148"/>
      <c r="AJ21" s="148"/>
      <c r="AK21" s="148"/>
      <c r="AL21" s="148"/>
      <c r="AM21" s="151"/>
      <c r="AN21" s="227"/>
      <c r="AO21" s="228"/>
      <c r="AP21" s="228"/>
      <c r="AQ21" s="228"/>
      <c r="AR21" s="228"/>
      <c r="AS21" s="228"/>
      <c r="AT21" s="22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4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47"/>
      <c r="V22" s="148"/>
      <c r="W22" s="148"/>
      <c r="X22" s="148"/>
      <c r="Y22" s="149"/>
      <c r="Z22" s="149"/>
      <c r="AA22" s="150"/>
      <c r="AB22" s="147"/>
      <c r="AC22" s="148"/>
      <c r="AD22" s="148"/>
      <c r="AE22" s="148"/>
      <c r="AF22" s="151"/>
      <c r="AG22" s="147">
        <f t="shared" si="0"/>
        <v>0</v>
      </c>
      <c r="AH22" s="148"/>
      <c r="AI22" s="148"/>
      <c r="AJ22" s="148"/>
      <c r="AK22" s="148"/>
      <c r="AL22" s="148"/>
      <c r="AM22" s="151"/>
      <c r="AN22" s="227"/>
      <c r="AO22" s="228"/>
      <c r="AP22" s="228"/>
      <c r="AQ22" s="228"/>
      <c r="AR22" s="228"/>
      <c r="AS22" s="228"/>
      <c r="AT22" s="22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5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226"/>
      <c r="U23" s="147"/>
      <c r="V23" s="148"/>
      <c r="W23" s="148"/>
      <c r="X23" s="148"/>
      <c r="Y23" s="149"/>
      <c r="Z23" s="149"/>
      <c r="AA23" s="150"/>
      <c r="AB23" s="147"/>
      <c r="AC23" s="148"/>
      <c r="AD23" s="148"/>
      <c r="AE23" s="148"/>
      <c r="AF23" s="151"/>
      <c r="AG23" s="147">
        <f t="shared" si="0"/>
        <v>0</v>
      </c>
      <c r="AH23" s="148"/>
      <c r="AI23" s="148"/>
      <c r="AJ23" s="148"/>
      <c r="AK23" s="148"/>
      <c r="AL23" s="148"/>
      <c r="AM23" s="151"/>
      <c r="AN23" s="227"/>
      <c r="AO23" s="228"/>
      <c r="AP23" s="228"/>
      <c r="AQ23" s="228"/>
      <c r="AR23" s="228"/>
      <c r="AS23" s="228"/>
      <c r="AT23" s="22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5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226"/>
      <c r="U24" s="147"/>
      <c r="V24" s="148"/>
      <c r="W24" s="148"/>
      <c r="X24" s="148"/>
      <c r="Y24" s="149"/>
      <c r="Z24" s="149"/>
      <c r="AA24" s="150"/>
      <c r="AB24" s="147"/>
      <c r="AC24" s="148"/>
      <c r="AD24" s="148"/>
      <c r="AE24" s="148"/>
      <c r="AF24" s="151"/>
      <c r="AG24" s="147">
        <f t="shared" si="0"/>
        <v>0</v>
      </c>
      <c r="AH24" s="148"/>
      <c r="AI24" s="148"/>
      <c r="AJ24" s="148"/>
      <c r="AK24" s="148"/>
      <c r="AL24" s="148"/>
      <c r="AM24" s="151"/>
      <c r="AN24" s="227"/>
      <c r="AO24" s="228"/>
      <c r="AP24" s="228"/>
      <c r="AQ24" s="228"/>
      <c r="AR24" s="228"/>
      <c r="AS24" s="228"/>
      <c r="AT24" s="22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5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226"/>
      <c r="U25" s="147"/>
      <c r="V25" s="148"/>
      <c r="W25" s="148"/>
      <c r="X25" s="148"/>
      <c r="Y25" s="149"/>
      <c r="Z25" s="149"/>
      <c r="AA25" s="150"/>
      <c r="AB25" s="147"/>
      <c r="AC25" s="148"/>
      <c r="AD25" s="148"/>
      <c r="AE25" s="148"/>
      <c r="AF25" s="151"/>
      <c r="AG25" s="147">
        <f t="shared" si="0"/>
        <v>0</v>
      </c>
      <c r="AH25" s="148"/>
      <c r="AI25" s="148"/>
      <c r="AJ25" s="148"/>
      <c r="AK25" s="148"/>
      <c r="AL25" s="148"/>
      <c r="AM25" s="151"/>
      <c r="AN25" s="227"/>
      <c r="AO25" s="228"/>
      <c r="AP25" s="228"/>
      <c r="AQ25" s="228"/>
      <c r="AR25" s="228"/>
      <c r="AS25" s="228"/>
      <c r="AT25" s="22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5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226"/>
      <c r="U26" s="147"/>
      <c r="V26" s="148"/>
      <c r="W26" s="148"/>
      <c r="X26" s="148"/>
      <c r="Y26" s="149"/>
      <c r="Z26" s="149"/>
      <c r="AA26" s="150"/>
      <c r="AB26" s="147"/>
      <c r="AC26" s="148"/>
      <c r="AD26" s="148"/>
      <c r="AE26" s="148"/>
      <c r="AF26" s="151"/>
      <c r="AG26" s="147">
        <f t="shared" si="0"/>
        <v>0</v>
      </c>
      <c r="AH26" s="148"/>
      <c r="AI26" s="148"/>
      <c r="AJ26" s="148"/>
      <c r="AK26" s="148"/>
      <c r="AL26" s="148"/>
      <c r="AM26" s="151"/>
      <c r="AN26" s="227"/>
      <c r="AO26" s="228"/>
      <c r="AP26" s="228"/>
      <c r="AQ26" s="228"/>
      <c r="AR26" s="228"/>
      <c r="AS26" s="228"/>
      <c r="AT26" s="22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5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226"/>
      <c r="U27" s="147"/>
      <c r="V27" s="148"/>
      <c r="W27" s="148"/>
      <c r="X27" s="148"/>
      <c r="Y27" s="149"/>
      <c r="Z27" s="149"/>
      <c r="AA27" s="150"/>
      <c r="AB27" s="147"/>
      <c r="AC27" s="148"/>
      <c r="AD27" s="148"/>
      <c r="AE27" s="148"/>
      <c r="AF27" s="151"/>
      <c r="AG27" s="147">
        <f t="shared" si="0"/>
        <v>0</v>
      </c>
      <c r="AH27" s="148"/>
      <c r="AI27" s="148"/>
      <c r="AJ27" s="148"/>
      <c r="AK27" s="148"/>
      <c r="AL27" s="148"/>
      <c r="AM27" s="151"/>
      <c r="AN27" s="227"/>
      <c r="AO27" s="228"/>
      <c r="AP27" s="228"/>
      <c r="AQ27" s="228"/>
      <c r="AR27" s="228"/>
      <c r="AS27" s="228"/>
      <c r="AT27" s="22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5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226"/>
      <c r="U28" s="147"/>
      <c r="V28" s="148"/>
      <c r="W28" s="148"/>
      <c r="X28" s="148"/>
      <c r="Y28" s="149"/>
      <c r="Z28" s="149"/>
      <c r="AA28" s="150"/>
      <c r="AB28" s="147"/>
      <c r="AC28" s="148"/>
      <c r="AD28" s="148"/>
      <c r="AE28" s="148"/>
      <c r="AF28" s="151"/>
      <c r="AG28" s="147">
        <f t="shared" si="0"/>
        <v>0</v>
      </c>
      <c r="AH28" s="148"/>
      <c r="AI28" s="148"/>
      <c r="AJ28" s="148"/>
      <c r="AK28" s="148"/>
      <c r="AL28" s="148"/>
      <c r="AM28" s="151"/>
      <c r="AN28" s="227"/>
      <c r="AO28" s="228"/>
      <c r="AP28" s="228"/>
      <c r="AQ28" s="228"/>
      <c r="AR28" s="228"/>
      <c r="AS28" s="228"/>
      <c r="AT28" s="22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5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226"/>
      <c r="U29" s="147"/>
      <c r="V29" s="148"/>
      <c r="W29" s="148"/>
      <c r="X29" s="148"/>
      <c r="Y29" s="149"/>
      <c r="Z29" s="149"/>
      <c r="AA29" s="150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27"/>
      <c r="AO29" s="228"/>
      <c r="AP29" s="228"/>
      <c r="AQ29" s="228"/>
      <c r="AR29" s="228"/>
      <c r="AS29" s="228"/>
      <c r="AT29" s="22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5" t="s">
        <v>43</v>
      </c>
      <c r="V30" s="216"/>
      <c r="W30" s="216"/>
      <c r="X30" s="216"/>
      <c r="Y30" s="216"/>
      <c r="Z30" s="216"/>
      <c r="AA30" s="217"/>
      <c r="AB30" s="218">
        <f>SUM(AG7:AG29)</f>
        <v>76300</v>
      </c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3" t="s">
        <v>42</v>
      </c>
      <c r="CJ119" s="93"/>
      <c r="CK119" s="93"/>
      <c r="CL119" s="93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3" t="s">
        <v>73</v>
      </c>
      <c r="CJ120" s="93"/>
      <c r="CK120" s="93"/>
      <c r="CL120" s="93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33" t="s">
        <v>94</v>
      </c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AL3" s="5" t="s">
        <v>0</v>
      </c>
      <c r="AM3" s="5"/>
      <c r="AN3" s="236"/>
      <c r="AO3" s="236"/>
      <c r="AP3" s="236"/>
      <c r="AQ3" s="236"/>
      <c r="AR3" s="23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9" t="s">
        <v>88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1"/>
      <c r="U5" s="161" t="s">
        <v>9</v>
      </c>
      <c r="V5" s="162"/>
      <c r="W5" s="162"/>
      <c r="X5" s="162"/>
      <c r="Y5" s="162"/>
      <c r="Z5" s="162"/>
      <c r="AA5" s="167"/>
      <c r="AB5" s="161" t="s">
        <v>10</v>
      </c>
      <c r="AC5" s="162"/>
      <c r="AD5" s="162"/>
      <c r="AE5" s="162"/>
      <c r="AF5" s="162"/>
      <c r="AG5" s="161" t="s">
        <v>11</v>
      </c>
      <c r="AH5" s="162"/>
      <c r="AI5" s="162"/>
      <c r="AJ5" s="162"/>
      <c r="AK5" s="162"/>
      <c r="AL5" s="162"/>
      <c r="AM5" s="167"/>
      <c r="AN5" s="161" t="s">
        <v>12</v>
      </c>
      <c r="AO5" s="162"/>
      <c r="AP5" s="162"/>
      <c r="AQ5" s="162"/>
      <c r="AR5" s="162"/>
      <c r="AS5" s="162"/>
      <c r="AT5" s="16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2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4"/>
      <c r="U6" s="163"/>
      <c r="V6" s="164"/>
      <c r="W6" s="164"/>
      <c r="X6" s="164"/>
      <c r="Y6" s="164"/>
      <c r="Z6" s="164"/>
      <c r="AA6" s="168"/>
      <c r="AB6" s="163"/>
      <c r="AC6" s="164"/>
      <c r="AD6" s="164"/>
      <c r="AE6" s="164"/>
      <c r="AF6" s="164"/>
      <c r="AG6" s="163"/>
      <c r="AH6" s="164"/>
      <c r="AI6" s="164"/>
      <c r="AJ6" s="164"/>
      <c r="AK6" s="164"/>
      <c r="AL6" s="164"/>
      <c r="AM6" s="168"/>
      <c r="AN6" s="163"/>
      <c r="AO6" s="164"/>
      <c r="AP6" s="164"/>
      <c r="AQ6" s="164"/>
      <c r="AR6" s="164"/>
      <c r="AS6" s="164"/>
      <c r="AT6" s="16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5" t="s">
        <v>100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226"/>
      <c r="U7" s="147">
        <v>1</v>
      </c>
      <c r="V7" s="148"/>
      <c r="W7" s="148"/>
      <c r="X7" s="148"/>
      <c r="Y7" s="149" t="s">
        <v>93</v>
      </c>
      <c r="Z7" s="149"/>
      <c r="AA7" s="150"/>
      <c r="AB7" s="147"/>
      <c r="AC7" s="148"/>
      <c r="AD7" s="148"/>
      <c r="AE7" s="148"/>
      <c r="AF7" s="151"/>
      <c r="AG7" s="147">
        <f>IF(U7="",1*AB7,U7*AB7)</f>
        <v>0</v>
      </c>
      <c r="AH7" s="148"/>
      <c r="AI7" s="148"/>
      <c r="AJ7" s="148"/>
      <c r="AK7" s="148"/>
      <c r="AL7" s="148"/>
      <c r="AM7" s="151"/>
      <c r="AN7" s="227"/>
      <c r="AO7" s="228"/>
      <c r="AP7" s="228"/>
      <c r="AQ7" s="228"/>
      <c r="AR7" s="228"/>
      <c r="AS7" s="228"/>
      <c r="AT7" s="22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5" t="s">
        <v>101</v>
      </c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226"/>
      <c r="U8" s="147">
        <v>1</v>
      </c>
      <c r="V8" s="148"/>
      <c r="W8" s="148"/>
      <c r="X8" s="148"/>
      <c r="Y8" s="149" t="s">
        <v>93</v>
      </c>
      <c r="Z8" s="149"/>
      <c r="AA8" s="150"/>
      <c r="AB8" s="147"/>
      <c r="AC8" s="148"/>
      <c r="AD8" s="148"/>
      <c r="AE8" s="148"/>
      <c r="AF8" s="151"/>
      <c r="AG8" s="147">
        <f t="shared" ref="AG8:AG29" si="0">IF(U8="",1*AB8,U8*AB8)</f>
        <v>0</v>
      </c>
      <c r="AH8" s="148"/>
      <c r="AI8" s="148"/>
      <c r="AJ8" s="148"/>
      <c r="AK8" s="148"/>
      <c r="AL8" s="148"/>
      <c r="AM8" s="151"/>
      <c r="AN8" s="227"/>
      <c r="AO8" s="228"/>
      <c r="AP8" s="228"/>
      <c r="AQ8" s="228"/>
      <c r="AR8" s="228"/>
      <c r="AS8" s="228"/>
      <c r="AT8" s="22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5" t="s">
        <v>102</v>
      </c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226"/>
      <c r="U9" s="147">
        <v>1</v>
      </c>
      <c r="V9" s="148"/>
      <c r="W9" s="148"/>
      <c r="X9" s="148"/>
      <c r="Y9" s="149" t="s">
        <v>93</v>
      </c>
      <c r="Z9" s="149"/>
      <c r="AA9" s="150"/>
      <c r="AB9" s="147"/>
      <c r="AC9" s="148"/>
      <c r="AD9" s="148"/>
      <c r="AE9" s="148"/>
      <c r="AF9" s="151"/>
      <c r="AG9" s="147"/>
      <c r="AH9" s="148"/>
      <c r="AI9" s="148"/>
      <c r="AJ9" s="148"/>
      <c r="AK9" s="148"/>
      <c r="AL9" s="148"/>
      <c r="AM9" s="151"/>
      <c r="AN9" s="227"/>
      <c r="AO9" s="228"/>
      <c r="AP9" s="228"/>
      <c r="AQ9" s="228"/>
      <c r="AR9" s="228"/>
      <c r="AS9" s="228"/>
      <c r="AT9" s="22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5" t="s">
        <v>103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226"/>
      <c r="U10" s="147">
        <v>1</v>
      </c>
      <c r="V10" s="148"/>
      <c r="W10" s="148"/>
      <c r="X10" s="148"/>
      <c r="Y10" s="149" t="s">
        <v>93</v>
      </c>
      <c r="Z10" s="149"/>
      <c r="AA10" s="150"/>
      <c r="AB10" s="147"/>
      <c r="AC10" s="148"/>
      <c r="AD10" s="148"/>
      <c r="AE10" s="148"/>
      <c r="AF10" s="151"/>
      <c r="AG10" s="147">
        <f t="shared" si="0"/>
        <v>0</v>
      </c>
      <c r="AH10" s="148"/>
      <c r="AI10" s="148"/>
      <c r="AJ10" s="148"/>
      <c r="AK10" s="148"/>
      <c r="AL10" s="148"/>
      <c r="AM10" s="151"/>
      <c r="AN10" s="227"/>
      <c r="AO10" s="228"/>
      <c r="AP10" s="228"/>
      <c r="AQ10" s="228"/>
      <c r="AR10" s="228"/>
      <c r="AS10" s="228"/>
      <c r="AT10" s="22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5" t="s">
        <v>104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226"/>
      <c r="U11" s="147">
        <v>1</v>
      </c>
      <c r="V11" s="148"/>
      <c r="W11" s="148"/>
      <c r="X11" s="148"/>
      <c r="Y11" s="149" t="s">
        <v>93</v>
      </c>
      <c r="Z11" s="149"/>
      <c r="AA11" s="150"/>
      <c r="AB11" s="147"/>
      <c r="AC11" s="148"/>
      <c r="AD11" s="148"/>
      <c r="AE11" s="148"/>
      <c r="AF11" s="151"/>
      <c r="AG11" s="147">
        <f t="shared" si="0"/>
        <v>0</v>
      </c>
      <c r="AH11" s="148"/>
      <c r="AI11" s="148"/>
      <c r="AJ11" s="148"/>
      <c r="AK11" s="148"/>
      <c r="AL11" s="148"/>
      <c r="AM11" s="151"/>
      <c r="AN11" s="227"/>
      <c r="AO11" s="228"/>
      <c r="AP11" s="228"/>
      <c r="AQ11" s="228"/>
      <c r="AR11" s="228"/>
      <c r="AS11" s="228"/>
      <c r="AT11" s="22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5" t="s">
        <v>105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226"/>
      <c r="U12" s="147">
        <v>1</v>
      </c>
      <c r="V12" s="148"/>
      <c r="W12" s="148"/>
      <c r="X12" s="148"/>
      <c r="Y12" s="149" t="s">
        <v>93</v>
      </c>
      <c r="Z12" s="149"/>
      <c r="AA12" s="150"/>
      <c r="AB12" s="147"/>
      <c r="AC12" s="148"/>
      <c r="AD12" s="148"/>
      <c r="AE12" s="148"/>
      <c r="AF12" s="151"/>
      <c r="AG12" s="147">
        <f t="shared" si="0"/>
        <v>0</v>
      </c>
      <c r="AH12" s="148"/>
      <c r="AI12" s="148"/>
      <c r="AJ12" s="148"/>
      <c r="AK12" s="148"/>
      <c r="AL12" s="148"/>
      <c r="AM12" s="151"/>
      <c r="AN12" s="227"/>
      <c r="AO12" s="228"/>
      <c r="AP12" s="228"/>
      <c r="AQ12" s="228"/>
      <c r="AR12" s="228"/>
      <c r="AS12" s="228"/>
      <c r="AT12" s="22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5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226"/>
      <c r="U13" s="147"/>
      <c r="V13" s="148"/>
      <c r="W13" s="148"/>
      <c r="X13" s="148"/>
      <c r="Y13" s="149"/>
      <c r="Z13" s="149"/>
      <c r="AA13" s="150"/>
      <c r="AB13" s="147"/>
      <c r="AC13" s="148"/>
      <c r="AD13" s="148"/>
      <c r="AE13" s="148"/>
      <c r="AF13" s="151"/>
      <c r="AG13" s="147">
        <f t="shared" si="0"/>
        <v>0</v>
      </c>
      <c r="AH13" s="148"/>
      <c r="AI13" s="148"/>
      <c r="AJ13" s="148"/>
      <c r="AK13" s="148"/>
      <c r="AL13" s="148"/>
      <c r="AM13" s="151"/>
      <c r="AN13" s="227"/>
      <c r="AO13" s="228"/>
      <c r="AP13" s="228"/>
      <c r="AQ13" s="228"/>
      <c r="AR13" s="228"/>
      <c r="AS13" s="228"/>
      <c r="AT13" s="22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5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226"/>
      <c r="U14" s="147"/>
      <c r="V14" s="148"/>
      <c r="W14" s="148"/>
      <c r="X14" s="148"/>
      <c r="Y14" s="149"/>
      <c r="Z14" s="149"/>
      <c r="AA14" s="150"/>
      <c r="AB14" s="147"/>
      <c r="AC14" s="148"/>
      <c r="AD14" s="148"/>
      <c r="AE14" s="148"/>
      <c r="AF14" s="151"/>
      <c r="AG14" s="147">
        <f t="shared" si="0"/>
        <v>0</v>
      </c>
      <c r="AH14" s="148"/>
      <c r="AI14" s="148"/>
      <c r="AJ14" s="148"/>
      <c r="AK14" s="148"/>
      <c r="AL14" s="148"/>
      <c r="AM14" s="151"/>
      <c r="AN14" s="227"/>
      <c r="AO14" s="228"/>
      <c r="AP14" s="228"/>
      <c r="AQ14" s="228"/>
      <c r="AR14" s="228"/>
      <c r="AS14" s="228"/>
      <c r="AT14" s="22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5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226"/>
      <c r="U15" s="147"/>
      <c r="V15" s="148"/>
      <c r="W15" s="148"/>
      <c r="X15" s="148"/>
      <c r="Y15" s="149"/>
      <c r="Z15" s="149"/>
      <c r="AA15" s="150"/>
      <c r="AB15" s="147"/>
      <c r="AC15" s="148"/>
      <c r="AD15" s="148"/>
      <c r="AE15" s="148"/>
      <c r="AF15" s="151"/>
      <c r="AG15" s="147">
        <f t="shared" si="0"/>
        <v>0</v>
      </c>
      <c r="AH15" s="148"/>
      <c r="AI15" s="148"/>
      <c r="AJ15" s="148"/>
      <c r="AK15" s="148"/>
      <c r="AL15" s="148"/>
      <c r="AM15" s="151"/>
      <c r="AN15" s="227"/>
      <c r="AO15" s="228"/>
      <c r="AP15" s="228"/>
      <c r="AQ15" s="228"/>
      <c r="AR15" s="228"/>
      <c r="AS15" s="228"/>
      <c r="AT15" s="22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5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226"/>
      <c r="U16" s="147"/>
      <c r="V16" s="148"/>
      <c r="W16" s="148"/>
      <c r="X16" s="148"/>
      <c r="Y16" s="149"/>
      <c r="Z16" s="149"/>
      <c r="AA16" s="150"/>
      <c r="AB16" s="147"/>
      <c r="AC16" s="148"/>
      <c r="AD16" s="148"/>
      <c r="AE16" s="148"/>
      <c r="AF16" s="151"/>
      <c r="AG16" s="147">
        <f t="shared" si="0"/>
        <v>0</v>
      </c>
      <c r="AH16" s="148"/>
      <c r="AI16" s="148"/>
      <c r="AJ16" s="148"/>
      <c r="AK16" s="148"/>
      <c r="AL16" s="148"/>
      <c r="AM16" s="151"/>
      <c r="AN16" s="227"/>
      <c r="AO16" s="228"/>
      <c r="AP16" s="228"/>
      <c r="AQ16" s="228"/>
      <c r="AR16" s="228"/>
      <c r="AS16" s="228"/>
      <c r="AT16" s="22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5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226"/>
      <c r="U17" s="147"/>
      <c r="V17" s="148"/>
      <c r="W17" s="148"/>
      <c r="X17" s="148"/>
      <c r="Y17" s="149"/>
      <c r="Z17" s="149"/>
      <c r="AA17" s="150"/>
      <c r="AB17" s="147"/>
      <c r="AC17" s="148"/>
      <c r="AD17" s="148"/>
      <c r="AE17" s="148"/>
      <c r="AF17" s="151"/>
      <c r="AG17" s="147">
        <f t="shared" si="0"/>
        <v>0</v>
      </c>
      <c r="AH17" s="148"/>
      <c r="AI17" s="148"/>
      <c r="AJ17" s="148"/>
      <c r="AK17" s="148"/>
      <c r="AL17" s="148"/>
      <c r="AM17" s="151"/>
      <c r="AN17" s="227"/>
      <c r="AO17" s="228"/>
      <c r="AP17" s="228"/>
      <c r="AQ17" s="228"/>
      <c r="AR17" s="228"/>
      <c r="AS17" s="228"/>
      <c r="AT17" s="22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5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226"/>
      <c r="U18" s="147"/>
      <c r="V18" s="148"/>
      <c r="W18" s="148"/>
      <c r="X18" s="148"/>
      <c r="Y18" s="149"/>
      <c r="Z18" s="149"/>
      <c r="AA18" s="150"/>
      <c r="AB18" s="147"/>
      <c r="AC18" s="148"/>
      <c r="AD18" s="148"/>
      <c r="AE18" s="148"/>
      <c r="AF18" s="151"/>
      <c r="AG18" s="147">
        <f t="shared" si="0"/>
        <v>0</v>
      </c>
      <c r="AH18" s="148"/>
      <c r="AI18" s="148"/>
      <c r="AJ18" s="148"/>
      <c r="AK18" s="148"/>
      <c r="AL18" s="148"/>
      <c r="AM18" s="151"/>
      <c r="AN18" s="227"/>
      <c r="AO18" s="228"/>
      <c r="AP18" s="228"/>
      <c r="AQ18" s="228"/>
      <c r="AR18" s="228"/>
      <c r="AS18" s="228"/>
      <c r="AT18" s="22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5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226"/>
      <c r="U19" s="147"/>
      <c r="V19" s="148"/>
      <c r="W19" s="148"/>
      <c r="X19" s="148"/>
      <c r="Y19" s="149"/>
      <c r="Z19" s="149"/>
      <c r="AA19" s="150"/>
      <c r="AB19" s="147"/>
      <c r="AC19" s="148"/>
      <c r="AD19" s="148"/>
      <c r="AE19" s="148"/>
      <c r="AF19" s="151"/>
      <c r="AG19" s="147">
        <f t="shared" si="0"/>
        <v>0</v>
      </c>
      <c r="AH19" s="148"/>
      <c r="AI19" s="148"/>
      <c r="AJ19" s="148"/>
      <c r="AK19" s="148"/>
      <c r="AL19" s="148"/>
      <c r="AM19" s="151"/>
      <c r="AN19" s="227"/>
      <c r="AO19" s="228"/>
      <c r="AP19" s="228"/>
      <c r="AQ19" s="228"/>
      <c r="AR19" s="228"/>
      <c r="AS19" s="228"/>
      <c r="AT19" s="22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5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226"/>
      <c r="U20" s="147"/>
      <c r="V20" s="148"/>
      <c r="W20" s="148"/>
      <c r="X20" s="148"/>
      <c r="Y20" s="149"/>
      <c r="Z20" s="149"/>
      <c r="AA20" s="150"/>
      <c r="AB20" s="147"/>
      <c r="AC20" s="148"/>
      <c r="AD20" s="148"/>
      <c r="AE20" s="148"/>
      <c r="AF20" s="151"/>
      <c r="AG20" s="147">
        <f t="shared" si="0"/>
        <v>0</v>
      </c>
      <c r="AH20" s="148"/>
      <c r="AI20" s="148"/>
      <c r="AJ20" s="148"/>
      <c r="AK20" s="148"/>
      <c r="AL20" s="148"/>
      <c r="AM20" s="151"/>
      <c r="AN20" s="227"/>
      <c r="AO20" s="228"/>
      <c r="AP20" s="228"/>
      <c r="AQ20" s="228"/>
      <c r="AR20" s="228"/>
      <c r="AS20" s="228"/>
      <c r="AT20" s="22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5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226"/>
      <c r="U21" s="147"/>
      <c r="V21" s="148"/>
      <c r="W21" s="148"/>
      <c r="X21" s="148"/>
      <c r="Y21" s="149"/>
      <c r="Z21" s="149"/>
      <c r="AA21" s="150"/>
      <c r="AB21" s="147"/>
      <c r="AC21" s="148"/>
      <c r="AD21" s="148"/>
      <c r="AE21" s="148"/>
      <c r="AF21" s="151"/>
      <c r="AG21" s="147">
        <f t="shared" si="0"/>
        <v>0</v>
      </c>
      <c r="AH21" s="148"/>
      <c r="AI21" s="148"/>
      <c r="AJ21" s="148"/>
      <c r="AK21" s="148"/>
      <c r="AL21" s="148"/>
      <c r="AM21" s="151"/>
      <c r="AN21" s="227"/>
      <c r="AO21" s="228"/>
      <c r="AP21" s="228"/>
      <c r="AQ21" s="228"/>
      <c r="AR21" s="228"/>
      <c r="AS21" s="228"/>
      <c r="AT21" s="22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226"/>
      <c r="U22" s="147"/>
      <c r="V22" s="148"/>
      <c r="W22" s="148"/>
      <c r="X22" s="148"/>
      <c r="Y22" s="149"/>
      <c r="Z22" s="149"/>
      <c r="AA22" s="150"/>
      <c r="AB22" s="147"/>
      <c r="AC22" s="148"/>
      <c r="AD22" s="148"/>
      <c r="AE22" s="148"/>
      <c r="AF22" s="151"/>
      <c r="AG22" s="147">
        <f t="shared" si="0"/>
        <v>0</v>
      </c>
      <c r="AH22" s="148"/>
      <c r="AI22" s="148"/>
      <c r="AJ22" s="148"/>
      <c r="AK22" s="148"/>
      <c r="AL22" s="148"/>
      <c r="AM22" s="151"/>
      <c r="AN22" s="237"/>
      <c r="AO22" s="238"/>
      <c r="AP22" s="238"/>
      <c r="AQ22" s="238"/>
      <c r="AR22" s="238"/>
      <c r="AS22" s="238"/>
      <c r="AT22" s="23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5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226"/>
      <c r="U23" s="147"/>
      <c r="V23" s="148"/>
      <c r="W23" s="148"/>
      <c r="X23" s="148"/>
      <c r="Y23" s="149"/>
      <c r="Z23" s="149"/>
      <c r="AA23" s="150"/>
      <c r="AB23" s="147"/>
      <c r="AC23" s="148"/>
      <c r="AD23" s="148"/>
      <c r="AE23" s="148"/>
      <c r="AF23" s="151"/>
      <c r="AG23" s="147">
        <f t="shared" si="0"/>
        <v>0</v>
      </c>
      <c r="AH23" s="148"/>
      <c r="AI23" s="148"/>
      <c r="AJ23" s="148"/>
      <c r="AK23" s="148"/>
      <c r="AL23" s="148"/>
      <c r="AM23" s="151"/>
      <c r="AN23" s="237"/>
      <c r="AO23" s="238"/>
      <c r="AP23" s="238"/>
      <c r="AQ23" s="238"/>
      <c r="AR23" s="238"/>
      <c r="AS23" s="238"/>
      <c r="AT23" s="23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5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226"/>
      <c r="U24" s="147"/>
      <c r="V24" s="148"/>
      <c r="W24" s="148"/>
      <c r="X24" s="148"/>
      <c r="Y24" s="149"/>
      <c r="Z24" s="149"/>
      <c r="AA24" s="150"/>
      <c r="AB24" s="147"/>
      <c r="AC24" s="148"/>
      <c r="AD24" s="148"/>
      <c r="AE24" s="148"/>
      <c r="AF24" s="151"/>
      <c r="AG24" s="147">
        <f t="shared" si="0"/>
        <v>0</v>
      </c>
      <c r="AH24" s="148"/>
      <c r="AI24" s="148"/>
      <c r="AJ24" s="148"/>
      <c r="AK24" s="148"/>
      <c r="AL24" s="148"/>
      <c r="AM24" s="151"/>
      <c r="AN24" s="237"/>
      <c r="AO24" s="238"/>
      <c r="AP24" s="238"/>
      <c r="AQ24" s="238"/>
      <c r="AR24" s="238"/>
      <c r="AS24" s="238"/>
      <c r="AT24" s="23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5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226"/>
      <c r="U25" s="147"/>
      <c r="V25" s="148"/>
      <c r="W25" s="148"/>
      <c r="X25" s="148"/>
      <c r="Y25" s="149"/>
      <c r="Z25" s="149"/>
      <c r="AA25" s="150"/>
      <c r="AB25" s="147"/>
      <c r="AC25" s="148"/>
      <c r="AD25" s="148"/>
      <c r="AE25" s="148"/>
      <c r="AF25" s="151"/>
      <c r="AG25" s="147">
        <f t="shared" si="0"/>
        <v>0</v>
      </c>
      <c r="AH25" s="148"/>
      <c r="AI25" s="148"/>
      <c r="AJ25" s="148"/>
      <c r="AK25" s="148"/>
      <c r="AL25" s="148"/>
      <c r="AM25" s="151"/>
      <c r="AN25" s="237"/>
      <c r="AO25" s="238"/>
      <c r="AP25" s="238"/>
      <c r="AQ25" s="238"/>
      <c r="AR25" s="238"/>
      <c r="AS25" s="238"/>
      <c r="AT25" s="23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5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226"/>
      <c r="U26" s="147"/>
      <c r="V26" s="148"/>
      <c r="W26" s="148"/>
      <c r="X26" s="148"/>
      <c r="Y26" s="149"/>
      <c r="Z26" s="149"/>
      <c r="AA26" s="150"/>
      <c r="AB26" s="147"/>
      <c r="AC26" s="148"/>
      <c r="AD26" s="148"/>
      <c r="AE26" s="148"/>
      <c r="AF26" s="151"/>
      <c r="AG26" s="147">
        <f t="shared" si="0"/>
        <v>0</v>
      </c>
      <c r="AH26" s="148"/>
      <c r="AI26" s="148"/>
      <c r="AJ26" s="148"/>
      <c r="AK26" s="148"/>
      <c r="AL26" s="148"/>
      <c r="AM26" s="151"/>
      <c r="AN26" s="237"/>
      <c r="AO26" s="238"/>
      <c r="AP26" s="238"/>
      <c r="AQ26" s="238"/>
      <c r="AR26" s="238"/>
      <c r="AS26" s="238"/>
      <c r="AT26" s="23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5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226"/>
      <c r="U27" s="147"/>
      <c r="V27" s="148"/>
      <c r="W27" s="148"/>
      <c r="X27" s="148"/>
      <c r="Y27" s="149"/>
      <c r="Z27" s="149"/>
      <c r="AA27" s="150"/>
      <c r="AB27" s="147"/>
      <c r="AC27" s="148"/>
      <c r="AD27" s="148"/>
      <c r="AE27" s="148"/>
      <c r="AF27" s="151"/>
      <c r="AG27" s="147">
        <f t="shared" si="0"/>
        <v>0</v>
      </c>
      <c r="AH27" s="148"/>
      <c r="AI27" s="148"/>
      <c r="AJ27" s="148"/>
      <c r="AK27" s="148"/>
      <c r="AL27" s="148"/>
      <c r="AM27" s="151"/>
      <c r="AN27" s="237"/>
      <c r="AO27" s="238"/>
      <c r="AP27" s="238"/>
      <c r="AQ27" s="238"/>
      <c r="AR27" s="238"/>
      <c r="AS27" s="238"/>
      <c r="AT27" s="23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5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226"/>
      <c r="U28" s="147"/>
      <c r="V28" s="148"/>
      <c r="W28" s="148"/>
      <c r="X28" s="148"/>
      <c r="Y28" s="149"/>
      <c r="Z28" s="149"/>
      <c r="AA28" s="150"/>
      <c r="AB28" s="147"/>
      <c r="AC28" s="148"/>
      <c r="AD28" s="148"/>
      <c r="AE28" s="148"/>
      <c r="AF28" s="151"/>
      <c r="AG28" s="147">
        <f t="shared" si="0"/>
        <v>0</v>
      </c>
      <c r="AH28" s="148"/>
      <c r="AI28" s="148"/>
      <c r="AJ28" s="148"/>
      <c r="AK28" s="148"/>
      <c r="AL28" s="148"/>
      <c r="AM28" s="151"/>
      <c r="AN28" s="237"/>
      <c r="AO28" s="238"/>
      <c r="AP28" s="238"/>
      <c r="AQ28" s="238"/>
      <c r="AR28" s="238"/>
      <c r="AS28" s="238"/>
      <c r="AT28" s="23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5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226"/>
      <c r="U29" s="147"/>
      <c r="V29" s="148"/>
      <c r="W29" s="148"/>
      <c r="X29" s="148"/>
      <c r="Y29" s="149"/>
      <c r="Z29" s="149"/>
      <c r="AA29" s="150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37"/>
      <c r="AO29" s="238"/>
      <c r="AP29" s="238"/>
      <c r="AQ29" s="238"/>
      <c r="AR29" s="238"/>
      <c r="AS29" s="238"/>
      <c r="AT29" s="23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8" t="s">
        <v>43</v>
      </c>
      <c r="V30" s="119"/>
      <c r="W30" s="119"/>
      <c r="X30" s="119"/>
      <c r="Y30" s="119"/>
      <c r="Z30" s="119"/>
      <c r="AA30" s="120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3" t="s">
        <v>42</v>
      </c>
      <c r="CJ119" s="93"/>
      <c r="CK119" s="93"/>
      <c r="CL119" s="93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3" t="s">
        <v>73</v>
      </c>
      <c r="CJ120" s="93"/>
      <c r="CK120" s="93"/>
      <c r="CL120" s="93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33" t="s">
        <v>127</v>
      </c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AL3" s="5" t="s">
        <v>0</v>
      </c>
      <c r="AM3" s="5"/>
      <c r="AN3" s="236"/>
      <c r="AO3" s="236"/>
      <c r="AP3" s="236"/>
      <c r="AQ3" s="236"/>
      <c r="AR3" s="23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9" t="s">
        <v>88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1"/>
      <c r="U5" s="161" t="s">
        <v>9</v>
      </c>
      <c r="V5" s="162"/>
      <c r="W5" s="162"/>
      <c r="X5" s="162"/>
      <c r="Y5" s="162"/>
      <c r="Z5" s="162"/>
      <c r="AA5" s="167"/>
      <c r="AB5" s="161" t="s">
        <v>10</v>
      </c>
      <c r="AC5" s="162"/>
      <c r="AD5" s="162"/>
      <c r="AE5" s="162"/>
      <c r="AF5" s="162"/>
      <c r="AG5" s="161" t="s">
        <v>11</v>
      </c>
      <c r="AH5" s="162"/>
      <c r="AI5" s="162"/>
      <c r="AJ5" s="162"/>
      <c r="AK5" s="162"/>
      <c r="AL5" s="162"/>
      <c r="AM5" s="167"/>
      <c r="AN5" s="161" t="s">
        <v>12</v>
      </c>
      <c r="AO5" s="162"/>
      <c r="AP5" s="162"/>
      <c r="AQ5" s="162"/>
      <c r="AR5" s="162"/>
      <c r="AS5" s="162"/>
      <c r="AT5" s="16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2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4"/>
      <c r="U6" s="163"/>
      <c r="V6" s="164"/>
      <c r="W6" s="164"/>
      <c r="X6" s="164"/>
      <c r="Y6" s="164"/>
      <c r="Z6" s="164"/>
      <c r="AA6" s="168"/>
      <c r="AB6" s="163"/>
      <c r="AC6" s="164"/>
      <c r="AD6" s="164"/>
      <c r="AE6" s="164"/>
      <c r="AF6" s="164"/>
      <c r="AG6" s="163"/>
      <c r="AH6" s="164"/>
      <c r="AI6" s="164"/>
      <c r="AJ6" s="164"/>
      <c r="AK6" s="164"/>
      <c r="AL6" s="164"/>
      <c r="AM6" s="168"/>
      <c r="AN6" s="163"/>
      <c r="AO6" s="164"/>
      <c r="AP6" s="164"/>
      <c r="AQ6" s="164"/>
      <c r="AR6" s="164"/>
      <c r="AS6" s="164"/>
      <c r="AT6" s="16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5" t="s">
        <v>106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226"/>
      <c r="U7" s="147">
        <v>1</v>
      </c>
      <c r="V7" s="148"/>
      <c r="W7" s="148"/>
      <c r="X7" s="148"/>
      <c r="Y7" s="149" t="s">
        <v>126</v>
      </c>
      <c r="Z7" s="149"/>
      <c r="AA7" s="150"/>
      <c r="AB7" s="147"/>
      <c r="AC7" s="148"/>
      <c r="AD7" s="148"/>
      <c r="AE7" s="148"/>
      <c r="AF7" s="151"/>
      <c r="AG7" s="147">
        <f>IF(U7="",1*AB7,U7*AB7)</f>
        <v>0</v>
      </c>
      <c r="AH7" s="148"/>
      <c r="AI7" s="148"/>
      <c r="AJ7" s="148"/>
      <c r="AK7" s="148"/>
      <c r="AL7" s="148"/>
      <c r="AM7" s="151"/>
      <c r="AN7" s="227"/>
      <c r="AO7" s="228"/>
      <c r="AP7" s="228"/>
      <c r="AQ7" s="228"/>
      <c r="AR7" s="228"/>
      <c r="AS7" s="228"/>
      <c r="AT7" s="22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5" t="s">
        <v>107</v>
      </c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226"/>
      <c r="U8" s="147">
        <v>1</v>
      </c>
      <c r="V8" s="148"/>
      <c r="W8" s="148"/>
      <c r="X8" s="148"/>
      <c r="Y8" s="149" t="s">
        <v>80</v>
      </c>
      <c r="Z8" s="149"/>
      <c r="AA8" s="150"/>
      <c r="AB8" s="147"/>
      <c r="AC8" s="148"/>
      <c r="AD8" s="148"/>
      <c r="AE8" s="148"/>
      <c r="AF8" s="151"/>
      <c r="AG8" s="147">
        <f t="shared" ref="AG8:AG29" si="0">IF(U8="",1*AB8,U8*AB8)</f>
        <v>0</v>
      </c>
      <c r="AH8" s="148"/>
      <c r="AI8" s="148"/>
      <c r="AJ8" s="148"/>
      <c r="AK8" s="148"/>
      <c r="AL8" s="148"/>
      <c r="AM8" s="151"/>
      <c r="AN8" s="227"/>
      <c r="AO8" s="228"/>
      <c r="AP8" s="228"/>
      <c r="AQ8" s="228"/>
      <c r="AR8" s="228"/>
      <c r="AS8" s="228"/>
      <c r="AT8" s="22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5" t="s">
        <v>108</v>
      </c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226"/>
      <c r="U9" s="147">
        <v>1</v>
      </c>
      <c r="V9" s="148"/>
      <c r="W9" s="148"/>
      <c r="X9" s="148"/>
      <c r="Y9" s="149" t="s">
        <v>80</v>
      </c>
      <c r="Z9" s="149"/>
      <c r="AA9" s="150"/>
      <c r="AB9" s="147"/>
      <c r="AC9" s="148"/>
      <c r="AD9" s="148"/>
      <c r="AE9" s="148"/>
      <c r="AF9" s="151"/>
      <c r="AG9" s="147">
        <f t="shared" si="0"/>
        <v>0</v>
      </c>
      <c r="AH9" s="148"/>
      <c r="AI9" s="148"/>
      <c r="AJ9" s="148"/>
      <c r="AK9" s="148"/>
      <c r="AL9" s="148"/>
      <c r="AM9" s="151"/>
      <c r="AN9" s="227"/>
      <c r="AO9" s="228"/>
      <c r="AP9" s="228"/>
      <c r="AQ9" s="228"/>
      <c r="AR9" s="228"/>
      <c r="AS9" s="228"/>
      <c r="AT9" s="22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5" t="s">
        <v>109</v>
      </c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226"/>
      <c r="U10" s="147">
        <v>1</v>
      </c>
      <c r="V10" s="148"/>
      <c r="W10" s="148"/>
      <c r="X10" s="148"/>
      <c r="Y10" s="149" t="s">
        <v>80</v>
      </c>
      <c r="Z10" s="149"/>
      <c r="AA10" s="150"/>
      <c r="AB10" s="147"/>
      <c r="AC10" s="148"/>
      <c r="AD10" s="148"/>
      <c r="AE10" s="148"/>
      <c r="AF10" s="151"/>
      <c r="AG10" s="147">
        <f t="shared" si="0"/>
        <v>0</v>
      </c>
      <c r="AH10" s="148"/>
      <c r="AI10" s="148"/>
      <c r="AJ10" s="148"/>
      <c r="AK10" s="148"/>
      <c r="AL10" s="148"/>
      <c r="AM10" s="151"/>
      <c r="AN10" s="227"/>
      <c r="AO10" s="228"/>
      <c r="AP10" s="228"/>
      <c r="AQ10" s="228"/>
      <c r="AR10" s="228"/>
      <c r="AS10" s="228"/>
      <c r="AT10" s="22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5" t="s">
        <v>110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226"/>
      <c r="U11" s="147">
        <v>1</v>
      </c>
      <c r="V11" s="148"/>
      <c r="W11" s="148"/>
      <c r="X11" s="148"/>
      <c r="Y11" s="149" t="s">
        <v>80</v>
      </c>
      <c r="Z11" s="149"/>
      <c r="AA11" s="150"/>
      <c r="AB11" s="147"/>
      <c r="AC11" s="148"/>
      <c r="AD11" s="148"/>
      <c r="AE11" s="148"/>
      <c r="AF11" s="151"/>
      <c r="AG11" s="147">
        <f t="shared" si="0"/>
        <v>0</v>
      </c>
      <c r="AH11" s="148"/>
      <c r="AI11" s="148"/>
      <c r="AJ11" s="148"/>
      <c r="AK11" s="148"/>
      <c r="AL11" s="148"/>
      <c r="AM11" s="151"/>
      <c r="AN11" s="227"/>
      <c r="AO11" s="228"/>
      <c r="AP11" s="228"/>
      <c r="AQ11" s="228"/>
      <c r="AR11" s="228"/>
      <c r="AS11" s="228"/>
      <c r="AT11" s="22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5" t="s">
        <v>111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226"/>
      <c r="U12" s="147">
        <v>1</v>
      </c>
      <c r="V12" s="148"/>
      <c r="W12" s="148"/>
      <c r="X12" s="148"/>
      <c r="Y12" s="149" t="s">
        <v>80</v>
      </c>
      <c r="Z12" s="149"/>
      <c r="AA12" s="150"/>
      <c r="AB12" s="147"/>
      <c r="AC12" s="148"/>
      <c r="AD12" s="148"/>
      <c r="AE12" s="148"/>
      <c r="AF12" s="151"/>
      <c r="AG12" s="147">
        <f t="shared" si="0"/>
        <v>0</v>
      </c>
      <c r="AH12" s="148"/>
      <c r="AI12" s="148"/>
      <c r="AJ12" s="148"/>
      <c r="AK12" s="148"/>
      <c r="AL12" s="148"/>
      <c r="AM12" s="151"/>
      <c r="AN12" s="227"/>
      <c r="AO12" s="228"/>
      <c r="AP12" s="228"/>
      <c r="AQ12" s="228"/>
      <c r="AR12" s="228"/>
      <c r="AS12" s="228"/>
      <c r="AT12" s="22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5" t="s">
        <v>112</v>
      </c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226"/>
      <c r="U13" s="147">
        <v>1</v>
      </c>
      <c r="V13" s="148"/>
      <c r="W13" s="148"/>
      <c r="X13" s="148"/>
      <c r="Y13" s="149" t="s">
        <v>80</v>
      </c>
      <c r="Z13" s="149"/>
      <c r="AA13" s="150"/>
      <c r="AB13" s="147"/>
      <c r="AC13" s="148"/>
      <c r="AD13" s="148"/>
      <c r="AE13" s="148"/>
      <c r="AF13" s="151"/>
      <c r="AG13" s="147">
        <f t="shared" si="0"/>
        <v>0</v>
      </c>
      <c r="AH13" s="148"/>
      <c r="AI13" s="148"/>
      <c r="AJ13" s="148"/>
      <c r="AK13" s="148"/>
      <c r="AL13" s="148"/>
      <c r="AM13" s="151"/>
      <c r="AN13" s="227"/>
      <c r="AO13" s="228"/>
      <c r="AP13" s="228"/>
      <c r="AQ13" s="228"/>
      <c r="AR13" s="228"/>
      <c r="AS13" s="228"/>
      <c r="AT13" s="22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5" t="s">
        <v>113</v>
      </c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226"/>
      <c r="U14" s="147">
        <v>1</v>
      </c>
      <c r="V14" s="148"/>
      <c r="W14" s="148"/>
      <c r="X14" s="148"/>
      <c r="Y14" s="149" t="s">
        <v>80</v>
      </c>
      <c r="Z14" s="149"/>
      <c r="AA14" s="150"/>
      <c r="AB14" s="147"/>
      <c r="AC14" s="148"/>
      <c r="AD14" s="148"/>
      <c r="AE14" s="148"/>
      <c r="AF14" s="151"/>
      <c r="AG14" s="147">
        <f t="shared" si="0"/>
        <v>0</v>
      </c>
      <c r="AH14" s="148"/>
      <c r="AI14" s="148"/>
      <c r="AJ14" s="148"/>
      <c r="AK14" s="148"/>
      <c r="AL14" s="148"/>
      <c r="AM14" s="151"/>
      <c r="AN14" s="227"/>
      <c r="AO14" s="228"/>
      <c r="AP14" s="228"/>
      <c r="AQ14" s="228"/>
      <c r="AR14" s="228"/>
      <c r="AS14" s="228"/>
      <c r="AT14" s="22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5" t="s">
        <v>114</v>
      </c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226"/>
      <c r="U15" s="147">
        <v>1</v>
      </c>
      <c r="V15" s="148"/>
      <c r="W15" s="148"/>
      <c r="X15" s="148"/>
      <c r="Y15" s="149" t="s">
        <v>80</v>
      </c>
      <c r="Z15" s="149"/>
      <c r="AA15" s="150"/>
      <c r="AB15" s="147"/>
      <c r="AC15" s="148"/>
      <c r="AD15" s="148"/>
      <c r="AE15" s="148"/>
      <c r="AF15" s="151"/>
      <c r="AG15" s="147">
        <f t="shared" si="0"/>
        <v>0</v>
      </c>
      <c r="AH15" s="148"/>
      <c r="AI15" s="148"/>
      <c r="AJ15" s="148"/>
      <c r="AK15" s="148"/>
      <c r="AL15" s="148"/>
      <c r="AM15" s="151"/>
      <c r="AN15" s="227"/>
      <c r="AO15" s="228"/>
      <c r="AP15" s="228"/>
      <c r="AQ15" s="228"/>
      <c r="AR15" s="228"/>
      <c r="AS15" s="228"/>
      <c r="AT15" s="22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5" t="s">
        <v>115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226"/>
      <c r="U16" s="147">
        <v>1</v>
      </c>
      <c r="V16" s="148"/>
      <c r="W16" s="148"/>
      <c r="X16" s="148"/>
      <c r="Y16" s="149" t="s">
        <v>80</v>
      </c>
      <c r="Z16" s="149"/>
      <c r="AA16" s="150"/>
      <c r="AB16" s="147"/>
      <c r="AC16" s="148"/>
      <c r="AD16" s="148"/>
      <c r="AE16" s="148"/>
      <c r="AF16" s="151"/>
      <c r="AG16" s="147">
        <f t="shared" si="0"/>
        <v>0</v>
      </c>
      <c r="AH16" s="148"/>
      <c r="AI16" s="148"/>
      <c r="AJ16" s="148"/>
      <c r="AK16" s="148"/>
      <c r="AL16" s="148"/>
      <c r="AM16" s="151"/>
      <c r="AN16" s="227"/>
      <c r="AO16" s="228"/>
      <c r="AP16" s="228"/>
      <c r="AQ16" s="228"/>
      <c r="AR16" s="228"/>
      <c r="AS16" s="228"/>
      <c r="AT16" s="22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5" t="s">
        <v>117</v>
      </c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226"/>
      <c r="U17" s="147">
        <v>1</v>
      </c>
      <c r="V17" s="148"/>
      <c r="W17" s="148"/>
      <c r="X17" s="148"/>
      <c r="Y17" s="149" t="s">
        <v>80</v>
      </c>
      <c r="Z17" s="149"/>
      <c r="AA17" s="150"/>
      <c r="AB17" s="147"/>
      <c r="AC17" s="148"/>
      <c r="AD17" s="148"/>
      <c r="AE17" s="148"/>
      <c r="AF17" s="151"/>
      <c r="AG17" s="147">
        <f t="shared" si="0"/>
        <v>0</v>
      </c>
      <c r="AH17" s="148"/>
      <c r="AI17" s="148"/>
      <c r="AJ17" s="148"/>
      <c r="AK17" s="148"/>
      <c r="AL17" s="148"/>
      <c r="AM17" s="151"/>
      <c r="AN17" s="227"/>
      <c r="AO17" s="228"/>
      <c r="AP17" s="228"/>
      <c r="AQ17" s="228"/>
      <c r="AR17" s="228"/>
      <c r="AS17" s="228"/>
      <c r="AT17" s="22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5" t="s">
        <v>118</v>
      </c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226"/>
      <c r="U18" s="147">
        <v>7</v>
      </c>
      <c r="V18" s="148"/>
      <c r="W18" s="148"/>
      <c r="X18" s="148"/>
      <c r="Y18" s="149" t="s">
        <v>80</v>
      </c>
      <c r="Z18" s="149"/>
      <c r="AA18" s="150"/>
      <c r="AB18" s="147"/>
      <c r="AC18" s="148"/>
      <c r="AD18" s="148"/>
      <c r="AE18" s="148"/>
      <c r="AF18" s="151"/>
      <c r="AG18" s="147">
        <f t="shared" si="0"/>
        <v>0</v>
      </c>
      <c r="AH18" s="148"/>
      <c r="AI18" s="148"/>
      <c r="AJ18" s="148"/>
      <c r="AK18" s="148"/>
      <c r="AL18" s="148"/>
      <c r="AM18" s="151"/>
      <c r="AN18" s="227"/>
      <c r="AO18" s="228"/>
      <c r="AP18" s="228"/>
      <c r="AQ18" s="228"/>
      <c r="AR18" s="228"/>
      <c r="AS18" s="228"/>
      <c r="AT18" s="22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5" t="s">
        <v>119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226"/>
      <c r="U19" s="147">
        <v>1</v>
      </c>
      <c r="V19" s="148"/>
      <c r="W19" s="148"/>
      <c r="X19" s="148"/>
      <c r="Y19" s="149" t="s">
        <v>80</v>
      </c>
      <c r="Z19" s="149"/>
      <c r="AA19" s="150"/>
      <c r="AB19" s="147"/>
      <c r="AC19" s="148"/>
      <c r="AD19" s="148"/>
      <c r="AE19" s="148"/>
      <c r="AF19" s="151"/>
      <c r="AG19" s="147">
        <f t="shared" si="0"/>
        <v>0</v>
      </c>
      <c r="AH19" s="148"/>
      <c r="AI19" s="148"/>
      <c r="AJ19" s="148"/>
      <c r="AK19" s="148"/>
      <c r="AL19" s="148"/>
      <c r="AM19" s="151"/>
      <c r="AN19" s="227"/>
      <c r="AO19" s="228"/>
      <c r="AP19" s="228"/>
      <c r="AQ19" s="228"/>
      <c r="AR19" s="228"/>
      <c r="AS19" s="228"/>
      <c r="AT19" s="22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5" t="s">
        <v>120</v>
      </c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226"/>
      <c r="U20" s="147">
        <v>1</v>
      </c>
      <c r="V20" s="148"/>
      <c r="W20" s="148"/>
      <c r="X20" s="148"/>
      <c r="Y20" s="149" t="s">
        <v>80</v>
      </c>
      <c r="Z20" s="149"/>
      <c r="AA20" s="150"/>
      <c r="AB20" s="147"/>
      <c r="AC20" s="148"/>
      <c r="AD20" s="148"/>
      <c r="AE20" s="148"/>
      <c r="AF20" s="151"/>
      <c r="AG20" s="147">
        <f t="shared" si="0"/>
        <v>0</v>
      </c>
      <c r="AH20" s="148"/>
      <c r="AI20" s="148"/>
      <c r="AJ20" s="148"/>
      <c r="AK20" s="148"/>
      <c r="AL20" s="148"/>
      <c r="AM20" s="151"/>
      <c r="AN20" s="227"/>
      <c r="AO20" s="228"/>
      <c r="AP20" s="228"/>
      <c r="AQ20" s="228"/>
      <c r="AR20" s="228"/>
      <c r="AS20" s="228"/>
      <c r="AT20" s="22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5" t="s">
        <v>121</v>
      </c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226"/>
      <c r="U21" s="147">
        <v>1</v>
      </c>
      <c r="V21" s="148"/>
      <c r="W21" s="148"/>
      <c r="X21" s="148"/>
      <c r="Y21" s="149" t="s">
        <v>80</v>
      </c>
      <c r="Z21" s="149"/>
      <c r="AA21" s="150"/>
      <c r="AB21" s="147"/>
      <c r="AC21" s="148"/>
      <c r="AD21" s="148"/>
      <c r="AE21" s="148"/>
      <c r="AF21" s="151"/>
      <c r="AG21" s="147">
        <f t="shared" si="0"/>
        <v>0</v>
      </c>
      <c r="AH21" s="148"/>
      <c r="AI21" s="148"/>
      <c r="AJ21" s="148"/>
      <c r="AK21" s="148"/>
      <c r="AL21" s="148"/>
      <c r="AM21" s="151"/>
      <c r="AN21" s="227"/>
      <c r="AO21" s="228"/>
      <c r="AP21" s="228"/>
      <c r="AQ21" s="228"/>
      <c r="AR21" s="228"/>
      <c r="AS21" s="228"/>
      <c r="AT21" s="22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5" t="s">
        <v>122</v>
      </c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226"/>
      <c r="U22" s="147">
        <v>1</v>
      </c>
      <c r="V22" s="148"/>
      <c r="W22" s="148"/>
      <c r="X22" s="148"/>
      <c r="Y22" s="149" t="s">
        <v>80</v>
      </c>
      <c r="Z22" s="149"/>
      <c r="AA22" s="150"/>
      <c r="AB22" s="147"/>
      <c r="AC22" s="148"/>
      <c r="AD22" s="148"/>
      <c r="AE22" s="148"/>
      <c r="AF22" s="151"/>
      <c r="AG22" s="147">
        <f t="shared" si="0"/>
        <v>0</v>
      </c>
      <c r="AH22" s="148"/>
      <c r="AI22" s="148"/>
      <c r="AJ22" s="148"/>
      <c r="AK22" s="148"/>
      <c r="AL22" s="148"/>
      <c r="AM22" s="151"/>
      <c r="AN22" s="227"/>
      <c r="AO22" s="228"/>
      <c r="AP22" s="228"/>
      <c r="AQ22" s="228"/>
      <c r="AR22" s="228"/>
      <c r="AS22" s="228"/>
      <c r="AT22" s="22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5" t="s">
        <v>123</v>
      </c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226"/>
      <c r="U23" s="147">
        <v>1</v>
      </c>
      <c r="V23" s="148"/>
      <c r="W23" s="148"/>
      <c r="X23" s="148"/>
      <c r="Y23" s="149" t="s">
        <v>80</v>
      </c>
      <c r="Z23" s="149"/>
      <c r="AA23" s="150"/>
      <c r="AB23" s="147"/>
      <c r="AC23" s="148"/>
      <c r="AD23" s="148"/>
      <c r="AE23" s="148"/>
      <c r="AF23" s="151"/>
      <c r="AG23" s="147">
        <f t="shared" si="0"/>
        <v>0</v>
      </c>
      <c r="AH23" s="148"/>
      <c r="AI23" s="148"/>
      <c r="AJ23" s="148"/>
      <c r="AK23" s="148"/>
      <c r="AL23" s="148"/>
      <c r="AM23" s="151"/>
      <c r="AN23" s="227"/>
      <c r="AO23" s="228"/>
      <c r="AP23" s="228"/>
      <c r="AQ23" s="228"/>
      <c r="AR23" s="228"/>
      <c r="AS23" s="228"/>
      <c r="AT23" s="22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5" t="s">
        <v>129</v>
      </c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226"/>
      <c r="U24" s="147">
        <v>2</v>
      </c>
      <c r="V24" s="148"/>
      <c r="W24" s="148"/>
      <c r="X24" s="148"/>
      <c r="Y24" s="149" t="s">
        <v>80</v>
      </c>
      <c r="Z24" s="149"/>
      <c r="AA24" s="150"/>
      <c r="AB24" s="147"/>
      <c r="AC24" s="148"/>
      <c r="AD24" s="148"/>
      <c r="AE24" s="148"/>
      <c r="AF24" s="151"/>
      <c r="AG24" s="147">
        <f t="shared" si="0"/>
        <v>0</v>
      </c>
      <c r="AH24" s="148"/>
      <c r="AI24" s="148"/>
      <c r="AJ24" s="148"/>
      <c r="AK24" s="148"/>
      <c r="AL24" s="148"/>
      <c r="AM24" s="151"/>
      <c r="AN24" s="227"/>
      <c r="AO24" s="228"/>
      <c r="AP24" s="228"/>
      <c r="AQ24" s="228"/>
      <c r="AR24" s="228"/>
      <c r="AS24" s="228"/>
      <c r="AT24" s="22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5" t="s">
        <v>130</v>
      </c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226"/>
      <c r="U25" s="147">
        <v>1</v>
      </c>
      <c r="V25" s="148"/>
      <c r="W25" s="148"/>
      <c r="X25" s="148"/>
      <c r="Y25" s="149" t="s">
        <v>80</v>
      </c>
      <c r="Z25" s="149"/>
      <c r="AA25" s="150"/>
      <c r="AB25" s="147"/>
      <c r="AC25" s="148"/>
      <c r="AD25" s="148"/>
      <c r="AE25" s="148"/>
      <c r="AF25" s="151"/>
      <c r="AG25" s="147">
        <f t="shared" si="0"/>
        <v>0</v>
      </c>
      <c r="AH25" s="148"/>
      <c r="AI25" s="148"/>
      <c r="AJ25" s="148"/>
      <c r="AK25" s="148"/>
      <c r="AL25" s="148"/>
      <c r="AM25" s="151"/>
      <c r="AN25" s="227"/>
      <c r="AO25" s="228"/>
      <c r="AP25" s="228"/>
      <c r="AQ25" s="228"/>
      <c r="AR25" s="228"/>
      <c r="AS25" s="228"/>
      <c r="AT25" s="22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5" t="s">
        <v>116</v>
      </c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226"/>
      <c r="U26" s="147">
        <v>5</v>
      </c>
      <c r="V26" s="148"/>
      <c r="W26" s="148"/>
      <c r="X26" s="148"/>
      <c r="Y26" s="149" t="s">
        <v>80</v>
      </c>
      <c r="Z26" s="149"/>
      <c r="AA26" s="150"/>
      <c r="AB26" s="147"/>
      <c r="AC26" s="148"/>
      <c r="AD26" s="148"/>
      <c r="AE26" s="148"/>
      <c r="AF26" s="151"/>
      <c r="AG26" s="147">
        <f t="shared" si="0"/>
        <v>0</v>
      </c>
      <c r="AH26" s="148"/>
      <c r="AI26" s="148"/>
      <c r="AJ26" s="148"/>
      <c r="AK26" s="148"/>
      <c r="AL26" s="148"/>
      <c r="AM26" s="151"/>
      <c r="AN26" s="227"/>
      <c r="AO26" s="228"/>
      <c r="AP26" s="228"/>
      <c r="AQ26" s="228"/>
      <c r="AR26" s="228"/>
      <c r="AS26" s="228"/>
      <c r="AT26" s="22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5" t="s">
        <v>124</v>
      </c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226"/>
      <c r="U27" s="147">
        <v>1</v>
      </c>
      <c r="V27" s="148"/>
      <c r="W27" s="148"/>
      <c r="X27" s="148"/>
      <c r="Y27" s="149" t="s">
        <v>80</v>
      </c>
      <c r="Z27" s="149"/>
      <c r="AA27" s="150"/>
      <c r="AB27" s="147"/>
      <c r="AC27" s="148"/>
      <c r="AD27" s="148"/>
      <c r="AE27" s="148"/>
      <c r="AF27" s="151"/>
      <c r="AG27" s="147">
        <f t="shared" si="0"/>
        <v>0</v>
      </c>
      <c r="AH27" s="148"/>
      <c r="AI27" s="148"/>
      <c r="AJ27" s="148"/>
      <c r="AK27" s="148"/>
      <c r="AL27" s="148"/>
      <c r="AM27" s="151"/>
      <c r="AN27" s="227"/>
      <c r="AO27" s="228"/>
      <c r="AP27" s="228"/>
      <c r="AQ27" s="228"/>
      <c r="AR27" s="228"/>
      <c r="AS27" s="228"/>
      <c r="AT27" s="22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5" t="s">
        <v>125</v>
      </c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226"/>
      <c r="U28" s="147">
        <v>1</v>
      </c>
      <c r="V28" s="148"/>
      <c r="W28" s="148"/>
      <c r="X28" s="148"/>
      <c r="Y28" s="149" t="s">
        <v>80</v>
      </c>
      <c r="Z28" s="149"/>
      <c r="AA28" s="150"/>
      <c r="AB28" s="147"/>
      <c r="AC28" s="148"/>
      <c r="AD28" s="148"/>
      <c r="AE28" s="148"/>
      <c r="AF28" s="151"/>
      <c r="AG28" s="147">
        <f t="shared" si="0"/>
        <v>0</v>
      </c>
      <c r="AH28" s="148"/>
      <c r="AI28" s="148"/>
      <c r="AJ28" s="148"/>
      <c r="AK28" s="148"/>
      <c r="AL28" s="148"/>
      <c r="AM28" s="151"/>
      <c r="AN28" s="227"/>
      <c r="AO28" s="228"/>
      <c r="AP28" s="228"/>
      <c r="AQ28" s="228"/>
      <c r="AR28" s="228"/>
      <c r="AS28" s="228"/>
      <c r="AT28" s="22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5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226"/>
      <c r="U29" s="147"/>
      <c r="V29" s="148"/>
      <c r="W29" s="148"/>
      <c r="X29" s="148"/>
      <c r="Y29" s="149"/>
      <c r="Z29" s="149"/>
      <c r="AA29" s="150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37"/>
      <c r="AO29" s="238"/>
      <c r="AP29" s="238"/>
      <c r="AQ29" s="238"/>
      <c r="AR29" s="238"/>
      <c r="AS29" s="238"/>
      <c r="AT29" s="23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8" t="s">
        <v>43</v>
      </c>
      <c r="V30" s="119"/>
      <c r="W30" s="119"/>
      <c r="X30" s="119"/>
      <c r="Y30" s="119"/>
      <c r="Z30" s="119"/>
      <c r="AA30" s="120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3" t="s">
        <v>42</v>
      </c>
      <c r="CJ119" s="93"/>
      <c r="CK119" s="93"/>
      <c r="CL119" s="93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3" t="s">
        <v>73</v>
      </c>
      <c r="CJ120" s="93"/>
      <c r="CK120" s="93"/>
      <c r="CL120" s="93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33" t="s">
        <v>92</v>
      </c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AL3" s="5" t="s">
        <v>89</v>
      </c>
      <c r="AM3" s="5"/>
      <c r="AN3" s="236"/>
      <c r="AO3" s="236"/>
      <c r="AP3" s="236"/>
      <c r="AQ3" s="236"/>
      <c r="AR3" s="23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9" t="s">
        <v>88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1"/>
      <c r="U5" s="161" t="s">
        <v>9</v>
      </c>
      <c r="V5" s="162"/>
      <c r="W5" s="162"/>
      <c r="X5" s="162"/>
      <c r="Y5" s="162"/>
      <c r="Z5" s="162"/>
      <c r="AA5" s="167"/>
      <c r="AB5" s="161" t="s">
        <v>10</v>
      </c>
      <c r="AC5" s="162"/>
      <c r="AD5" s="162"/>
      <c r="AE5" s="162"/>
      <c r="AF5" s="162"/>
      <c r="AG5" s="161" t="s">
        <v>11</v>
      </c>
      <c r="AH5" s="162"/>
      <c r="AI5" s="162"/>
      <c r="AJ5" s="162"/>
      <c r="AK5" s="162"/>
      <c r="AL5" s="162"/>
      <c r="AM5" s="167"/>
      <c r="AN5" s="161" t="s">
        <v>12</v>
      </c>
      <c r="AO5" s="162"/>
      <c r="AP5" s="162"/>
      <c r="AQ5" s="162"/>
      <c r="AR5" s="162"/>
      <c r="AS5" s="162"/>
      <c r="AT5" s="16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72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4"/>
      <c r="U6" s="163"/>
      <c r="V6" s="164"/>
      <c r="W6" s="164"/>
      <c r="X6" s="164"/>
      <c r="Y6" s="164"/>
      <c r="Z6" s="164"/>
      <c r="AA6" s="168"/>
      <c r="AB6" s="163"/>
      <c r="AC6" s="164"/>
      <c r="AD6" s="164"/>
      <c r="AE6" s="164"/>
      <c r="AF6" s="164"/>
      <c r="AG6" s="163"/>
      <c r="AH6" s="164"/>
      <c r="AI6" s="164"/>
      <c r="AJ6" s="164"/>
      <c r="AK6" s="164"/>
      <c r="AL6" s="164"/>
      <c r="AM6" s="168"/>
      <c r="AN6" s="163"/>
      <c r="AO6" s="164"/>
      <c r="AP6" s="164"/>
      <c r="AQ6" s="164"/>
      <c r="AR6" s="164"/>
      <c r="AS6" s="164"/>
      <c r="AT6" s="16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2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226"/>
      <c r="U7" s="147"/>
      <c r="V7" s="148"/>
      <c r="W7" s="148"/>
      <c r="X7" s="148"/>
      <c r="Y7" s="149"/>
      <c r="Z7" s="149"/>
      <c r="AA7" s="150"/>
      <c r="AB7" s="147">
        <f>SUM(Y19)</f>
        <v>0</v>
      </c>
      <c r="AC7" s="148"/>
      <c r="AD7" s="148"/>
      <c r="AE7" s="148"/>
      <c r="AF7" s="151"/>
      <c r="AG7" s="147">
        <f>IF(U7="",1*AB7,U7*AB7)</f>
        <v>0</v>
      </c>
      <c r="AH7" s="148"/>
      <c r="AI7" s="148"/>
      <c r="AJ7" s="148"/>
      <c r="AK7" s="148"/>
      <c r="AL7" s="148"/>
      <c r="AM7" s="151"/>
      <c r="AN7" s="227"/>
      <c r="AO7" s="228"/>
      <c r="AP7" s="228"/>
      <c r="AQ7" s="228"/>
      <c r="AR7" s="228"/>
      <c r="AS7" s="228"/>
      <c r="AT7" s="22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25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226"/>
      <c r="U8" s="147"/>
      <c r="V8" s="148"/>
      <c r="W8" s="148"/>
      <c r="X8" s="148"/>
      <c r="Y8" s="149"/>
      <c r="Z8" s="149"/>
      <c r="AA8" s="150"/>
      <c r="AB8" s="147"/>
      <c r="AC8" s="148"/>
      <c r="AD8" s="148"/>
      <c r="AE8" s="148"/>
      <c r="AF8" s="151"/>
      <c r="AG8" s="147">
        <f t="shared" ref="AG8:AG29" si="0">IF(U8="",1*AB8,U8*AB8)</f>
        <v>0</v>
      </c>
      <c r="AH8" s="148"/>
      <c r="AI8" s="148"/>
      <c r="AJ8" s="148"/>
      <c r="AK8" s="148"/>
      <c r="AL8" s="148"/>
      <c r="AM8" s="151"/>
      <c r="AN8" s="227"/>
      <c r="AO8" s="228"/>
      <c r="AP8" s="228"/>
      <c r="AQ8" s="228"/>
      <c r="AR8" s="228"/>
      <c r="AS8" s="228"/>
      <c r="AT8" s="22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25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226"/>
      <c r="U9" s="147"/>
      <c r="V9" s="148"/>
      <c r="W9" s="148"/>
      <c r="X9" s="148"/>
      <c r="Y9" s="149"/>
      <c r="Z9" s="149"/>
      <c r="AA9" s="150"/>
      <c r="AB9" s="147"/>
      <c r="AC9" s="148"/>
      <c r="AD9" s="148"/>
      <c r="AE9" s="148"/>
      <c r="AF9" s="151"/>
      <c r="AG9" s="147">
        <f t="shared" si="0"/>
        <v>0</v>
      </c>
      <c r="AH9" s="148"/>
      <c r="AI9" s="148"/>
      <c r="AJ9" s="148"/>
      <c r="AK9" s="148"/>
      <c r="AL9" s="148"/>
      <c r="AM9" s="151"/>
      <c r="AN9" s="227"/>
      <c r="AO9" s="228"/>
      <c r="AP9" s="228"/>
      <c r="AQ9" s="228"/>
      <c r="AR9" s="228"/>
      <c r="AS9" s="228"/>
      <c r="AT9" s="22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25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226"/>
      <c r="U10" s="147"/>
      <c r="V10" s="148"/>
      <c r="W10" s="148"/>
      <c r="X10" s="148"/>
      <c r="Y10" s="149"/>
      <c r="Z10" s="149"/>
      <c r="AA10" s="150"/>
      <c r="AB10" s="147"/>
      <c r="AC10" s="148"/>
      <c r="AD10" s="148"/>
      <c r="AE10" s="148"/>
      <c r="AF10" s="151"/>
      <c r="AG10" s="147">
        <f t="shared" si="0"/>
        <v>0</v>
      </c>
      <c r="AH10" s="148"/>
      <c r="AI10" s="148"/>
      <c r="AJ10" s="148"/>
      <c r="AK10" s="148"/>
      <c r="AL10" s="148"/>
      <c r="AM10" s="151"/>
      <c r="AN10" s="227"/>
      <c r="AO10" s="228"/>
      <c r="AP10" s="228"/>
      <c r="AQ10" s="228"/>
      <c r="AR10" s="228"/>
      <c r="AS10" s="228"/>
      <c r="AT10" s="22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25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226"/>
      <c r="U11" s="147"/>
      <c r="V11" s="148"/>
      <c r="W11" s="148"/>
      <c r="X11" s="148"/>
      <c r="Y11" s="149"/>
      <c r="Z11" s="149"/>
      <c r="AA11" s="150"/>
      <c r="AB11" s="147"/>
      <c r="AC11" s="148"/>
      <c r="AD11" s="148"/>
      <c r="AE11" s="148"/>
      <c r="AF11" s="151"/>
      <c r="AG11" s="147">
        <f t="shared" si="0"/>
        <v>0</v>
      </c>
      <c r="AH11" s="148"/>
      <c r="AI11" s="148"/>
      <c r="AJ11" s="148"/>
      <c r="AK11" s="148"/>
      <c r="AL11" s="148"/>
      <c r="AM11" s="151"/>
      <c r="AN11" s="227"/>
      <c r="AO11" s="228"/>
      <c r="AP11" s="228"/>
      <c r="AQ11" s="228"/>
      <c r="AR11" s="228"/>
      <c r="AS11" s="228"/>
      <c r="AT11" s="22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25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226"/>
      <c r="U12" s="147"/>
      <c r="V12" s="148"/>
      <c r="W12" s="148"/>
      <c r="X12" s="148"/>
      <c r="Y12" s="149"/>
      <c r="Z12" s="149"/>
      <c r="AA12" s="150"/>
      <c r="AB12" s="147"/>
      <c r="AC12" s="148"/>
      <c r="AD12" s="148"/>
      <c r="AE12" s="148"/>
      <c r="AF12" s="151"/>
      <c r="AG12" s="147">
        <f t="shared" si="0"/>
        <v>0</v>
      </c>
      <c r="AH12" s="148"/>
      <c r="AI12" s="148"/>
      <c r="AJ12" s="148"/>
      <c r="AK12" s="148"/>
      <c r="AL12" s="148"/>
      <c r="AM12" s="151"/>
      <c r="AN12" s="227"/>
      <c r="AO12" s="228"/>
      <c r="AP12" s="228"/>
      <c r="AQ12" s="228"/>
      <c r="AR12" s="228"/>
      <c r="AS12" s="228"/>
      <c r="AT12" s="22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25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226"/>
      <c r="U13" s="147"/>
      <c r="V13" s="148"/>
      <c r="W13" s="148"/>
      <c r="X13" s="148"/>
      <c r="Y13" s="149"/>
      <c r="Z13" s="149"/>
      <c r="AA13" s="150"/>
      <c r="AB13" s="147"/>
      <c r="AC13" s="148"/>
      <c r="AD13" s="148"/>
      <c r="AE13" s="148"/>
      <c r="AF13" s="151"/>
      <c r="AG13" s="147">
        <f t="shared" si="0"/>
        <v>0</v>
      </c>
      <c r="AH13" s="148"/>
      <c r="AI13" s="148"/>
      <c r="AJ13" s="148"/>
      <c r="AK13" s="148"/>
      <c r="AL13" s="148"/>
      <c r="AM13" s="151"/>
      <c r="AN13" s="237"/>
      <c r="AO13" s="238"/>
      <c r="AP13" s="238"/>
      <c r="AQ13" s="238"/>
      <c r="AR13" s="238"/>
      <c r="AS13" s="238"/>
      <c r="AT13" s="23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25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226"/>
      <c r="U14" s="147"/>
      <c r="V14" s="148"/>
      <c r="W14" s="148"/>
      <c r="X14" s="148"/>
      <c r="Y14" s="149"/>
      <c r="Z14" s="149"/>
      <c r="AA14" s="150"/>
      <c r="AB14" s="147"/>
      <c r="AC14" s="148"/>
      <c r="AD14" s="148"/>
      <c r="AE14" s="148"/>
      <c r="AF14" s="151"/>
      <c r="AG14" s="147">
        <f t="shared" si="0"/>
        <v>0</v>
      </c>
      <c r="AH14" s="148"/>
      <c r="AI14" s="148"/>
      <c r="AJ14" s="148"/>
      <c r="AK14" s="148"/>
      <c r="AL14" s="148"/>
      <c r="AM14" s="151"/>
      <c r="AN14" s="237"/>
      <c r="AO14" s="238"/>
      <c r="AP14" s="238"/>
      <c r="AQ14" s="238"/>
      <c r="AR14" s="238"/>
      <c r="AS14" s="238"/>
      <c r="AT14" s="23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25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226"/>
      <c r="U15" s="147"/>
      <c r="V15" s="148"/>
      <c r="W15" s="148"/>
      <c r="X15" s="148"/>
      <c r="Y15" s="149"/>
      <c r="Z15" s="149"/>
      <c r="AA15" s="150"/>
      <c r="AB15" s="147"/>
      <c r="AC15" s="148"/>
      <c r="AD15" s="148"/>
      <c r="AE15" s="148"/>
      <c r="AF15" s="151"/>
      <c r="AG15" s="147">
        <f t="shared" si="0"/>
        <v>0</v>
      </c>
      <c r="AH15" s="148"/>
      <c r="AI15" s="148"/>
      <c r="AJ15" s="148"/>
      <c r="AK15" s="148"/>
      <c r="AL15" s="148"/>
      <c r="AM15" s="151"/>
      <c r="AN15" s="237"/>
      <c r="AO15" s="238"/>
      <c r="AP15" s="238"/>
      <c r="AQ15" s="238"/>
      <c r="AR15" s="238"/>
      <c r="AS15" s="238"/>
      <c r="AT15" s="23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25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226"/>
      <c r="U16" s="147"/>
      <c r="V16" s="148"/>
      <c r="W16" s="148"/>
      <c r="X16" s="148"/>
      <c r="Y16" s="149"/>
      <c r="Z16" s="149"/>
      <c r="AA16" s="150"/>
      <c r="AB16" s="147"/>
      <c r="AC16" s="148"/>
      <c r="AD16" s="148"/>
      <c r="AE16" s="148"/>
      <c r="AF16" s="151"/>
      <c r="AG16" s="147">
        <f t="shared" si="0"/>
        <v>0</v>
      </c>
      <c r="AH16" s="148"/>
      <c r="AI16" s="148"/>
      <c r="AJ16" s="148"/>
      <c r="AK16" s="148"/>
      <c r="AL16" s="148"/>
      <c r="AM16" s="151"/>
      <c r="AN16" s="237"/>
      <c r="AO16" s="238"/>
      <c r="AP16" s="238"/>
      <c r="AQ16" s="238"/>
      <c r="AR16" s="238"/>
      <c r="AS16" s="238"/>
      <c r="AT16" s="23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25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226"/>
      <c r="U17" s="147"/>
      <c r="V17" s="148"/>
      <c r="W17" s="148"/>
      <c r="X17" s="148"/>
      <c r="Y17" s="149"/>
      <c r="Z17" s="149"/>
      <c r="AA17" s="150"/>
      <c r="AB17" s="147"/>
      <c r="AC17" s="148"/>
      <c r="AD17" s="148"/>
      <c r="AE17" s="148"/>
      <c r="AF17" s="151"/>
      <c r="AG17" s="147">
        <f t="shared" si="0"/>
        <v>0</v>
      </c>
      <c r="AH17" s="148"/>
      <c r="AI17" s="148"/>
      <c r="AJ17" s="148"/>
      <c r="AK17" s="148"/>
      <c r="AL17" s="148"/>
      <c r="AM17" s="151"/>
      <c r="AN17" s="237"/>
      <c r="AO17" s="238"/>
      <c r="AP17" s="238"/>
      <c r="AQ17" s="238"/>
      <c r="AR17" s="238"/>
      <c r="AS17" s="238"/>
      <c r="AT17" s="23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25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226"/>
      <c r="U18" s="147"/>
      <c r="V18" s="148"/>
      <c r="W18" s="148"/>
      <c r="X18" s="148"/>
      <c r="Y18" s="149"/>
      <c r="Z18" s="149"/>
      <c r="AA18" s="150"/>
      <c r="AB18" s="147"/>
      <c r="AC18" s="148"/>
      <c r="AD18" s="148"/>
      <c r="AE18" s="148"/>
      <c r="AF18" s="151"/>
      <c r="AG18" s="147">
        <f t="shared" si="0"/>
        <v>0</v>
      </c>
      <c r="AH18" s="148"/>
      <c r="AI18" s="148"/>
      <c r="AJ18" s="148"/>
      <c r="AK18" s="148"/>
      <c r="AL18" s="148"/>
      <c r="AM18" s="151"/>
      <c r="AN18" s="237"/>
      <c r="AO18" s="238"/>
      <c r="AP18" s="238"/>
      <c r="AQ18" s="238"/>
      <c r="AR18" s="238"/>
      <c r="AS18" s="238"/>
      <c r="AT18" s="23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25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226"/>
      <c r="U19" s="147"/>
      <c r="V19" s="148"/>
      <c r="W19" s="148"/>
      <c r="X19" s="148"/>
      <c r="Y19" s="149"/>
      <c r="Z19" s="149"/>
      <c r="AA19" s="150"/>
      <c r="AB19" s="147"/>
      <c r="AC19" s="148"/>
      <c r="AD19" s="148"/>
      <c r="AE19" s="148"/>
      <c r="AF19" s="151"/>
      <c r="AG19" s="147">
        <f t="shared" si="0"/>
        <v>0</v>
      </c>
      <c r="AH19" s="148"/>
      <c r="AI19" s="148"/>
      <c r="AJ19" s="148"/>
      <c r="AK19" s="148"/>
      <c r="AL19" s="148"/>
      <c r="AM19" s="151"/>
      <c r="AN19" s="237"/>
      <c r="AO19" s="238"/>
      <c r="AP19" s="238"/>
      <c r="AQ19" s="238"/>
      <c r="AR19" s="238"/>
      <c r="AS19" s="238"/>
      <c r="AT19" s="23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25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226"/>
      <c r="U20" s="147"/>
      <c r="V20" s="148"/>
      <c r="W20" s="148"/>
      <c r="X20" s="148"/>
      <c r="Y20" s="149"/>
      <c r="Z20" s="149"/>
      <c r="AA20" s="150"/>
      <c r="AB20" s="147"/>
      <c r="AC20" s="148"/>
      <c r="AD20" s="148"/>
      <c r="AE20" s="148"/>
      <c r="AF20" s="151"/>
      <c r="AG20" s="147">
        <f t="shared" si="0"/>
        <v>0</v>
      </c>
      <c r="AH20" s="148"/>
      <c r="AI20" s="148"/>
      <c r="AJ20" s="148"/>
      <c r="AK20" s="148"/>
      <c r="AL20" s="148"/>
      <c r="AM20" s="151"/>
      <c r="AN20" s="237"/>
      <c r="AO20" s="238"/>
      <c r="AP20" s="238"/>
      <c r="AQ20" s="238"/>
      <c r="AR20" s="238"/>
      <c r="AS20" s="238"/>
      <c r="AT20" s="23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25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226"/>
      <c r="U21" s="147"/>
      <c r="V21" s="148"/>
      <c r="W21" s="148"/>
      <c r="X21" s="148"/>
      <c r="Y21" s="149"/>
      <c r="Z21" s="149"/>
      <c r="AA21" s="150"/>
      <c r="AB21" s="147"/>
      <c r="AC21" s="148"/>
      <c r="AD21" s="148"/>
      <c r="AE21" s="148"/>
      <c r="AF21" s="151"/>
      <c r="AG21" s="147">
        <f t="shared" si="0"/>
        <v>0</v>
      </c>
      <c r="AH21" s="148"/>
      <c r="AI21" s="148"/>
      <c r="AJ21" s="148"/>
      <c r="AK21" s="148"/>
      <c r="AL21" s="148"/>
      <c r="AM21" s="151"/>
      <c r="AN21" s="237"/>
      <c r="AO21" s="238"/>
      <c r="AP21" s="238"/>
      <c r="AQ21" s="238"/>
      <c r="AR21" s="238"/>
      <c r="AS21" s="238"/>
      <c r="AT21" s="23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2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226"/>
      <c r="U22" s="147"/>
      <c r="V22" s="148"/>
      <c r="W22" s="148"/>
      <c r="X22" s="148"/>
      <c r="Y22" s="149"/>
      <c r="Z22" s="149"/>
      <c r="AA22" s="150"/>
      <c r="AB22" s="147"/>
      <c r="AC22" s="148"/>
      <c r="AD22" s="148"/>
      <c r="AE22" s="148"/>
      <c r="AF22" s="151"/>
      <c r="AG22" s="147">
        <f t="shared" si="0"/>
        <v>0</v>
      </c>
      <c r="AH22" s="148"/>
      <c r="AI22" s="148"/>
      <c r="AJ22" s="148"/>
      <c r="AK22" s="148"/>
      <c r="AL22" s="148"/>
      <c r="AM22" s="151"/>
      <c r="AN22" s="237"/>
      <c r="AO22" s="238"/>
      <c r="AP22" s="238"/>
      <c r="AQ22" s="238"/>
      <c r="AR22" s="238"/>
      <c r="AS22" s="238"/>
      <c r="AT22" s="23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25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226"/>
      <c r="U23" s="147"/>
      <c r="V23" s="148"/>
      <c r="W23" s="148"/>
      <c r="X23" s="148"/>
      <c r="Y23" s="149"/>
      <c r="Z23" s="149"/>
      <c r="AA23" s="150"/>
      <c r="AB23" s="147"/>
      <c r="AC23" s="148"/>
      <c r="AD23" s="148"/>
      <c r="AE23" s="148"/>
      <c r="AF23" s="151"/>
      <c r="AG23" s="147">
        <f t="shared" si="0"/>
        <v>0</v>
      </c>
      <c r="AH23" s="148"/>
      <c r="AI23" s="148"/>
      <c r="AJ23" s="148"/>
      <c r="AK23" s="148"/>
      <c r="AL23" s="148"/>
      <c r="AM23" s="151"/>
      <c r="AN23" s="237"/>
      <c r="AO23" s="238"/>
      <c r="AP23" s="238"/>
      <c r="AQ23" s="238"/>
      <c r="AR23" s="238"/>
      <c r="AS23" s="238"/>
      <c r="AT23" s="23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25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226"/>
      <c r="U24" s="147"/>
      <c r="V24" s="148"/>
      <c r="W24" s="148"/>
      <c r="X24" s="148"/>
      <c r="Y24" s="149"/>
      <c r="Z24" s="149"/>
      <c r="AA24" s="150"/>
      <c r="AB24" s="147"/>
      <c r="AC24" s="148"/>
      <c r="AD24" s="148"/>
      <c r="AE24" s="148"/>
      <c r="AF24" s="151"/>
      <c r="AG24" s="147">
        <f t="shared" si="0"/>
        <v>0</v>
      </c>
      <c r="AH24" s="148"/>
      <c r="AI24" s="148"/>
      <c r="AJ24" s="148"/>
      <c r="AK24" s="148"/>
      <c r="AL24" s="148"/>
      <c r="AM24" s="151"/>
      <c r="AN24" s="237"/>
      <c r="AO24" s="238"/>
      <c r="AP24" s="238"/>
      <c r="AQ24" s="238"/>
      <c r="AR24" s="238"/>
      <c r="AS24" s="238"/>
      <c r="AT24" s="23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25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226"/>
      <c r="U25" s="147"/>
      <c r="V25" s="148"/>
      <c r="W25" s="148"/>
      <c r="X25" s="148"/>
      <c r="Y25" s="149"/>
      <c r="Z25" s="149"/>
      <c r="AA25" s="150"/>
      <c r="AB25" s="147"/>
      <c r="AC25" s="148"/>
      <c r="AD25" s="148"/>
      <c r="AE25" s="148"/>
      <c r="AF25" s="151"/>
      <c r="AG25" s="147">
        <f t="shared" si="0"/>
        <v>0</v>
      </c>
      <c r="AH25" s="148"/>
      <c r="AI25" s="148"/>
      <c r="AJ25" s="148"/>
      <c r="AK25" s="148"/>
      <c r="AL25" s="148"/>
      <c r="AM25" s="151"/>
      <c r="AN25" s="237"/>
      <c r="AO25" s="238"/>
      <c r="AP25" s="238"/>
      <c r="AQ25" s="238"/>
      <c r="AR25" s="238"/>
      <c r="AS25" s="238"/>
      <c r="AT25" s="23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25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226"/>
      <c r="U26" s="147"/>
      <c r="V26" s="148"/>
      <c r="W26" s="148"/>
      <c r="X26" s="148"/>
      <c r="Y26" s="149"/>
      <c r="Z26" s="149"/>
      <c r="AA26" s="150"/>
      <c r="AB26" s="147"/>
      <c r="AC26" s="148"/>
      <c r="AD26" s="148"/>
      <c r="AE26" s="148"/>
      <c r="AF26" s="151"/>
      <c r="AG26" s="147">
        <f t="shared" si="0"/>
        <v>0</v>
      </c>
      <c r="AH26" s="148"/>
      <c r="AI26" s="148"/>
      <c r="AJ26" s="148"/>
      <c r="AK26" s="148"/>
      <c r="AL26" s="148"/>
      <c r="AM26" s="151"/>
      <c r="AN26" s="237"/>
      <c r="AO26" s="238"/>
      <c r="AP26" s="238"/>
      <c r="AQ26" s="238"/>
      <c r="AR26" s="238"/>
      <c r="AS26" s="238"/>
      <c r="AT26" s="23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25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226"/>
      <c r="U27" s="147"/>
      <c r="V27" s="148"/>
      <c r="W27" s="148"/>
      <c r="X27" s="148"/>
      <c r="Y27" s="149"/>
      <c r="Z27" s="149"/>
      <c r="AA27" s="150"/>
      <c r="AB27" s="147"/>
      <c r="AC27" s="148"/>
      <c r="AD27" s="148"/>
      <c r="AE27" s="148"/>
      <c r="AF27" s="151"/>
      <c r="AG27" s="147">
        <f t="shared" si="0"/>
        <v>0</v>
      </c>
      <c r="AH27" s="148"/>
      <c r="AI27" s="148"/>
      <c r="AJ27" s="148"/>
      <c r="AK27" s="148"/>
      <c r="AL27" s="148"/>
      <c r="AM27" s="151"/>
      <c r="AN27" s="237"/>
      <c r="AO27" s="238"/>
      <c r="AP27" s="238"/>
      <c r="AQ27" s="238"/>
      <c r="AR27" s="238"/>
      <c r="AS27" s="238"/>
      <c r="AT27" s="23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25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226"/>
      <c r="U28" s="147"/>
      <c r="V28" s="148"/>
      <c r="W28" s="148"/>
      <c r="X28" s="148"/>
      <c r="Y28" s="149"/>
      <c r="Z28" s="149"/>
      <c r="AA28" s="150"/>
      <c r="AB28" s="147"/>
      <c r="AC28" s="148"/>
      <c r="AD28" s="148"/>
      <c r="AE28" s="148"/>
      <c r="AF28" s="151"/>
      <c r="AG28" s="147">
        <f t="shared" si="0"/>
        <v>0</v>
      </c>
      <c r="AH28" s="148"/>
      <c r="AI28" s="148"/>
      <c r="AJ28" s="148"/>
      <c r="AK28" s="148"/>
      <c r="AL28" s="148"/>
      <c r="AM28" s="151"/>
      <c r="AN28" s="237"/>
      <c r="AO28" s="238"/>
      <c r="AP28" s="238"/>
      <c r="AQ28" s="238"/>
      <c r="AR28" s="238"/>
      <c r="AS28" s="238"/>
      <c r="AT28" s="23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25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226"/>
      <c r="U29" s="147"/>
      <c r="V29" s="148"/>
      <c r="W29" s="148"/>
      <c r="X29" s="148"/>
      <c r="Y29" s="149"/>
      <c r="Z29" s="149"/>
      <c r="AA29" s="150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37"/>
      <c r="AO29" s="238"/>
      <c r="AP29" s="238"/>
      <c r="AQ29" s="238"/>
      <c r="AR29" s="238"/>
      <c r="AS29" s="238"/>
      <c r="AT29" s="23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8" t="s">
        <v>43</v>
      </c>
      <c r="V30" s="119"/>
      <c r="W30" s="119"/>
      <c r="X30" s="119"/>
      <c r="Y30" s="119"/>
      <c r="Z30" s="119"/>
      <c r="AA30" s="120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3" t="s">
        <v>42</v>
      </c>
      <c r="CJ119" s="93"/>
      <c r="CK119" s="93"/>
      <c r="CL119" s="93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3" t="s">
        <v>73</v>
      </c>
      <c r="CJ120" s="93"/>
      <c r="CK120" s="93"/>
      <c r="CL120" s="93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見積書A4</vt:lpstr>
      <vt:lpstr>請求書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請求書!Print_Area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2025-04-11T10:14:40Z</cp:lastPrinted>
  <dcterms:created xsi:type="dcterms:W3CDTF">2001-10-18T00:35:45Z</dcterms:created>
  <dcterms:modified xsi:type="dcterms:W3CDTF">2025-04-11T10:14:43Z</dcterms:modified>
</cp:coreProperties>
</file>