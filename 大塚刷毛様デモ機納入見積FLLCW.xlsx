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5FL\1FL-LCW\"/>
    </mc:Choice>
  </mc:AlternateContent>
  <xr:revisionPtr revIDLastSave="0" documentId="13_ncr:1_{DBB651B4-EB34-4B22-BB0A-5A90E73178DA}" xr6:coauthVersionLast="47" xr6:coauthVersionMax="47" xr10:uidLastSave="{00000000-0000-0000-0000-000000000000}"/>
  <bookViews>
    <workbookView xWindow="8680" yWindow="0" windowWidth="20610" windowHeight="2088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<sst xmlns="http://schemas.openxmlformats.org/spreadsheetml/2006/main" count="239" uniqueCount="153">
  <si>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</si>
  <si>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</si>
  <si>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</si>
  <si>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</si>
  <si>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</si>
  <si>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</si>
  <si>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</si>
  <si>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</si>
  <si>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</si>
  <si>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</si>
  <si>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</si>
  <si>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</si>
  <si>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</si>
  <si>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</si>
  <si>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</si>
  <si>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</si>
  <si>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</si>
  <si>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</si>
  <si>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</si>
  <si>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</si>
  <si>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</si>
  <si>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</si>
  <si>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</si>
  <si>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</si>
  <si>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</si>
  <si>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</si>
  <si>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</si>
  <si>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</si>
  <si>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</si>
  <si>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</si>
  <si>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</si>
  <si>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</si>
  <si>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</si>
  <si>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</si>
  <si>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</si>
  <si>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</si>
  <si>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</si>
  <si>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</si>
  <si>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</si>
  <si>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</si>
  <si>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</si>
  <si>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</si>
  <si>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</si>
  <si>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</si>
  <si>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</si>
  <si>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</si>
  <si>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</si>
  <si>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</si>
  <si>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</si>
  <si>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</si>
  <si>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</si>
  <si>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</si>
  <si>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</si>
  <si>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</si>
  <si>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</si>
  <si>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</si>
  <si>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</si>
  <si>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</si>
  <si>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</si>
  <si>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</si>
  <si>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</si>
  <si>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</si>
  <si>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</si>
  <si>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</si>
  <si>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</si>
  <si>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</si>
  <si>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</si>
  <si>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</si>
  <si>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</si>
  <si>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</si>
  <si>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</si>
  <si>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</si>
  <si>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</si>
  <si>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</si>
  <si>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</si>
  <si>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</si>
  <si>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</si>
  <si>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</si>
  <si>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</si>
  <si>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</si>
  <si>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</si>
  <si>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</si>
  <si>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</si>
  <si>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</si>
  <si>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</si>
  <si>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</si>
  <si>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</si>
  <si>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</si>
  <si>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</si>
  <si>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</si>
  <si>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</si>
  <si>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</si>
  <si>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</si>
  <si>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</si>
  <si>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</si>
  <si>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</si>
  <si>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</si>
  <si>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</si>
  <si>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</si>
  <si>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</si>
  <si>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</si>
  <si>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</si>
  <si>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</si>
  <si>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</si>
  <si>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</si>
  <si>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</si>
  <si>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</si>
  <si>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</si>
  <si>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</si>
  <si>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</si>
  <si>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</si>
  <si>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</si>
  <si>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</si>
  <si>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</si>
  <si>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</si>
  <si>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</si>
  <si>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</si>
  <si>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</si>
  <si>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</si>
  <si>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</si>
  <si>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</si>
  <si>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</si>
  <si>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</si>
  <si>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</si>
  <si>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</si>
  <si>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</si>
  <si>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</si>
  <si>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</si>
  <si>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</si>
  <si>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</si>
  <si>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</si>
  <si>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</si>
  <si>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</si>
  <si>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</si>
  <si>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</si>
  <si>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</si>
  <si>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</si>
  <si>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</si>
  <si>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</si>
  <si>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貴社会社（工場）</t>
    <rPh sb="0" eb="2">
      <t>キシャ</t>
    </rPh>
    <rPh sb="2" eb="4">
      <t>カイシャ</t>
    </rPh>
    <rPh sb="5" eb="7">
      <t>コウジョウ</t>
    </rPh>
    <phoneticPr fontId="4"/>
  </si>
  <si>
    <t>現金支払</t>
    <rPh sb="0" eb="4">
      <t>ゲンキンシハラ</t>
    </rPh>
    <phoneticPr fontId="4"/>
  </si>
  <si>
    <t>運賃　車上渡し</t>
    <rPh sb="0" eb="2">
      <t>ウンチン</t>
    </rPh>
    <rPh sb="3" eb="6">
      <t>シャジョウワタ</t>
    </rPh>
    <phoneticPr fontId="4"/>
  </si>
  <si>
    <t>サンワ機器販売（株）</t>
    <phoneticPr fontId="4"/>
  </si>
  <si>
    <t xml:space="preserve">〒063-0849 </t>
    <phoneticPr fontId="4"/>
  </si>
  <si>
    <t>北海道札幌市西区八軒９条西１１丁目２−２２</t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</si>
  <si>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</si>
  <si>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FL240620</t>
    <phoneticPr fontId="4"/>
  </si>
  <si>
    <t>20日～機種により</t>
    <rPh sb="2" eb="3">
      <t>ニチ</t>
    </rPh>
    <rPh sb="4" eb="6">
      <t>キシュ</t>
    </rPh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</si>
  <si>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</si>
  <si>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RSD-SUNMAX-FL-LCW　デモ機貸出1ヵ月</t>
    <rPh sb="20" eb="21">
      <t>キ</t>
    </rPh>
    <rPh sb="21" eb="23">
      <t>カシダシ</t>
    </rPh>
    <rPh sb="25" eb="26">
      <t>ガツ</t>
    </rPh>
    <phoneticPr fontId="4"/>
  </si>
  <si>
    <t>1ヵ月以内返却</t>
    <rPh sb="2" eb="5">
      <t>ガツイナイ</t>
    </rPh>
    <rPh sb="5" eb="7">
      <t>ヘンキャク</t>
    </rPh>
    <phoneticPr fontId="4"/>
  </si>
  <si>
    <t>セットアップ操作講習費　1日</t>
    <rPh sb="6" eb="8">
      <t>ソウサ</t>
    </rPh>
    <rPh sb="8" eb="10">
      <t>コウシュウ</t>
    </rPh>
    <rPh sb="10" eb="11">
      <t>ヒ</t>
    </rPh>
    <rPh sb="13" eb="14">
      <t>ニチ</t>
    </rPh>
    <phoneticPr fontId="4"/>
  </si>
  <si>
    <t>返却は御社の費用負担にて弊社まで返送してください。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</si>
</sst>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6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50800</xdr:colOff>
          <xdr:row>0</xdr:row>
          <xdr:rowOff>298450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298450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393700</xdr:rowOff>
        </xdr:from>
        <xdr:to>
          <xdr:col>4</xdr:col>
          <xdr:colOff>203200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393700</xdr:rowOff>
        </xdr:from>
        <xdr:to>
          <xdr:col>8</xdr:col>
          <xdr:colOff>127000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393700</xdr:rowOff>
        </xdr:from>
        <xdr:to>
          <xdr:col>44</xdr:col>
          <xdr:colOff>146050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76200</xdr:rowOff>
        </xdr:from>
        <xdr:to>
          <xdr:col>13</xdr:col>
          <xdr:colOff>114300</xdr:colOff>
          <xdr:row>0</xdr:row>
          <xdr:rowOff>298450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203200</xdr:colOff>
          <xdr:row>0</xdr:row>
          <xdr:rowOff>298450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88900</xdr:colOff>
          <xdr:row>0</xdr:row>
          <xdr:rowOff>76200</xdr:rowOff>
        </xdr:from>
        <xdr:to>
          <xdr:col>22</xdr:col>
          <xdr:colOff>69850</xdr:colOff>
          <xdr:row>0</xdr:row>
          <xdr:rowOff>298450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50800</xdr:colOff>
          <xdr:row>0</xdr:row>
          <xdr:rowOff>298450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146050</xdr:colOff>
          <xdr:row>0</xdr:row>
          <xdr:rowOff>298450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50800</xdr:colOff>
          <xdr:row>0</xdr:row>
          <xdr:rowOff>622300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393700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</xdr:colOff>
          <xdr:row>0</xdr:row>
          <xdr:rowOff>393700</xdr:rowOff>
        </xdr:from>
        <xdr:to>
          <xdr:col>18</xdr:col>
          <xdr:colOff>12700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127000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393700</xdr:rowOff>
        </xdr:from>
        <xdr:to>
          <xdr:col>27</xdr:col>
          <xdr:colOff>50800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5</xdr:row>
          <xdr:rowOff>184150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76200</xdr:rowOff>
        </xdr:from>
        <xdr:to>
          <xdr:col>0</xdr:col>
          <xdr:colOff>476250</xdr:colOff>
          <xdr:row>5</xdr:row>
          <xdr:rowOff>107950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95250</xdr:rowOff>
        </xdr:from>
        <xdr:to>
          <xdr:col>0</xdr:col>
          <xdr:colOff>476250</xdr:colOff>
          <xdr:row>8</xdr:row>
          <xdr:rowOff>127000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95250</xdr:rowOff>
        </xdr:from>
        <xdr:to>
          <xdr:col>0</xdr:col>
          <xdr:colOff>476250</xdr:colOff>
          <xdr:row>25</xdr:row>
          <xdr:rowOff>317500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88900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95250</xdr:rowOff>
        </xdr:from>
        <xdr:to>
          <xdr:col>0</xdr:col>
          <xdr:colOff>476250</xdr:colOff>
          <xdr:row>27</xdr:row>
          <xdr:rowOff>317500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0</xdr:col>
          <xdr:colOff>476250</xdr:colOff>
          <xdr:row>28</xdr:row>
          <xdr:rowOff>317500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29</xdr:row>
          <xdr:rowOff>95250</xdr:rowOff>
        </xdr:from>
        <xdr:to>
          <xdr:col>0</xdr:col>
          <xdr:colOff>476250</xdr:colOff>
          <xdr:row>29</xdr:row>
          <xdr:rowOff>317500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30</xdr:row>
          <xdr:rowOff>95250</xdr:rowOff>
        </xdr:from>
        <xdr:to>
          <xdr:col>0</xdr:col>
          <xdr:colOff>476250</xdr:colOff>
          <xdr:row>30</xdr:row>
          <xdr:rowOff>317500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31</xdr:row>
          <xdr:rowOff>95250</xdr:rowOff>
        </xdr:from>
        <xdr:to>
          <xdr:col>0</xdr:col>
          <xdr:colOff>476250</xdr:colOff>
          <xdr:row>31</xdr:row>
          <xdr:rowOff>317500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32</xdr:row>
          <xdr:rowOff>95250</xdr:rowOff>
        </xdr:from>
        <xdr:to>
          <xdr:col>0</xdr:col>
          <xdr:colOff>476250</xdr:colOff>
          <xdr:row>32</xdr:row>
          <xdr:rowOff>317500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33</xdr:row>
          <xdr:rowOff>95250</xdr:rowOff>
        </xdr:from>
        <xdr:to>
          <xdr:col>0</xdr:col>
          <xdr:colOff>476250</xdr:colOff>
          <xdr:row>33</xdr:row>
          <xdr:rowOff>317500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34</xdr:row>
          <xdr:rowOff>95250</xdr:rowOff>
        </xdr:from>
        <xdr:to>
          <xdr:col>0</xdr:col>
          <xdr:colOff>476250</xdr:colOff>
          <xdr:row>34</xdr:row>
          <xdr:rowOff>317500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35</xdr:row>
          <xdr:rowOff>95250</xdr:rowOff>
        </xdr:from>
        <xdr:to>
          <xdr:col>0</xdr:col>
          <xdr:colOff>476250</xdr:colOff>
          <xdr:row>35</xdr:row>
          <xdr:rowOff>317500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36</xdr:row>
          <xdr:rowOff>95250</xdr:rowOff>
        </xdr:from>
        <xdr:to>
          <xdr:col>0</xdr:col>
          <xdr:colOff>476250</xdr:colOff>
          <xdr:row>36</xdr:row>
          <xdr:rowOff>317500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</xdr:row>
          <xdr:rowOff>165100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</xdr:colOff>
          <xdr:row>0</xdr:row>
          <xdr:rowOff>76200</xdr:rowOff>
        </xdr:from>
        <xdr:to>
          <xdr:col>18</xdr:col>
          <xdr:colOff>12700</xdr:colOff>
          <xdr:row>0</xdr:row>
          <xdr:rowOff>298450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622300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69850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88900</xdr:colOff>
          <xdr:row>0</xdr:row>
          <xdr:rowOff>393700</xdr:rowOff>
        </xdr:from>
        <xdr:to>
          <xdr:col>22</xdr:col>
          <xdr:colOff>69850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400</xdr:row>
          <xdr:rowOff>107950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298450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403</xdr:row>
          <xdr:rowOff>107950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402</xdr:row>
          <xdr:rowOff>19050</xdr:rowOff>
        </xdr:from>
        <xdr:to>
          <xdr:col>156</xdr:col>
          <xdr:colOff>38100</xdr:colOff>
          <xdr:row>403</xdr:row>
          <xdr:rowOff>50800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399</xdr:row>
          <xdr:rowOff>0</xdr:rowOff>
        </xdr:from>
        <xdr:to>
          <xdr:col>156</xdr:col>
          <xdr:colOff>38100</xdr:colOff>
          <xdr:row>400</xdr:row>
          <xdr:rowOff>31750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622300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146050</xdr:colOff>
          <xdr:row>98</xdr:row>
          <xdr:rowOff>69850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12700</xdr:rowOff>
        </xdr:from>
        <xdr:to>
          <xdr:col>115</xdr:col>
          <xdr:colOff>450850</xdr:colOff>
          <xdr:row>118</xdr:row>
          <xdr:rowOff>184150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450850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146050</xdr:colOff>
          <xdr:row>99</xdr:row>
          <xdr:rowOff>88900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69850</xdr:colOff>
          <xdr:row>98</xdr:row>
          <xdr:rowOff>57150</xdr:rowOff>
        </xdr:from>
        <xdr:to>
          <xdr:col>97</xdr:col>
          <xdr:colOff>88900</xdr:colOff>
          <xdr:row>99</xdr:row>
          <xdr:rowOff>88900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42</xdr:col>
          <xdr:colOff>152400</xdr:colOff>
          <xdr:row>1</xdr:row>
          <xdr:rowOff>146050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0</xdr:col>
          <xdr:colOff>476250</xdr:colOff>
          <xdr:row>8</xdr:row>
          <xdr:rowOff>298450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0</xdr:col>
          <xdr:colOff>476250</xdr:colOff>
          <xdr:row>9</xdr:row>
          <xdr:rowOff>317500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0</xdr:col>
          <xdr:colOff>476250</xdr:colOff>
          <xdr:row>11</xdr:row>
          <xdr:rowOff>317500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0</xdr:col>
          <xdr:colOff>476250</xdr:colOff>
          <xdr:row>12</xdr:row>
          <xdr:rowOff>317500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0</xdr:col>
          <xdr:colOff>476250</xdr:colOff>
          <xdr:row>14</xdr:row>
          <xdr:rowOff>298450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0</xdr:col>
          <xdr:colOff>476250</xdr:colOff>
          <xdr:row>15</xdr:row>
          <xdr:rowOff>336550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0</xdr:col>
          <xdr:colOff>476250</xdr:colOff>
          <xdr:row>16</xdr:row>
          <xdr:rowOff>317500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0</xdr:col>
          <xdr:colOff>476250</xdr:colOff>
          <xdr:row>18</xdr:row>
          <xdr:rowOff>317500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0</xdr:col>
          <xdr:colOff>476250</xdr:colOff>
          <xdr:row>22</xdr:row>
          <xdr:rowOff>317500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0</xdr:col>
          <xdr:colOff>476250</xdr:colOff>
          <xdr:row>26</xdr:row>
          <xdr:rowOff>298450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0</xdr:col>
          <xdr:colOff>476250</xdr:colOff>
          <xdr:row>28</xdr:row>
          <xdr:rowOff>317500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0</xdr:col>
          <xdr:colOff>476250</xdr:colOff>
          <xdr:row>5</xdr:row>
          <xdr:rowOff>146050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P25" sqref="BP25"/>
    </sheetView>
  </sheetViews>
  <sheetFormatPr defaultColWidth="2.08984375" defaultRowHeight="15" customHeight="1" x14ac:dyDescent="0.2"/>
  <cols>
    <col min="1" max="1" width="7.26953125" style="25" customWidth="1"/>
    <col min="2" max="4" width="2.08984375" customWidth="1"/>
    <col min="5" max="5" width="3.7265625" customWidth="1"/>
    <col min="6" max="9" width="2.08984375" customWidth="1"/>
    <col min="10" max="10" width="2.36328125" customWidth="1"/>
    <col min="11" max="11" width="0.453125" customWidth="1"/>
    <col min="12" max="25" width="2.08984375" customWidth="1"/>
    <col min="26" max="26" width="0.90625" customWidth="1"/>
    <col min="27" max="27" width="2.08984375" customWidth="1"/>
    <col min="28" max="28" width="1.90625" customWidth="1"/>
    <col min="29" max="30" width="2.08984375" customWidth="1"/>
    <col min="31" max="31" width="2.6328125" customWidth="1"/>
    <col min="32" max="33" width="2.08984375" customWidth="1"/>
    <col min="34" max="34" width="1.90625" customWidth="1"/>
    <col min="35" max="35" width="3.453125" customWidth="1"/>
    <col min="36" max="36" width="1.36328125" customWidth="1"/>
    <col min="37" max="37" width="1.6328125" customWidth="1"/>
    <col min="38" max="38" width="2.453125" customWidth="1"/>
    <col min="39" max="39" width="2.26953125" customWidth="1"/>
    <col min="40" max="40" width="1.08984375" customWidth="1"/>
    <col min="41" max="41" width="2.08984375" customWidth="1"/>
    <col min="42" max="42" width="2.36328125" customWidth="1"/>
    <col min="43" max="45" width="2.08984375" customWidth="1"/>
    <col min="46" max="46" width="0.90625" customWidth="1"/>
    <col min="47" max="82" width="2.08984375" customWidth="1"/>
    <col min="83" max="83" width="5.08984375" customWidth="1"/>
    <col min="84" max="103" width="2.08984375" customWidth="1"/>
    <col min="104" max="104" width="2.7265625" customWidth="1"/>
    <col min="105" max="115" width="2.08984375" customWidth="1"/>
    <col min="116" max="116" width="7.36328125" customWidth="1"/>
    <col min="117" max="121" width="2.08984375" customWidth="1"/>
    <col min="122" max="122" width="10.7265625" customWidth="1"/>
    <col min="123" max="157" width="2.08984375" customWidth="1"/>
    <col min="158" max="158" width="5.26953125" bestFit="1" customWidth="1"/>
    <col min="159" max="159" width="7.90625" bestFit="1" customWidth="1"/>
    <col min="160" max="160" width="31.453125" bestFit="1" customWidth="1"/>
    <col min="161" max="162" width="6" bestFit="1" customWidth="1"/>
    <col min="163" max="163" width="8.7265625" customWidth="1"/>
    <col min="164" max="164" width="9.7265625" customWidth="1"/>
    <col min="165" max="165" width="8.7265625" customWidth="1"/>
  </cols>
  <sheetData>
    <row r="1" spans="1:78" ht="57.75" customHeight="1" x14ac:dyDescent="0.2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2">
      <c r="A2" s="26"/>
      <c r="E2" s="3"/>
      <c r="F2" s="3"/>
      <c r="G2" s="67"/>
      <c r="H2" s="3"/>
      <c r="I2" s="68"/>
      <c r="J2" s="68"/>
      <c r="L2" s="60"/>
      <c r="M2" s="95" t="s">
        <v>77</v>
      </c>
      <c r="N2" s="95"/>
      <c r="O2" s="95"/>
      <c r="P2" s="95"/>
      <c r="Q2" s="95"/>
      <c r="R2" s="95"/>
      <c r="W2" s="4"/>
      <c r="X2" s="4"/>
      <c r="Y2" s="4"/>
      <c r="Z2" s="4"/>
      <c r="AA2" s="111" t="s">
        <v>46</v>
      </c>
      <c r="AB2" s="111"/>
      <c r="AC2" s="111"/>
      <c r="AD2" s="111"/>
      <c r="AE2" s="111"/>
      <c r="AF2" s="111"/>
      <c r="AG2" s="111"/>
      <c r="AH2" s="111"/>
      <c r="AI2" s="111"/>
      <c r="AJ2" s="11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26"/>
      <c r="E3" s="98" t="s">
        <v>143</v>
      </c>
      <c r="F3" s="98"/>
      <c r="G3" s="98"/>
      <c r="H3" s="9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L3" s="5" t="s">
        <v>0</v>
      </c>
      <c r="AM3" s="5"/>
      <c r="AN3" s="92" t="s">
        <v>146</v>
      </c>
      <c r="AO3" s="92"/>
      <c r="AP3" s="92"/>
      <c r="AQ3" s="92"/>
      <c r="AR3" s="92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2">
      <c r="A4" s="26"/>
      <c r="D4" s="96" t="s">
        <v>144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26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26"/>
      <c r="D6" s="7"/>
      <c r="E6" s="7"/>
      <c r="F6" s="113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17">
        <v>6</v>
      </c>
      <c r="AJ6" s="117"/>
      <c r="AK6" s="117"/>
      <c r="AL6" s="9" t="s">
        <v>1</v>
      </c>
      <c r="AM6" s="117">
        <v>6</v>
      </c>
      <c r="AN6" s="117"/>
      <c r="AO6" s="9" t="s">
        <v>2</v>
      </c>
      <c r="AP6" s="117">
        <v>20</v>
      </c>
      <c r="AQ6" s="11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2">
      <c r="A7" s="26"/>
      <c r="D7" s="115" t="s">
        <v>142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 t="s">
        <v>54</v>
      </c>
      <c r="U7" s="114"/>
      <c r="V7" s="11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2">
      <c r="A8" s="2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4"/>
      <c r="U8" s="114"/>
      <c r="V8" s="11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2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2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2">
      <c r="A11" s="26"/>
      <c r="D11" s="73" t="s">
        <v>4</v>
      </c>
      <c r="E11" s="74"/>
      <c r="F11" s="74"/>
      <c r="G11" s="74"/>
      <c r="H11" s="101" t="s">
        <v>147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2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2">
      <c r="A13" s="26"/>
      <c r="D13" s="73" t="s">
        <v>5</v>
      </c>
      <c r="E13" s="74"/>
      <c r="F13" s="74"/>
      <c r="G13" s="74"/>
      <c r="H13" s="99" t="s">
        <v>139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74"/>
      <c r="Z13" s="78"/>
      <c r="AA13" s="78"/>
      <c r="AB13" s="121" t="s">
        <v>56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2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2">
      <c r="A15" s="26"/>
      <c r="D15" s="73" t="s">
        <v>140</v>
      </c>
      <c r="E15" s="74"/>
      <c r="F15" s="74"/>
      <c r="G15" s="74"/>
      <c r="I15" s="81" t="s">
        <v>145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57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2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2">
      <c r="A17" s="26"/>
      <c r="B17" s="30"/>
      <c r="D17" s="79"/>
      <c r="E17" s="5"/>
      <c r="F17" s="5"/>
      <c r="G17" s="5"/>
      <c r="H17" s="5"/>
      <c r="I17" s="5"/>
      <c r="J17" s="92"/>
      <c r="K17" s="92"/>
      <c r="L17" s="92"/>
      <c r="M17" s="5"/>
      <c r="N17" s="92"/>
      <c r="O17" s="92"/>
      <c r="P17" s="5"/>
      <c r="Q17" s="92"/>
      <c r="R17" s="92"/>
      <c r="S17" s="5"/>
      <c r="T17" s="5"/>
      <c r="U17" s="5"/>
      <c r="AB17" s="79" t="s">
        <v>6</v>
      </c>
      <c r="AC17" s="79"/>
      <c r="AD17" s="79"/>
      <c r="AE17" s="79"/>
      <c r="AF17" s="99" t="s">
        <v>96</v>
      </c>
      <c r="AG17" s="99"/>
      <c r="AH17" s="99"/>
      <c r="AI17" s="99"/>
      <c r="AJ17" s="99"/>
      <c r="AK17" s="99"/>
      <c r="AL17" s="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2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35">
      <c r="A19" s="26"/>
      <c r="B19" s="78"/>
      <c r="J19" s="85">
        <f>H39</f>
        <v>220000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02"/>
      <c r="AC19" s="103"/>
      <c r="AD19" s="103"/>
      <c r="AE19" s="103"/>
      <c r="AF19" s="104"/>
      <c r="AG19" s="102"/>
      <c r="AH19" s="103"/>
      <c r="AI19" s="103"/>
      <c r="AJ19" s="103"/>
      <c r="AK19" s="104"/>
      <c r="AL19" s="102"/>
      <c r="AM19" s="103"/>
      <c r="AN19" s="103"/>
      <c r="AO19" s="103"/>
      <c r="AP19" s="10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2">
      <c r="A20" s="26"/>
      <c r="B20" s="78"/>
      <c r="D20" s="111" t="s">
        <v>97</v>
      </c>
      <c r="E20" s="111"/>
      <c r="F20" s="111"/>
      <c r="G20" s="111"/>
      <c r="H20" s="111"/>
      <c r="I20" s="111"/>
      <c r="J20" s="93">
        <f>H39</f>
        <v>220000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AB20" s="105"/>
      <c r="AC20" s="106"/>
      <c r="AD20" s="106"/>
      <c r="AE20" s="106"/>
      <c r="AF20" s="107"/>
      <c r="AG20" s="105"/>
      <c r="AH20" s="106"/>
      <c r="AI20" s="106"/>
      <c r="AJ20" s="106"/>
      <c r="AK20" s="107"/>
      <c r="AL20" s="105"/>
      <c r="AM20" s="106"/>
      <c r="AN20" s="106"/>
      <c r="AO20" s="106"/>
      <c r="AP20" s="10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5" customHeight="1" thickBot="1" x14ac:dyDescent="0.25">
      <c r="A21" s="26"/>
      <c r="B21" s="78"/>
      <c r="D21" s="112"/>
      <c r="E21" s="112"/>
      <c r="F21" s="112"/>
      <c r="G21" s="112"/>
      <c r="H21" s="112"/>
      <c r="I21" s="112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AB21" s="105"/>
      <c r="AC21" s="106"/>
      <c r="AD21" s="106"/>
      <c r="AE21" s="106"/>
      <c r="AF21" s="107"/>
      <c r="AG21" s="105"/>
      <c r="AH21" s="106"/>
      <c r="AI21" s="106"/>
      <c r="AJ21" s="106"/>
      <c r="AK21" s="107"/>
      <c r="AL21" s="105"/>
      <c r="AM21" s="106"/>
      <c r="AN21" s="106"/>
      <c r="AO21" s="106"/>
      <c r="AP21" s="10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2">
      <c r="A22" s="26"/>
      <c r="B22" s="118" t="s">
        <v>148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78"/>
      <c r="AB22" s="108"/>
      <c r="AC22" s="109"/>
      <c r="AD22" s="109"/>
      <c r="AE22" s="109"/>
      <c r="AF22" s="110"/>
      <c r="AG22" s="108"/>
      <c r="AH22" s="109"/>
      <c r="AI22" s="109"/>
      <c r="AJ22" s="109"/>
      <c r="AK22" s="110"/>
      <c r="AL22" s="108"/>
      <c r="AM22" s="109"/>
      <c r="AN22" s="109"/>
      <c r="AO22" s="109"/>
      <c r="AP22" s="11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5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2">
      <c r="A24" s="26"/>
      <c r="B24" s="150" t="s">
        <v>8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6" t="s">
        <v>9</v>
      </c>
      <c r="U24" s="87"/>
      <c r="V24" s="87"/>
      <c r="W24" s="87"/>
      <c r="X24" s="87"/>
      <c r="Y24" s="87"/>
      <c r="Z24" s="88"/>
      <c r="AA24" s="86" t="s">
        <v>98</v>
      </c>
      <c r="AB24" s="87"/>
      <c r="AC24" s="87"/>
      <c r="AD24" s="87"/>
      <c r="AE24" s="87"/>
      <c r="AF24" s="86" t="s">
        <v>11</v>
      </c>
      <c r="AG24" s="87"/>
      <c r="AH24" s="87"/>
      <c r="AI24" s="87"/>
      <c r="AJ24" s="87"/>
      <c r="AK24" s="87"/>
      <c r="AL24" s="88"/>
      <c r="AM24" s="86" t="s">
        <v>12</v>
      </c>
      <c r="AN24" s="87"/>
      <c r="AO24" s="87"/>
      <c r="AP24" s="87"/>
      <c r="AQ24" s="87"/>
      <c r="AR24" s="87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2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9"/>
      <c r="U25" s="90"/>
      <c r="V25" s="90"/>
      <c r="W25" s="90"/>
      <c r="X25" s="90"/>
      <c r="Y25" s="90"/>
      <c r="Z25" s="91"/>
      <c r="AA25" s="89"/>
      <c r="AB25" s="90"/>
      <c r="AC25" s="90"/>
      <c r="AD25" s="90"/>
      <c r="AE25" s="90"/>
      <c r="AF25" s="89"/>
      <c r="AG25" s="90"/>
      <c r="AH25" s="90"/>
      <c r="AI25" s="90"/>
      <c r="AJ25" s="90"/>
      <c r="AK25" s="90"/>
      <c r="AL25" s="91"/>
      <c r="AM25" s="89"/>
      <c r="AN25" s="90"/>
      <c r="AO25" s="90"/>
      <c r="AP25" s="90"/>
      <c r="AQ25" s="90"/>
      <c r="AR25" s="90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26"/>
      <c r="B26" s="143" t="s">
        <v>149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 t="s">
        <v>21</v>
      </c>
      <c r="Y26" s="146"/>
      <c r="Z26" s="147"/>
      <c r="AA26" s="127">
        <v>50000</v>
      </c>
      <c r="AB26" s="128"/>
      <c r="AC26" s="128"/>
      <c r="AD26" s="128"/>
      <c r="AE26" s="129"/>
      <c r="AF26" s="127">
        <f t="shared" ref="AF26:AF37" si="0">IF(T26="",1*AA26,T26*AA26)</f>
        <v>50000</v>
      </c>
      <c r="AG26" s="128"/>
      <c r="AH26" s="128"/>
      <c r="AI26" s="128"/>
      <c r="AJ26" s="128"/>
      <c r="AK26" s="128"/>
      <c r="AL26" s="129"/>
      <c r="AM26" s="124" t="s">
        <v>150</v>
      </c>
      <c r="AN26" s="125"/>
      <c r="AO26" s="125"/>
      <c r="AP26" s="125"/>
      <c r="AQ26" s="125"/>
      <c r="AR26" s="125"/>
      <c r="AS26" s="126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26"/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/>
      <c r="Y27" s="146"/>
      <c r="Z27" s="147"/>
      <c r="AA27" s="127"/>
      <c r="AB27" s="128"/>
      <c r="AC27" s="128"/>
      <c r="AD27" s="128"/>
      <c r="AE27" s="129"/>
      <c r="AF27" s="127">
        <f t="shared" ref="AF27" si="1">IF(T27="",1*AA27,T27*AA27)</f>
        <v>0</v>
      </c>
      <c r="AG27" s="128"/>
      <c r="AH27" s="128"/>
      <c r="AI27" s="128"/>
      <c r="AJ27" s="128"/>
      <c r="AK27" s="128"/>
      <c r="AL27" s="129"/>
      <c r="AM27" s="124"/>
      <c r="AN27" s="125"/>
      <c r="AO27" s="125"/>
      <c r="AP27" s="125"/>
      <c r="AQ27" s="125"/>
      <c r="AR27" s="125"/>
      <c r="AS27" s="126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26"/>
      <c r="B28" s="14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/>
      <c r="Y28" s="146"/>
      <c r="Z28" s="147"/>
      <c r="AA28" s="127"/>
      <c r="AB28" s="128"/>
      <c r="AC28" s="128"/>
      <c r="AD28" s="128"/>
      <c r="AE28" s="129"/>
      <c r="AF28" s="127">
        <f>IF(T28="",1*AA28,T28*AA28)</f>
        <v>0</v>
      </c>
      <c r="AG28" s="128"/>
      <c r="AH28" s="128"/>
      <c r="AI28" s="128"/>
      <c r="AJ28" s="128"/>
      <c r="AK28" s="128"/>
      <c r="AL28" s="129"/>
      <c r="AM28" s="124"/>
      <c r="AN28" s="125"/>
      <c r="AO28" s="125"/>
      <c r="AP28" s="125"/>
      <c r="AQ28" s="125"/>
      <c r="AR28" s="125"/>
      <c r="AS28" s="126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/>
      <c r="Y29" s="146"/>
      <c r="Z29" s="147"/>
      <c r="AA29" s="127"/>
      <c r="AB29" s="128"/>
      <c r="AC29" s="128"/>
      <c r="AD29" s="128"/>
      <c r="AE29" s="129"/>
      <c r="AF29" s="127">
        <f t="shared" ref="AF29" si="2">IF(T29="",1*AA29,T29*AA29)</f>
        <v>0</v>
      </c>
      <c r="AG29" s="128"/>
      <c r="AH29" s="128"/>
      <c r="AI29" s="128"/>
      <c r="AJ29" s="128"/>
      <c r="AK29" s="128"/>
      <c r="AL29" s="129"/>
      <c r="AM29" s="124"/>
      <c r="AN29" s="125"/>
      <c r="AO29" s="125"/>
      <c r="AP29" s="125"/>
      <c r="AQ29" s="125"/>
      <c r="AR29" s="125"/>
      <c r="AS29" s="126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x14ac:dyDescent="0.2">
      <c r="A30" s="26"/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ref="AF30" si="3">IF(T30="",1*AA30,T30*AA30)</f>
        <v>0</v>
      </c>
      <c r="AG30" s="128"/>
      <c r="AH30" s="128"/>
      <c r="AI30" s="128"/>
      <c r="AJ30" s="128"/>
      <c r="AK30" s="128"/>
      <c r="AL30" s="129"/>
      <c r="AM30" s="124"/>
      <c r="AN30" s="125"/>
      <c r="AO30" s="125"/>
      <c r="AP30" s="125"/>
      <c r="AQ30" s="125"/>
      <c r="AR30" s="125"/>
      <c r="AS30" s="126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5" customHeight="1" x14ac:dyDescent="0.2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/>
      <c r="Y31" s="146"/>
      <c r="Z31" s="147"/>
      <c r="AA31" s="127"/>
      <c r="AB31" s="128"/>
      <c r="AC31" s="128"/>
      <c r="AD31" s="128"/>
      <c r="AE31" s="129"/>
      <c r="AF31" s="127">
        <f t="shared" ref="AF31:AF32" si="4">IF(T31="",1*AA31,T31*AA31)</f>
        <v>0</v>
      </c>
      <c r="AG31" s="128"/>
      <c r="AH31" s="128"/>
      <c r="AI31" s="128"/>
      <c r="AJ31" s="128"/>
      <c r="AK31" s="128"/>
      <c r="AL31" s="129"/>
      <c r="AM31" s="124"/>
      <c r="AN31" s="125"/>
      <c r="AO31" s="125"/>
      <c r="AP31" s="125"/>
      <c r="AQ31" s="125"/>
      <c r="AR31" s="125"/>
      <c r="AS31" s="126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5" customHeight="1" x14ac:dyDescent="0.2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4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5" customHeight="1" x14ac:dyDescent="0.2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24"/>
      <c r="AN33" s="125"/>
      <c r="AO33" s="125"/>
      <c r="AP33" s="125"/>
      <c r="AQ33" s="125"/>
      <c r="AR33" s="125"/>
      <c r="AS33" s="126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5" customHeight="1" x14ac:dyDescent="0.2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5" customHeight="1" x14ac:dyDescent="0.2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/>
      <c r="U35" s="128"/>
      <c r="V35" s="128"/>
      <c r="W35" s="128"/>
      <c r="X35" s="146"/>
      <c r="Y35" s="146"/>
      <c r="Z35" s="147"/>
      <c r="AA35" s="127"/>
      <c r="AB35" s="128"/>
      <c r="AC35" s="128"/>
      <c r="AD35" s="128"/>
      <c r="AE35" s="129"/>
      <c r="AF35" s="127">
        <f>IF(T35="",1*AA35,T35*AA35)</f>
        <v>0</v>
      </c>
      <c r="AG35" s="128"/>
      <c r="AH35" s="128"/>
      <c r="AI35" s="128"/>
      <c r="AJ35" s="128"/>
      <c r="AK35" s="128"/>
      <c r="AL35" s="129"/>
      <c r="AM35" s="130"/>
      <c r="AN35" s="131"/>
      <c r="AO35" s="131"/>
      <c r="AP35" s="131"/>
      <c r="AQ35" s="131"/>
      <c r="AR35" s="131"/>
      <c r="AS35" s="13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5" customHeight="1" x14ac:dyDescent="0.2">
      <c r="A36" s="26"/>
      <c r="B36" s="143" t="s">
        <v>151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/>
      <c r="U36" s="128"/>
      <c r="V36" s="128"/>
      <c r="W36" s="128"/>
      <c r="X36" s="146" t="s">
        <v>21</v>
      </c>
      <c r="Y36" s="146"/>
      <c r="Z36" s="147"/>
      <c r="AA36" s="127">
        <v>120000</v>
      </c>
      <c r="AB36" s="128"/>
      <c r="AC36" s="128"/>
      <c r="AD36" s="128"/>
      <c r="AE36" s="129"/>
      <c r="AF36" s="127">
        <f t="shared" si="0"/>
        <v>120000</v>
      </c>
      <c r="AG36" s="128"/>
      <c r="AH36" s="128"/>
      <c r="AI36" s="128"/>
      <c r="AJ36" s="128"/>
      <c r="AK36" s="128"/>
      <c r="AL36" s="129"/>
      <c r="AM36" s="130"/>
      <c r="AN36" s="131"/>
      <c r="AO36" s="131"/>
      <c r="AP36" s="131"/>
      <c r="AQ36" s="131"/>
      <c r="AR36" s="131"/>
      <c r="AS36" s="13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5" customHeight="1" x14ac:dyDescent="0.2">
      <c r="A37" s="26"/>
      <c r="B37" s="143" t="s">
        <v>141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/>
      <c r="U37" s="128"/>
      <c r="V37" s="128"/>
      <c r="W37" s="128"/>
      <c r="X37" s="146" t="s">
        <v>21</v>
      </c>
      <c r="Y37" s="146"/>
      <c r="Z37" s="147"/>
      <c r="AA37" s="127">
        <v>30000</v>
      </c>
      <c r="AB37" s="128"/>
      <c r="AC37" s="128"/>
      <c r="AD37" s="128"/>
      <c r="AE37" s="129"/>
      <c r="AF37" s="127">
        <f t="shared" si="0"/>
        <v>30000</v>
      </c>
      <c r="AG37" s="128"/>
      <c r="AH37" s="128"/>
      <c r="AI37" s="128"/>
      <c r="AJ37" s="128"/>
      <c r="AK37" s="128"/>
      <c r="AL37" s="129"/>
      <c r="AM37" s="130"/>
      <c r="AN37" s="131"/>
      <c r="AO37" s="131"/>
      <c r="AP37" s="131"/>
      <c r="AQ37" s="131"/>
      <c r="AR37" s="131"/>
      <c r="AS37" s="13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5" customHeight="1" x14ac:dyDescent="0.2">
      <c r="A38" s="26"/>
      <c r="B38" s="169" t="s">
        <v>100</v>
      </c>
      <c r="C38" s="170"/>
      <c r="D38" s="170"/>
      <c r="E38" s="170"/>
      <c r="F38" s="170"/>
      <c r="G38" s="171"/>
      <c r="H38" s="172">
        <f>AA38*0.1</f>
        <v>20000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4"/>
      <c r="T38" s="175" t="s">
        <v>14</v>
      </c>
      <c r="U38" s="170"/>
      <c r="V38" s="170"/>
      <c r="W38" s="170"/>
      <c r="X38" s="170"/>
      <c r="Y38" s="170"/>
      <c r="Z38" s="171"/>
      <c r="AA38" s="176">
        <f>SUM(AF26:AL37)</f>
        <v>200000</v>
      </c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8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5" customHeight="1" thickBot="1" x14ac:dyDescent="0.25">
      <c r="A39" s="26"/>
      <c r="B39" s="156" t="s">
        <v>7</v>
      </c>
      <c r="C39" s="157"/>
      <c r="D39" s="157"/>
      <c r="E39" s="157"/>
      <c r="F39" s="157"/>
      <c r="G39" s="158"/>
      <c r="H39" s="159">
        <f>CK115+H38</f>
        <v>220000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2">
      <c r="A40" s="26"/>
      <c r="B40" s="162" t="s">
        <v>15</v>
      </c>
      <c r="C40" s="163"/>
      <c r="D40" s="163"/>
      <c r="E40" s="164" t="s">
        <v>152</v>
      </c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49999999999999" customHeight="1" thickBot="1" x14ac:dyDescent="0.25">
      <c r="A41" s="26"/>
      <c r="B41" s="166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8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49999999999999" customHeight="1" thickTop="1" thickBot="1" x14ac:dyDescent="0.25">
      <c r="A42" s="26"/>
      <c r="B42" s="166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49999999999999" customHeight="1" thickTop="1" x14ac:dyDescent="0.2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2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3"/>
      <c r="O44" s="183"/>
      <c r="P44" s="183"/>
      <c r="Q44" s="183"/>
      <c r="R44" s="183"/>
      <c r="S44" s="183"/>
      <c r="T44" s="183"/>
      <c r="U44" s="183"/>
      <c r="V44" s="183"/>
      <c r="W44" s="1"/>
      <c r="X44" s="51"/>
      <c r="Y44" s="16"/>
      <c r="Z44" s="15"/>
      <c r="AA44" s="15"/>
      <c r="AB44" s="182"/>
      <c r="AC44" s="182"/>
      <c r="AD44" s="182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2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79"/>
      <c r="O45" s="179"/>
      <c r="P45" s="180"/>
      <c r="Q45" s="180"/>
      <c r="R45" s="180"/>
      <c r="S45" s="180"/>
      <c r="T45" s="180"/>
      <c r="U45" s="180"/>
      <c r="V45" s="180"/>
      <c r="W45" s="1"/>
      <c r="X45" s="53"/>
      <c r="Y45" s="54"/>
      <c r="Z45" s="15"/>
      <c r="AA45" s="15"/>
      <c r="AB45" s="181"/>
      <c r="AC45" s="181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2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9"/>
      <c r="O46" s="179"/>
      <c r="P46" s="180"/>
      <c r="Q46" s="180"/>
      <c r="R46" s="180"/>
      <c r="S46" s="180"/>
      <c r="T46" s="180"/>
      <c r="U46" s="180"/>
      <c r="V46" s="180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2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9"/>
      <c r="O47" s="179"/>
      <c r="P47" s="180"/>
      <c r="Q47" s="180"/>
      <c r="R47" s="180"/>
      <c r="S47" s="180"/>
      <c r="T47" s="180"/>
      <c r="U47" s="180"/>
      <c r="V47" s="180"/>
      <c r="W47" s="1"/>
      <c r="X47" s="53"/>
      <c r="Y47" s="54"/>
      <c r="Z47" s="15"/>
      <c r="AA47" s="182"/>
      <c r="AB47" s="182"/>
      <c r="AC47" s="182"/>
      <c r="AD47" s="182"/>
      <c r="AE47" s="182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2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9"/>
      <c r="O48" s="179"/>
      <c r="P48" s="180"/>
      <c r="Q48" s="180"/>
      <c r="R48" s="180"/>
      <c r="S48" s="180"/>
      <c r="T48" s="180"/>
      <c r="U48" s="180"/>
      <c r="V48" s="180"/>
      <c r="W48" s="1"/>
      <c r="X48" s="53"/>
      <c r="Y48" s="54"/>
      <c r="Z48" s="15"/>
      <c r="AA48" s="56"/>
      <c r="AB48" s="181"/>
      <c r="AC48" s="181"/>
      <c r="AD48" s="181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2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9"/>
      <c r="O49" s="179"/>
      <c r="P49" s="180"/>
      <c r="Q49" s="180"/>
      <c r="R49" s="180"/>
      <c r="S49" s="180"/>
      <c r="T49" s="180"/>
      <c r="U49" s="180"/>
      <c r="V49" s="180"/>
      <c r="W49" s="1"/>
      <c r="X49" s="53"/>
      <c r="Y49" s="54"/>
      <c r="Z49" s="15"/>
      <c r="AA49" s="56"/>
      <c r="AB49" s="181"/>
      <c r="AC49" s="181"/>
      <c r="AD49" s="181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2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9"/>
      <c r="O50" s="179"/>
      <c r="P50" s="180"/>
      <c r="Q50" s="180"/>
      <c r="R50" s="180"/>
      <c r="S50" s="180"/>
      <c r="T50" s="180"/>
      <c r="U50" s="180"/>
      <c r="V50" s="180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2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9"/>
      <c r="O51" s="179"/>
      <c r="P51" s="180"/>
      <c r="Q51" s="180"/>
      <c r="R51" s="180"/>
      <c r="S51" s="180"/>
      <c r="T51" s="180"/>
      <c r="U51" s="180"/>
      <c r="V51" s="180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2"/>
      <c r="AK51" s="182"/>
      <c r="AL51" s="182"/>
      <c r="AM51" s="182"/>
      <c r="AN51" s="182"/>
      <c r="AO51" s="182"/>
      <c r="AP51" s="182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2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9"/>
      <c r="O52" s="179"/>
      <c r="P52" s="180"/>
      <c r="Q52" s="180"/>
      <c r="R52" s="180"/>
      <c r="S52" s="180"/>
      <c r="T52" s="180"/>
      <c r="U52" s="180"/>
      <c r="V52" s="180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2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9"/>
      <c r="O53" s="179"/>
      <c r="P53" s="180"/>
      <c r="Q53" s="180"/>
      <c r="R53" s="180"/>
      <c r="S53" s="180"/>
      <c r="T53" s="180"/>
      <c r="U53" s="180"/>
      <c r="V53" s="180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2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9"/>
      <c r="O54" s="179"/>
      <c r="P54" s="180"/>
      <c r="Q54" s="180"/>
      <c r="R54" s="180"/>
      <c r="S54" s="180"/>
      <c r="T54" s="180"/>
      <c r="U54" s="180"/>
      <c r="V54" s="180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2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9"/>
      <c r="O55" s="179"/>
      <c r="P55" s="180"/>
      <c r="Q55" s="180"/>
      <c r="R55" s="180"/>
      <c r="S55" s="180"/>
      <c r="T55" s="180"/>
      <c r="U55" s="180"/>
      <c r="V55" s="180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2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3"/>
      <c r="O56" s="183"/>
      <c r="P56" s="180">
        <f>SUM(CK115:CQ115)</f>
        <v>200000</v>
      </c>
      <c r="Q56" s="180"/>
      <c r="R56" s="180"/>
      <c r="S56" s="180"/>
      <c r="T56" s="180"/>
      <c r="U56" s="180"/>
      <c r="V56" s="180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2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2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2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3"/>
      <c r="O60" s="193"/>
      <c r="P60" s="193"/>
      <c r="Q60" s="193"/>
      <c r="R60" s="191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"/>
      <c r="AR60" s="183"/>
      <c r="AS60" s="183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2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2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2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2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2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2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2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2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2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2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2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　デモ機貸出1ヵ月</v>
      </c>
      <c r="FE101" s="64">
        <f>T26</f>
        <v>0</v>
      </c>
      <c r="FF101" s="64" t="str">
        <f>X26</f>
        <v>一式</v>
      </c>
      <c r="FG101" s="64">
        <f>AA26</f>
        <v>50000</v>
      </c>
      <c r="FH101" s="64">
        <f>AF26</f>
        <v>50000</v>
      </c>
      <c r="FI101" s="64" t="str">
        <f>AM26</f>
        <v>1ヵ月以内返却</v>
      </c>
    </row>
    <row r="102" spans="79:165" ht="15" customHeight="1" x14ac:dyDescent="0.2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>
        <f t="shared" ref="FD102:FD112" si="5">B27</f>
        <v>0</v>
      </c>
      <c r="FE102" s="64">
        <f t="shared" ref="FE102:FE112" si="6">T27</f>
        <v>0</v>
      </c>
      <c r="FF102" s="64">
        <f t="shared" ref="FF102:FF112" si="7">X27</f>
        <v>0</v>
      </c>
      <c r="FG102" s="64">
        <f t="shared" ref="FG102:FG112" si="8">AA27</f>
        <v>0</v>
      </c>
      <c r="FH102" s="64">
        <f t="shared" ref="FH102:FH112" si="9">AF27</f>
        <v>0</v>
      </c>
      <c r="FI102" s="64">
        <f t="shared" ref="FI102:FI112" si="10">AM27</f>
        <v>0</v>
      </c>
    </row>
    <row r="103" spans="79:165" ht="15" customHeight="1" x14ac:dyDescent="0.2">
      <c r="CA103" s="44"/>
      <c r="CB103" s="1"/>
      <c r="CC103" s="1"/>
      <c r="CD103" s="1"/>
      <c r="CE103" s="50" t="s">
        <v>52</v>
      </c>
      <c r="CF103" s="1"/>
      <c r="CG103" s="1"/>
      <c r="CH103" s="1"/>
      <c r="CI103" s="187" t="s">
        <v>16</v>
      </c>
      <c r="CJ103" s="188"/>
      <c r="CK103" s="188"/>
      <c r="CL103" s="188"/>
      <c r="CM103" s="188"/>
      <c r="CN103" s="188"/>
      <c r="CO103" s="188"/>
      <c r="CP103" s="188"/>
      <c r="CQ103" s="189"/>
      <c r="CR103" s="1"/>
      <c r="CS103" s="27" t="s">
        <v>17</v>
      </c>
      <c r="CT103" s="14"/>
      <c r="CU103" s="15"/>
      <c r="CV103" s="15"/>
      <c r="CW103" s="190" t="s">
        <v>13</v>
      </c>
      <c r="CX103" s="190"/>
      <c r="CY103" s="190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95" t="s">
        <v>58</v>
      </c>
      <c r="DN103" s="195"/>
      <c r="DO103" s="195"/>
      <c r="DP103" s="195"/>
      <c r="DQ103" s="195"/>
      <c r="DR103" s="195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5"/>
        <v>0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2">
      <c r="CA104" s="44"/>
      <c r="CB104" s="1"/>
      <c r="CC104" s="1"/>
      <c r="CD104" s="1"/>
      <c r="CE104" s="49">
        <v>3</v>
      </c>
      <c r="CF104" s="1"/>
      <c r="CG104" s="1"/>
      <c r="CH104" s="1"/>
      <c r="CI104" s="186">
        <v>0</v>
      </c>
      <c r="CJ104" s="186"/>
      <c r="CK104" s="194">
        <f>AA38</f>
        <v>200000</v>
      </c>
      <c r="CL104" s="194"/>
      <c r="CM104" s="194"/>
      <c r="CN104" s="194"/>
      <c r="CO104" s="194"/>
      <c r="CP104" s="194"/>
      <c r="CQ104" s="194"/>
      <c r="CR104" s="1"/>
      <c r="CS104" s="17" t="s">
        <v>18</v>
      </c>
      <c r="CT104" s="18"/>
      <c r="CU104" s="15"/>
      <c r="CV104" s="15"/>
      <c r="CW104" s="184">
        <v>5</v>
      </c>
      <c r="CX104" s="185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6" t="s">
        <v>59</v>
      </c>
      <c r="DN104" s="197"/>
      <c r="DO104" s="197"/>
      <c r="DP104" s="197"/>
      <c r="DQ104" s="197"/>
      <c r="DR104" s="198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2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6">
        <v>1</v>
      </c>
      <c r="CJ105" s="186"/>
      <c r="CK105" s="194">
        <f>IF(ISERROR(本体装備品一覧!AB30),0,本体装備品一覧!AB30)</f>
        <v>0</v>
      </c>
      <c r="CL105" s="194"/>
      <c r="CM105" s="194"/>
      <c r="CN105" s="194"/>
      <c r="CO105" s="194"/>
      <c r="CP105" s="194"/>
      <c r="CQ105" s="194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2">
      <c r="CA106" s="44"/>
      <c r="CB106" s="1"/>
      <c r="CC106" s="1"/>
      <c r="CD106" s="1"/>
      <c r="CE106" s="49">
        <v>1</v>
      </c>
      <c r="CF106" s="1"/>
      <c r="CG106" s="1"/>
      <c r="CH106" s="1"/>
      <c r="CI106" s="186">
        <v>2</v>
      </c>
      <c r="CJ106" s="186"/>
      <c r="CK106" s="194">
        <f>IF(ISERROR(#REF!),0,#REF!)</f>
        <v>0</v>
      </c>
      <c r="CL106" s="194"/>
      <c r="CM106" s="194"/>
      <c r="CN106" s="194"/>
      <c r="CO106" s="194"/>
      <c r="CP106" s="194"/>
      <c r="CQ106" s="194"/>
      <c r="CR106" s="1"/>
      <c r="CS106" s="20" t="s">
        <v>21</v>
      </c>
      <c r="CT106" s="21"/>
      <c r="CU106" s="15"/>
      <c r="CV106" s="190" t="s">
        <v>22</v>
      </c>
      <c r="CW106" s="190"/>
      <c r="CX106" s="190"/>
      <c r="CY106" s="190"/>
      <c r="CZ106" s="190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95" t="s">
        <v>69</v>
      </c>
      <c r="DN106" s="195"/>
      <c r="DO106" s="195"/>
      <c r="DP106" s="195"/>
      <c r="DQ106" s="195"/>
      <c r="DR106" s="195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2">
      <c r="CA107" s="44"/>
      <c r="CB107" s="1"/>
      <c r="CC107" s="1"/>
      <c r="CD107" s="1"/>
      <c r="CE107" s="49">
        <v>0</v>
      </c>
      <c r="CF107" s="1"/>
      <c r="CG107" s="1"/>
      <c r="CH107" s="1"/>
      <c r="CI107" s="186">
        <v>3</v>
      </c>
      <c r="CJ107" s="186"/>
      <c r="CK107" s="194">
        <f>IF(ISERROR(#REF!),0,#REF!)</f>
        <v>0</v>
      </c>
      <c r="CL107" s="194"/>
      <c r="CM107" s="194"/>
      <c r="CN107" s="194"/>
      <c r="CO107" s="194"/>
      <c r="CP107" s="194"/>
      <c r="CQ107" s="194"/>
      <c r="CR107" s="1"/>
      <c r="CS107" s="17" t="s">
        <v>23</v>
      </c>
      <c r="CT107" s="18"/>
      <c r="CU107" s="15"/>
      <c r="CV107" s="28" t="s">
        <v>24</v>
      </c>
      <c r="CW107" s="184">
        <v>100</v>
      </c>
      <c r="CX107" s="184"/>
      <c r="CY107" s="185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1" t="s">
        <v>78</v>
      </c>
      <c r="DN107" s="202"/>
      <c r="DO107" s="202"/>
      <c r="DP107" s="202"/>
      <c r="DQ107" s="202"/>
      <c r="DR107" s="203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2">
      <c r="CA108" s="44"/>
      <c r="CB108" s="1"/>
      <c r="CC108" s="1"/>
      <c r="CD108" s="1"/>
      <c r="CE108" s="50" t="s">
        <v>53</v>
      </c>
      <c r="CF108" s="1"/>
      <c r="CG108" s="1"/>
      <c r="CH108" s="1"/>
      <c r="CI108" s="186">
        <v>4</v>
      </c>
      <c r="CJ108" s="186"/>
      <c r="CK108" s="194"/>
      <c r="CL108" s="194"/>
      <c r="CM108" s="194"/>
      <c r="CN108" s="194"/>
      <c r="CO108" s="194"/>
      <c r="CP108" s="194"/>
      <c r="CQ108" s="194"/>
      <c r="CR108" s="1"/>
      <c r="CS108" s="17" t="s">
        <v>25</v>
      </c>
      <c r="CT108" s="18"/>
      <c r="CU108" s="15"/>
      <c r="CV108" s="28" t="s">
        <v>26</v>
      </c>
      <c r="CW108" s="184">
        <v>80</v>
      </c>
      <c r="CX108" s="184"/>
      <c r="CY108" s="185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6" t="s">
        <v>70</v>
      </c>
      <c r="DN108" s="197"/>
      <c r="DO108" s="197"/>
      <c r="DP108" s="197"/>
      <c r="DQ108" s="197"/>
      <c r="DR108" s="198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2">
      <c r="CA109" s="44"/>
      <c r="CB109" s="1"/>
      <c r="CC109" s="1"/>
      <c r="CD109" s="1"/>
      <c r="CE109" s="49" t="s">
        <v>3</v>
      </c>
      <c r="CF109" s="1"/>
      <c r="CG109" s="1"/>
      <c r="CH109" s="1"/>
      <c r="CI109" s="186">
        <v>5</v>
      </c>
      <c r="CJ109" s="186"/>
      <c r="CK109" s="194"/>
      <c r="CL109" s="194"/>
      <c r="CM109" s="194"/>
      <c r="CN109" s="194"/>
      <c r="CO109" s="194"/>
      <c r="CP109" s="194"/>
      <c r="CQ109" s="194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6" t="s">
        <v>71</v>
      </c>
      <c r="DN109" s="197"/>
      <c r="DO109" s="197"/>
      <c r="DP109" s="197"/>
      <c r="DQ109" s="197"/>
      <c r="DR109" s="198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2">
      <c r="CA110" s="44"/>
      <c r="CB110" s="1"/>
      <c r="CC110" s="1"/>
      <c r="CD110" s="1"/>
      <c r="CE110" s="49" t="s">
        <v>54</v>
      </c>
      <c r="CF110" s="1"/>
      <c r="CG110" s="1"/>
      <c r="CH110" s="1"/>
      <c r="CI110" s="186">
        <v>6</v>
      </c>
      <c r="CJ110" s="186"/>
      <c r="CK110" s="194"/>
      <c r="CL110" s="194"/>
      <c r="CM110" s="194"/>
      <c r="CN110" s="194"/>
      <c r="CO110" s="194"/>
      <c r="CP110" s="194"/>
      <c r="CQ110" s="194"/>
      <c r="CR110" s="1"/>
      <c r="CS110" s="20" t="s">
        <v>28</v>
      </c>
      <c r="CT110" s="20"/>
      <c r="CU110" s="15"/>
      <c r="CV110" s="200" t="s">
        <v>29</v>
      </c>
      <c r="CW110" s="200"/>
      <c r="CX110" s="200"/>
      <c r="CY110" s="200"/>
      <c r="CZ110" s="200"/>
      <c r="DA110" s="200"/>
      <c r="DB110" s="200"/>
      <c r="DC110" s="200"/>
      <c r="DD110" s="200"/>
      <c r="DE110" s="190" t="s">
        <v>30</v>
      </c>
      <c r="DF110" s="190"/>
      <c r="DG110" s="190"/>
      <c r="DH110" s="190"/>
      <c r="DI110" s="190"/>
      <c r="DJ110" s="190"/>
      <c r="DK110" s="190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2">
      <c r="CA111" s="44"/>
      <c r="CB111" s="1"/>
      <c r="CC111" s="1"/>
      <c r="CD111" s="1"/>
      <c r="CE111" s="49" t="s">
        <v>55</v>
      </c>
      <c r="CF111" s="1"/>
      <c r="CG111" s="1"/>
      <c r="CH111" s="1"/>
      <c r="CI111" s="186">
        <v>7</v>
      </c>
      <c r="CJ111" s="186"/>
      <c r="CK111" s="194"/>
      <c r="CL111" s="194"/>
      <c r="CM111" s="194"/>
      <c r="CN111" s="194"/>
      <c r="CO111" s="194"/>
      <c r="CP111" s="194"/>
      <c r="CQ111" s="194"/>
      <c r="CR111" s="1"/>
      <c r="CS111" s="17" t="s">
        <v>31</v>
      </c>
      <c r="CT111" s="18"/>
      <c r="CU111" s="15"/>
      <c r="CV111" s="28" t="s">
        <v>24</v>
      </c>
      <c r="CW111" s="199" t="s">
        <v>74</v>
      </c>
      <c r="CX111" s="199"/>
      <c r="CY111" s="199"/>
      <c r="CZ111" s="199"/>
      <c r="DA111" s="199"/>
      <c r="DB111" s="199"/>
      <c r="DC111" s="199"/>
      <c r="DD111" s="199"/>
      <c r="DE111" s="199" t="s">
        <v>32</v>
      </c>
      <c r="DF111" s="199"/>
      <c r="DG111" s="199"/>
      <c r="DH111" s="199"/>
      <c r="DI111" s="199"/>
      <c r="DJ111" s="199"/>
      <c r="DK111" s="199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セットアップ操作講習費　1日</v>
      </c>
      <c r="FE111" s="64">
        <f t="shared" si="6"/>
        <v>0</v>
      </c>
      <c r="FF111" s="64" t="str">
        <f t="shared" si="7"/>
        <v>一式</v>
      </c>
      <c r="FG111" s="64">
        <f t="shared" si="8"/>
        <v>120000</v>
      </c>
      <c r="FH111" s="64">
        <f t="shared" si="9"/>
        <v>120000</v>
      </c>
      <c r="FI111" s="64">
        <f t="shared" si="10"/>
        <v>0</v>
      </c>
    </row>
    <row r="112" spans="79:165" ht="15" customHeight="1" x14ac:dyDescent="0.2">
      <c r="CA112" s="44"/>
      <c r="CB112" s="1"/>
      <c r="CC112" s="1"/>
      <c r="CD112" s="1"/>
      <c r="CE112" s="1"/>
      <c r="CF112" s="1"/>
      <c r="CG112" s="1"/>
      <c r="CH112" s="1"/>
      <c r="CI112" s="186">
        <v>8</v>
      </c>
      <c r="CJ112" s="186"/>
      <c r="CK112" s="194"/>
      <c r="CL112" s="194"/>
      <c r="CM112" s="194"/>
      <c r="CN112" s="194"/>
      <c r="CO112" s="194"/>
      <c r="CP112" s="194"/>
      <c r="CQ112" s="194"/>
      <c r="CR112" s="1"/>
      <c r="CS112" s="17" t="s">
        <v>33</v>
      </c>
      <c r="CT112" s="18"/>
      <c r="CU112" s="15"/>
      <c r="CV112" s="28" t="s">
        <v>26</v>
      </c>
      <c r="CW112" s="199" t="s">
        <v>83</v>
      </c>
      <c r="CX112" s="199"/>
      <c r="CY112" s="199"/>
      <c r="CZ112" s="199"/>
      <c r="DA112" s="199"/>
      <c r="DB112" s="199"/>
      <c r="DC112" s="199"/>
      <c r="DD112" s="199"/>
      <c r="DE112" s="199" t="s">
        <v>84</v>
      </c>
      <c r="DF112" s="199"/>
      <c r="DG112" s="199"/>
      <c r="DH112" s="199"/>
      <c r="DI112" s="199"/>
      <c r="DJ112" s="199"/>
      <c r="DK112" s="199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運賃　車上渡し</v>
      </c>
      <c r="FE112" s="64">
        <f t="shared" si="6"/>
        <v>0</v>
      </c>
      <c r="FF112" s="64" t="str">
        <f t="shared" si="7"/>
        <v>一式</v>
      </c>
      <c r="FG112" s="64">
        <f t="shared" si="8"/>
        <v>30000</v>
      </c>
      <c r="FH112" s="64">
        <f t="shared" si="9"/>
        <v>30000</v>
      </c>
      <c r="FI112" s="64">
        <f t="shared" si="10"/>
        <v>0</v>
      </c>
    </row>
    <row r="113" spans="79:165" ht="15" customHeight="1" x14ac:dyDescent="0.2">
      <c r="CA113" s="44"/>
      <c r="CB113" s="1"/>
      <c r="CC113" s="1"/>
      <c r="CD113" s="1"/>
      <c r="CE113" s="1"/>
      <c r="CF113" s="1"/>
      <c r="CG113" s="1"/>
      <c r="CH113" s="1"/>
      <c r="CI113" s="186">
        <v>9</v>
      </c>
      <c r="CJ113" s="186"/>
      <c r="CK113" s="194"/>
      <c r="CL113" s="194"/>
      <c r="CM113" s="194"/>
      <c r="CN113" s="194"/>
      <c r="CO113" s="194"/>
      <c r="CP113" s="194"/>
      <c r="CQ113" s="194"/>
      <c r="CR113" s="1"/>
      <c r="CS113" s="17" t="s">
        <v>34</v>
      </c>
      <c r="CT113" s="18"/>
      <c r="CU113" s="15"/>
      <c r="CV113" s="28" t="s">
        <v>35</v>
      </c>
      <c r="CW113" s="199" t="s">
        <v>86</v>
      </c>
      <c r="CX113" s="199"/>
      <c r="CY113" s="199"/>
      <c r="CZ113" s="199"/>
      <c r="DA113" s="199"/>
      <c r="DB113" s="199"/>
      <c r="DC113" s="199"/>
      <c r="DD113" s="199"/>
      <c r="DE113" s="199" t="s">
        <v>85</v>
      </c>
      <c r="DF113" s="199"/>
      <c r="DG113" s="199"/>
      <c r="DH113" s="199"/>
      <c r="DI113" s="199"/>
      <c r="DJ113" s="199"/>
      <c r="DK113" s="199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2">
      <c r="CA114" s="44"/>
      <c r="CB114" s="1"/>
      <c r="CC114" s="1"/>
      <c r="CD114" s="1"/>
      <c r="CE114" s="1"/>
      <c r="CF114" s="1"/>
      <c r="CG114" s="1"/>
      <c r="CH114" s="1"/>
      <c r="CI114" s="186">
        <v>10</v>
      </c>
      <c r="CJ114" s="186"/>
      <c r="CK114" s="194"/>
      <c r="CL114" s="194"/>
      <c r="CM114" s="194"/>
      <c r="CN114" s="194"/>
      <c r="CO114" s="194"/>
      <c r="CP114" s="194"/>
      <c r="CQ114" s="194"/>
      <c r="CR114" s="1"/>
      <c r="CS114" s="20" t="s">
        <v>36</v>
      </c>
      <c r="CT114" s="21"/>
      <c r="CU114" s="15"/>
      <c r="CV114" s="28" t="s">
        <v>37</v>
      </c>
      <c r="CW114" s="199" t="s">
        <v>75</v>
      </c>
      <c r="CX114" s="199"/>
      <c r="CY114" s="199"/>
      <c r="CZ114" s="199"/>
      <c r="DA114" s="199"/>
      <c r="DB114" s="199"/>
      <c r="DC114" s="199"/>
      <c r="DD114" s="199"/>
      <c r="DE114" s="199" t="s">
        <v>38</v>
      </c>
      <c r="DF114" s="199"/>
      <c r="DG114" s="199"/>
      <c r="DH114" s="199"/>
      <c r="DI114" s="199"/>
      <c r="DJ114" s="199"/>
      <c r="DK114" s="199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2">
      <c r="CA115" s="44"/>
      <c r="CB115" s="1"/>
      <c r="CC115" s="1"/>
      <c r="CD115" s="1"/>
      <c r="CE115" s="1"/>
      <c r="CF115" s="1"/>
      <c r="CG115" s="1"/>
      <c r="CH115" s="1"/>
      <c r="CI115" s="204" t="s">
        <v>39</v>
      </c>
      <c r="CJ115" s="204"/>
      <c r="CK115" s="194">
        <f>SUM(CK104:CQ114)</f>
        <v>200000</v>
      </c>
      <c r="CL115" s="194"/>
      <c r="CM115" s="194"/>
      <c r="CN115" s="194"/>
      <c r="CO115" s="194"/>
      <c r="CP115" s="194"/>
      <c r="CQ115" s="194"/>
      <c r="CR115" s="1"/>
      <c r="CS115" s="17" t="s">
        <v>45</v>
      </c>
      <c r="CT115" s="18"/>
      <c r="CU115" s="15"/>
      <c r="CV115" s="28" t="s">
        <v>40</v>
      </c>
      <c r="CW115" s="199" t="s">
        <v>76</v>
      </c>
      <c r="CX115" s="199"/>
      <c r="CY115" s="199"/>
      <c r="CZ115" s="199"/>
      <c r="DA115" s="199"/>
      <c r="DB115" s="199"/>
      <c r="DC115" s="199"/>
      <c r="DD115" s="199"/>
      <c r="DE115" s="199" t="s">
        <v>41</v>
      </c>
      <c r="DF115" s="199"/>
      <c r="DG115" s="199"/>
      <c r="DH115" s="199"/>
      <c r="DI115" s="199"/>
      <c r="DJ115" s="199"/>
      <c r="DK115" s="199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2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2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2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2">
      <c r="CA119" s="44"/>
      <c r="CB119" s="1"/>
      <c r="CC119" s="1"/>
      <c r="CD119" s="1"/>
      <c r="CE119" s="1"/>
      <c r="CF119" s="1"/>
      <c r="CG119" s="1"/>
      <c r="CH119" s="1"/>
      <c r="CI119" s="142" t="s">
        <v>42</v>
      </c>
      <c r="CJ119" s="142"/>
      <c r="CK119" s="142"/>
      <c r="CL119" s="142"/>
      <c r="CM119" s="119" t="s">
        <v>87</v>
      </c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  <c r="DD119" s="120"/>
      <c r="DE119" s="120"/>
      <c r="DF119" s="120"/>
      <c r="DG119" s="120"/>
      <c r="DH119" s="120"/>
      <c r="DI119" s="120"/>
      <c r="DJ119" s="120"/>
      <c r="DK119" s="120"/>
      <c r="DL119" s="1"/>
      <c r="DM119" s="187" t="s">
        <v>44</v>
      </c>
      <c r="DN119" s="189"/>
      <c r="DO119" s="201" t="s">
        <v>79</v>
      </c>
      <c r="DP119" s="202"/>
      <c r="DQ119" s="202"/>
      <c r="DR119" s="202"/>
      <c r="DS119" s="202"/>
      <c r="DT119" s="202"/>
      <c r="DU119" s="203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2">
      <c r="CA120" s="44"/>
      <c r="CB120" s="1"/>
      <c r="CC120" s="1"/>
      <c r="CD120" s="1"/>
      <c r="CE120" s="1"/>
      <c r="CF120" s="1"/>
      <c r="CG120" s="1"/>
      <c r="CH120" s="1"/>
      <c r="CI120" s="142" t="s">
        <v>72</v>
      </c>
      <c r="CJ120" s="142"/>
      <c r="CK120" s="142"/>
      <c r="CL120" s="142"/>
      <c r="CM120" s="119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/>
      <c r="DH120" s="120"/>
      <c r="DI120" s="120"/>
      <c r="DJ120" s="120"/>
      <c r="DK120" s="120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2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2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2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2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2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2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2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2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2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2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2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2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2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2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2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2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2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2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2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2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2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2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2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2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2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2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2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2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2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2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2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2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2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2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2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2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2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2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2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2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2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2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2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2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2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2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2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2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2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2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2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2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2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2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2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2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2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2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2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2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2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2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2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2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2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2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2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2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2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2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2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2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2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2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2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2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2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2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2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2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2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2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2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2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2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2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2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2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2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2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2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2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2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2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2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2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2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2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2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2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2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2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2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2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2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2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2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2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2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2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2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2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2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2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2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2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2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2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2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2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2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2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2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2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2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2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2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2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2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2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2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2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2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2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2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2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2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2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2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2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2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2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2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2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2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2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2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2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2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2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2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2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2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2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2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2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2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2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2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2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2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2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2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2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2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2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2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2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2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2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2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2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2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2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2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2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2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2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2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2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2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2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2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2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2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2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2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2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2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2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2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2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2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2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2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2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2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2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2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2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2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2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2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2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2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2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2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2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2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2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2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2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2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2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2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2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2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2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2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2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2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2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2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2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2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2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2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2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2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2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2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2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2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2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2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2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2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2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2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2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2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2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2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2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2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2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2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2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2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2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2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2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2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2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2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2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2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2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2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2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2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2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2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2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2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2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2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2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2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2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2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2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2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2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2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2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2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2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2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2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2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2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2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2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2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2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2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2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2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2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2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2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2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2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2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2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2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2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2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2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2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2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2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2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2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2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2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2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2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2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2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2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2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2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2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2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2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2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2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2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2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2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2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2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2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2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2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2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2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2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2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2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2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2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2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2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2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2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2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2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2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2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2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2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2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2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2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2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2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2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2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2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2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2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2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2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2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2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2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2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2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2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2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2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2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2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2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2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2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2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2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2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2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2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2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2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2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2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2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2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2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2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2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2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2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2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2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2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2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2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2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2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2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2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2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2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2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2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2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2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2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2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2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2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2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2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2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2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2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2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2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2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2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2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2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2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2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2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2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2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2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2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2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2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2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2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2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2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2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2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2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2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2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2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2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2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2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2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2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2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2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2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2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2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2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2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2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2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2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2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2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2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2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2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2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2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2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2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2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2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2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2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2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2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2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E40:AS40 B41:AS4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50800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393700</xdr:rowOff>
                  </from>
                  <to>
                    <xdr:col>4</xdr:col>
                    <xdr:colOff>203200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393700</xdr:rowOff>
                  </from>
                  <to>
                    <xdr:col>8</xdr:col>
                    <xdr:colOff>127000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393700</xdr:rowOff>
                  </from>
                  <to>
                    <xdr:col>44</xdr:col>
                    <xdr:colOff>146050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31750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203200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88900</xdr:colOff>
                    <xdr:row>0</xdr:row>
                    <xdr:rowOff>76200</xdr:rowOff>
                  </from>
                  <to>
                    <xdr:col>22</xdr:col>
                    <xdr:colOff>69850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50800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146050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50800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31750</xdr:colOff>
                    <xdr:row>0</xdr:row>
                    <xdr:rowOff>393700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31750</xdr:colOff>
                    <xdr:row>0</xdr:row>
                    <xdr:rowOff>393700</xdr:rowOff>
                  </from>
                  <to>
                    <xdr:col>18</xdr:col>
                    <xdr:colOff>12700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127000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393700</xdr:rowOff>
                  </from>
                  <to>
                    <xdr:col>27</xdr:col>
                    <xdr:colOff>50800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69850</xdr:colOff>
                    <xdr:row>5</xdr:row>
                    <xdr:rowOff>184150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69850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26</xdr:row>
                    <xdr:rowOff>88900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69850</xdr:colOff>
                    <xdr:row>2</xdr:row>
                    <xdr:rowOff>165100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31750</xdr:colOff>
                    <xdr:row>0</xdr:row>
                    <xdr:rowOff>76200</xdr:rowOff>
                  </from>
                  <to>
                    <xdr:col>18</xdr:col>
                    <xdr:colOff>12700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69850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88900</xdr:colOff>
                    <xdr:row>0</xdr:row>
                    <xdr:rowOff>393700</xdr:rowOff>
                  </from>
                  <to>
                    <xdr:col>22</xdr:col>
                    <xdr:colOff>69850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127000</xdr:colOff>
                    <xdr:row>400</xdr:row>
                    <xdr:rowOff>107950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127000</xdr:colOff>
                    <xdr:row>403</xdr:row>
                    <xdr:rowOff>107950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127000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127000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146050</xdr:colOff>
                    <xdr:row>98</xdr:row>
                    <xdr:rowOff>69850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12700</xdr:rowOff>
                  </from>
                  <to>
                    <xdr:col>115</xdr:col>
                    <xdr:colOff>450850</xdr:colOff>
                    <xdr:row>118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450850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146050</xdr:colOff>
                    <xdr:row>99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69850</xdr:colOff>
                    <xdr:row>98</xdr:row>
                    <xdr:rowOff>57150</xdr:rowOff>
                  </from>
                  <to>
                    <xdr:col>97</xdr:col>
                    <xdr:colOff>88900</xdr:colOff>
                    <xdr:row>99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05" t="s">
        <v>129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09" t="s">
        <v>138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132</v>
      </c>
      <c r="Z7" s="146"/>
      <c r="AA7" s="147"/>
      <c r="AB7" s="127">
        <v>13200</v>
      </c>
      <c r="AC7" s="128"/>
      <c r="AD7" s="128"/>
      <c r="AE7" s="128"/>
      <c r="AF7" s="129"/>
      <c r="AG7" s="127">
        <f>IF(U7="",1*AB7,U7*AB7)</f>
        <v>13200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09" t="s">
        <v>133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132</v>
      </c>
      <c r="Z8" s="146"/>
      <c r="AA8" s="147"/>
      <c r="AB8" s="127">
        <v>10340</v>
      </c>
      <c r="AC8" s="128"/>
      <c r="AD8" s="128"/>
      <c r="AE8" s="128"/>
      <c r="AF8" s="129"/>
      <c r="AG8" s="127">
        <f t="shared" ref="AG8:AG29" si="0">IF(U8="",1*AB8,U8*AB8)</f>
        <v>10340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09" t="s">
        <v>134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132</v>
      </c>
      <c r="Z9" s="146"/>
      <c r="AA9" s="147"/>
      <c r="AB9" s="127">
        <v>18400</v>
      </c>
      <c r="AC9" s="128"/>
      <c r="AD9" s="128"/>
      <c r="AE9" s="128"/>
      <c r="AF9" s="129"/>
      <c r="AG9" s="127">
        <f t="shared" si="0"/>
        <v>18400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09" t="s">
        <v>135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132</v>
      </c>
      <c r="Z10" s="146"/>
      <c r="AA10" s="147"/>
      <c r="AB10" s="127">
        <v>18400</v>
      </c>
      <c r="AC10" s="128"/>
      <c r="AD10" s="128"/>
      <c r="AE10" s="128"/>
      <c r="AF10" s="129"/>
      <c r="AG10" s="127">
        <f t="shared" si="0"/>
        <v>18400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09" t="s">
        <v>136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132</v>
      </c>
      <c r="Z11" s="146"/>
      <c r="AA11" s="147"/>
      <c r="AB11" s="127">
        <v>3960</v>
      </c>
      <c r="AC11" s="128"/>
      <c r="AD11" s="128"/>
      <c r="AE11" s="128"/>
      <c r="AF11" s="129"/>
      <c r="AG11" s="127">
        <f t="shared" si="0"/>
        <v>3960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09" t="s">
        <v>137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10</v>
      </c>
      <c r="V12" s="128"/>
      <c r="W12" s="128"/>
      <c r="X12" s="128"/>
      <c r="Y12" s="146" t="s">
        <v>132</v>
      </c>
      <c r="Z12" s="146"/>
      <c r="AA12" s="147"/>
      <c r="AB12" s="127">
        <v>1200</v>
      </c>
      <c r="AC12" s="128"/>
      <c r="AD12" s="128"/>
      <c r="AE12" s="128"/>
      <c r="AF12" s="129"/>
      <c r="AG12" s="127">
        <f t="shared" si="0"/>
        <v>12000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143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12"/>
      <c r="AO29" s="213"/>
      <c r="AP29" s="213"/>
      <c r="AQ29" s="213"/>
      <c r="AR29" s="213"/>
      <c r="AS29" s="213"/>
      <c r="AT29" s="21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5" t="s">
        <v>43</v>
      </c>
      <c r="V30" s="216"/>
      <c r="W30" s="216"/>
      <c r="X30" s="216"/>
      <c r="Y30" s="216"/>
      <c r="Z30" s="216"/>
      <c r="AA30" s="217"/>
      <c r="AB30" s="218">
        <f>SUM(AG7:AG29)</f>
        <v>76300</v>
      </c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2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05" t="s">
        <v>94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09" t="s">
        <v>101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93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09" t="s">
        <v>102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93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09" t="s">
        <v>103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93</v>
      </c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09" t="s">
        <v>104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93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09" t="s">
        <v>105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93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09" t="s">
        <v>106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</v>
      </c>
      <c r="V12" s="128"/>
      <c r="W12" s="128"/>
      <c r="X12" s="128"/>
      <c r="Y12" s="146" t="s">
        <v>93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2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05" t="s">
        <v>128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09" t="s">
        <v>107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127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09" t="s">
        <v>108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80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09" t="s">
        <v>109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80</v>
      </c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09" t="s">
        <v>110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80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09" t="s">
        <v>111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80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09" t="s">
        <v>112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</v>
      </c>
      <c r="V12" s="128"/>
      <c r="W12" s="128"/>
      <c r="X12" s="128"/>
      <c r="Y12" s="146" t="s">
        <v>80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09" t="s">
        <v>113</v>
      </c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>
        <v>1</v>
      </c>
      <c r="V13" s="128"/>
      <c r="W13" s="128"/>
      <c r="X13" s="128"/>
      <c r="Y13" s="146" t="s">
        <v>80</v>
      </c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09" t="s">
        <v>114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>
        <v>1</v>
      </c>
      <c r="V14" s="128"/>
      <c r="W14" s="128"/>
      <c r="X14" s="128"/>
      <c r="Y14" s="146" t="s">
        <v>80</v>
      </c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09" t="s">
        <v>115</v>
      </c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>
        <v>1</v>
      </c>
      <c r="V15" s="128"/>
      <c r="W15" s="128"/>
      <c r="X15" s="128"/>
      <c r="Y15" s="146" t="s">
        <v>80</v>
      </c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09" t="s">
        <v>116</v>
      </c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>
        <v>1</v>
      </c>
      <c r="V16" s="128"/>
      <c r="W16" s="128"/>
      <c r="X16" s="128"/>
      <c r="Y16" s="146" t="s">
        <v>80</v>
      </c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09" t="s">
        <v>118</v>
      </c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>
        <v>1</v>
      </c>
      <c r="V17" s="128"/>
      <c r="W17" s="128"/>
      <c r="X17" s="128"/>
      <c r="Y17" s="146" t="s">
        <v>80</v>
      </c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09" t="s">
        <v>119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>
        <v>7</v>
      </c>
      <c r="V18" s="128"/>
      <c r="W18" s="128"/>
      <c r="X18" s="128"/>
      <c r="Y18" s="146" t="s">
        <v>80</v>
      </c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09" t="s">
        <v>120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>
        <v>1</v>
      </c>
      <c r="V19" s="128"/>
      <c r="W19" s="128"/>
      <c r="X19" s="128"/>
      <c r="Y19" s="146" t="s">
        <v>80</v>
      </c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209" t="s">
        <v>121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>
        <v>1</v>
      </c>
      <c r="V20" s="128"/>
      <c r="W20" s="128"/>
      <c r="X20" s="128"/>
      <c r="Y20" s="146" t="s">
        <v>80</v>
      </c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209" t="s">
        <v>122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>
        <v>1</v>
      </c>
      <c r="V21" s="128"/>
      <c r="W21" s="128"/>
      <c r="X21" s="128"/>
      <c r="Y21" s="146" t="s">
        <v>80</v>
      </c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209" t="s">
        <v>123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>
        <v>1</v>
      </c>
      <c r="V22" s="128"/>
      <c r="W22" s="128"/>
      <c r="X22" s="128"/>
      <c r="Y22" s="146" t="s">
        <v>80</v>
      </c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09" t="s">
        <v>124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>
        <v>1</v>
      </c>
      <c r="V23" s="128"/>
      <c r="W23" s="128"/>
      <c r="X23" s="128"/>
      <c r="Y23" s="146" t="s">
        <v>80</v>
      </c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09" t="s">
        <v>130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>
        <v>2</v>
      </c>
      <c r="V24" s="128"/>
      <c r="W24" s="128"/>
      <c r="X24" s="128"/>
      <c r="Y24" s="146" t="s">
        <v>80</v>
      </c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09" t="s">
        <v>131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>
        <v>1</v>
      </c>
      <c r="V25" s="128"/>
      <c r="W25" s="128"/>
      <c r="X25" s="128"/>
      <c r="Y25" s="146" t="s">
        <v>80</v>
      </c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09" t="s">
        <v>117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>
        <v>5</v>
      </c>
      <c r="V26" s="128"/>
      <c r="W26" s="128"/>
      <c r="X26" s="128"/>
      <c r="Y26" s="146" t="s">
        <v>80</v>
      </c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09" t="s">
        <v>125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>
        <v>1</v>
      </c>
      <c r="V27" s="128"/>
      <c r="W27" s="128"/>
      <c r="X27" s="128"/>
      <c r="Y27" s="146" t="s">
        <v>80</v>
      </c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09" t="s">
        <v>126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>
        <v>1</v>
      </c>
      <c r="V28" s="128"/>
      <c r="W28" s="128"/>
      <c r="X28" s="128"/>
      <c r="Y28" s="146" t="s">
        <v>80</v>
      </c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2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05" t="s">
        <v>92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89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09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/>
      <c r="V7" s="128"/>
      <c r="W7" s="128"/>
      <c r="X7" s="128"/>
      <c r="Y7" s="146"/>
      <c r="Z7" s="146"/>
      <c r="AA7" s="147"/>
      <c r="AB7" s="127">
        <f>SUM(Y19)</f>
        <v>0</v>
      </c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09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09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09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09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2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2024-06-20T02:11:21Z</cp:lastPrinted>
  <dcterms:created xsi:type="dcterms:W3CDTF">2001-10-18T00:35:45Z</dcterms:created>
  <dcterms:modified xsi:type="dcterms:W3CDTF">2024-06-20T02:11:25Z</dcterms:modified>
</cp:coreProperties>
</file>