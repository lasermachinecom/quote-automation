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drawings/drawing3.xml" ContentType="application/vnd.openxmlformats-officedocument.drawing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drawings/drawing4.xml" ContentType="application/vnd.openxmlformats-officedocument.drawing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drawings/drawing5.xml" ContentType="application/vnd.openxmlformats-officedocument.drawing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FL\FL-LCW\"/>
    </mc:Choice>
  </mc:AlternateContent>
  <xr:revisionPtr revIDLastSave="0" documentId="13_ncr:1_{69DBF83A-D3DA-4709-BD8E-7486666B65AB}" xr6:coauthVersionLast="47" xr6:coauthVersionMax="47" xr10:uidLastSave="{00000000-0000-0000-0000-000000000000}"/>
  <bookViews>
    <workbookView xWindow="5140" yWindow="340" windowWidth="17580" windowHeight="19670" tabRatio="657" xr2:uid="{00000000-000D-0000-FFFF-FFFF00000000}"/>
  </bookViews>
  <sheets>
    <sheet name="見積書A4" sheetId="1" r:id="rId1"/>
    <sheet name="別紙購入おすすめ品" sheetId="5" r:id="rId2"/>
    <sheet name="USBフラッシュメモリ内一覧" sheetId="3" r:id="rId3"/>
    <sheet name="工具箱内付属一覧" sheetId="4" r:id="rId4"/>
    <sheet name="本体装備品一覧" sheetId="2" r:id="rId5"/>
  </sheets>
  <definedNames>
    <definedName name="_xlnm.Print_Area" localSheetId="2">USBフラッシュメモリ内一覧!$B$3:$AU$30</definedName>
    <definedName name="_xlnm.Print_Area" localSheetId="0">見積書A4!$B$2:$AT$42</definedName>
    <definedName name="_xlnm.Print_Area" localSheetId="3">工具箱内付属一覧!$B$3:$AU$30</definedName>
    <definedName name="_xlnm.Print_Area" localSheetId="1">別紙購入おすすめ品!$B$3:$AU$30</definedName>
    <definedName name="_xlnm.Print_Area" localSheetId="4">本体装備品一覧!$B$3:$AU$30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" i="2" l="1"/>
  <c r="AG20" i="5"/>
  <c r="AG19" i="5"/>
  <c r="AG18" i="5"/>
  <c r="AF29" i="1"/>
  <c r="AF30" i="1"/>
  <c r="AF28" i="1" l="1"/>
  <c r="AF32" i="1" l="1"/>
  <c r="AF31" i="1"/>
  <c r="AF27" i="1"/>
  <c r="AF33" i="1" l="1"/>
  <c r="P178" i="5" l="1"/>
  <c r="CM120" i="5"/>
  <c r="DO119" i="5"/>
  <c r="CM119" i="5"/>
  <c r="CS116" i="5"/>
  <c r="CS115" i="5"/>
  <c r="CS114" i="5"/>
  <c r="CS113" i="5"/>
  <c r="CS112" i="5"/>
  <c r="CS111" i="5"/>
  <c r="CS110" i="5"/>
  <c r="CS109" i="5"/>
  <c r="CS108" i="5"/>
  <c r="CS107" i="5"/>
  <c r="CS106" i="5"/>
  <c r="CS105" i="5"/>
  <c r="CS104" i="5"/>
  <c r="AG29" i="5"/>
  <c r="AG28" i="5"/>
  <c r="AG27" i="5"/>
  <c r="AG26" i="5"/>
  <c r="AG25" i="5"/>
  <c r="AG24" i="5"/>
  <c r="AG23" i="5"/>
  <c r="AG22" i="5"/>
  <c r="AG21" i="5"/>
  <c r="AG17" i="5"/>
  <c r="AG16" i="5"/>
  <c r="AG15" i="5"/>
  <c r="AG14" i="5"/>
  <c r="AG13" i="5"/>
  <c r="AG12" i="5"/>
  <c r="AG11" i="5"/>
  <c r="AG10" i="5"/>
  <c r="AG9" i="5"/>
  <c r="AG8" i="5"/>
  <c r="AG7" i="5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P178" i="3"/>
  <c r="CM120" i="3"/>
  <c r="DO119" i="3"/>
  <c r="CM119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8" i="3"/>
  <c r="AG7" i="3"/>
  <c r="AF35" i="1"/>
  <c r="FH110" i="1" s="1"/>
  <c r="AF34" i="1"/>
  <c r="FH109" i="1" s="1"/>
  <c r="AF37" i="1"/>
  <c r="FH112" i="1" s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AF36" i="1"/>
  <c r="FH111" i="1" s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B30" i="5" l="1"/>
  <c r="AA38" i="1"/>
  <c r="H38" i="1" s="1"/>
  <c r="CK104" i="1" l="1"/>
  <c r="CK115" i="1" s="1"/>
  <c r="H39" i="1" s="1"/>
  <c r="P56" i="1" l="1"/>
  <c r="J19" i="1"/>
  <c r="J20" i="1"/>
</calcChain>
</file>

<file path=xl/sharedStrings.xml><?xml version="1.0" encoding="utf-8"?>
<sst xmlns="http://schemas.openxmlformats.org/spreadsheetml/2006/main" count="288" uniqueCount="180">
  <si>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</si>
  <si>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</si>
  <si>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</si>
  <si>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</si>
  <si>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</si>
  <si>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</si>
  <si>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取引方法</t>
    <rPh sb="0" eb="2">
      <t>トリヒキ</t>
    </rPh>
    <rPh sb="2" eb="4">
      <t>ホウホウ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</si>
  <si>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</si>
  <si>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</si>
  <si>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</si>
  <si>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</si>
  <si>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</si>
  <si>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</si>
  <si>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</si>
  <si>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</si>
  <si>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</si>
  <si>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</si>
  <si>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</si>
  <si>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</si>
  <si>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</si>
  <si>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</si>
  <si>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</si>
  <si>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</si>
  <si>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</si>
  <si>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</si>
  <si>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</si>
  <si>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</si>
  <si>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</si>
  <si>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</si>
  <si>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</si>
  <si>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</si>
  <si>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</si>
  <si>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</si>
  <si>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</si>
  <si>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</si>
  <si>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</si>
  <si>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</si>
  <si>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</si>
  <si>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</si>
  <si>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</si>
  <si>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</si>
  <si>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</si>
  <si>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</si>
  <si>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</si>
  <si>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</si>
  <si>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</si>
  <si>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</si>
  <si>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</si>
  <si>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</si>
  <si>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</si>
  <si>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</si>
  <si>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</si>
  <si>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</si>
  <si>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</si>
  <si>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</si>
  <si>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</si>
  <si>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</si>
  <si>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</si>
  <si>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</si>
  <si>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</si>
  <si>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</si>
  <si>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</si>
  <si>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</si>
  <si>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</si>
  <si>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</si>
  <si>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</si>
  <si>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</si>
  <si>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</si>
  <si>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</si>
  <si>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</si>
  <si>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</si>
  <si>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</si>
  <si>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</si>
  <si>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</si>
  <si>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</si>
  <si>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</si>
  <si>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</si>
  <si>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</si>
  <si>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</si>
  <si>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</si>
  <si>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</si>
  <si>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本</t>
  </si>
  <si>
    <t>個</t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</si>
  <si>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</si>
  <si>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</si>
  <si>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</si>
  <si>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</si>
  <si>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</si>
  <si>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</si>
  <si>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</si>
  <si>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</si>
  <si>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</si>
  <si>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</si>
  <si>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</si>
  <si>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送 料</t>
    <rPh sb="0" eb="1">
      <t>ソウ</t>
    </rPh>
    <rPh sb="2" eb="3">
      <t>リョウ</t>
    </rPh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</si>
  <si>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</si>
  <si>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SET</t>
  </si>
  <si>
    <t>USBフラッシュメモリ内一覧</t>
    <rPh sb="11" eb="12">
      <t>ナイ</t>
    </rPh>
    <rPh sb="12" eb="14">
      <t>イチラン</t>
    </rPh>
    <phoneticPr fontId="4"/>
  </si>
  <si>
    <t>日</t>
    <rPh sb="0" eb="1">
      <t>ニチ</t>
    </rPh>
    <phoneticPr fontId="4"/>
  </si>
  <si>
    <t>渡し</t>
    <rPh sb="0" eb="1">
      <t>ワタ</t>
    </rPh>
    <phoneticPr fontId="4"/>
  </si>
  <si>
    <t>車上</t>
    <rPh sb="0" eb="2">
      <t>シャジョウ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</si>
  <si>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</si>
  <si>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</si>
  <si>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</si>
  <si>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別</t>
    <rPh sb="0" eb="1">
      <t>ベツ</t>
    </rPh>
    <phoneticPr fontId="4"/>
  </si>
  <si>
    <t>令和</t>
    <rPh sb="0" eb="2">
      <t>レイワ</t>
    </rPh>
    <phoneticPr fontId="4"/>
  </si>
  <si>
    <t>消費税10%</t>
    <phoneticPr fontId="4"/>
  </si>
  <si>
    <t>レーザーヘッド：Au3tech 970　制御システム：Au3tech　チラー:hanli/S&amp;A</t>
    <phoneticPr fontId="4"/>
  </si>
  <si>
    <t>ワイヤーフィーダー－レーザーガン9メートル</t>
    <phoneticPr fontId="4"/>
  </si>
  <si>
    <t>錆び取り、溶接、切断　3in1</t>
    <phoneticPr fontId="4"/>
  </si>
  <si>
    <t>溶接ワイヤー 　溶接、切断用ノズル</t>
    <phoneticPr fontId="4"/>
  </si>
  <si>
    <t>洗浄(サビ落とし)用レンズ</t>
    <phoneticPr fontId="4"/>
  </si>
  <si>
    <t>保護メガネ　アース線</t>
    <phoneticPr fontId="4"/>
  </si>
  <si>
    <t>送料　地域　　車上渡し</t>
    <phoneticPr fontId="4"/>
  </si>
  <si>
    <t xml:space="preserve">Laser source:RECI Laser head: Au3tech 970Control system:Au3techWater chiller:hanli/S&amp;Ainclude wire feeding </t>
    <phoneticPr fontId="4"/>
  </si>
  <si>
    <t>FL-LCW 溶接・切断用ノズル AS-12商品コード: G001100500924S0000</t>
    <rPh sb="7" eb="9">
      <t>ヨウセツ</t>
    </rPh>
    <rPh sb="10" eb="12">
      <t>セツダン</t>
    </rPh>
    <rPh sb="12" eb="13">
      <t>ヨウ</t>
    </rPh>
    <rPh sb="22" eb="24">
      <t>ショウヒン</t>
    </rPh>
    <phoneticPr fontId="4"/>
  </si>
  <si>
    <t>FL-LCW 溶接・切断用ノズル BS-16商品コード: G001100500925S0000</t>
    <phoneticPr fontId="4"/>
  </si>
  <si>
    <t>FL-LCW 溶接・切断用ノズル FS-16商品コード: G001100500926S0000</t>
    <phoneticPr fontId="4"/>
  </si>
  <si>
    <t>FL-LCW 溶接・切断用ノズル C商品コード:G001100500928S0000</t>
    <phoneticPr fontId="4"/>
  </si>
  <si>
    <t>FL-LCW ワイヤー用ノズル φ0.8　商品コード:G001100500930S0000</t>
    <phoneticPr fontId="4"/>
  </si>
  <si>
    <t>FL-LCW ワイヤー用ノズル φ1.2　商品コード:G001100500932S0000</t>
    <phoneticPr fontId="4"/>
  </si>
  <si>
    <t>FL-LCW ワイヤー用ノズル φ1.6　商品コード:G001100500933S0000</t>
    <phoneticPr fontId="4"/>
  </si>
  <si>
    <t>FL-LCW ワイヤー用ノズル φ1.0　商品コード:G001100500931S0000</t>
    <phoneticPr fontId="4"/>
  </si>
  <si>
    <t>FL-LCW 溶接・切断用 焦点レンズ D20-150
商品コード: G001100500935S0000</t>
    <phoneticPr fontId="4"/>
  </si>
  <si>
    <t>FL-LCW 溶接・切断用 保護レンズ 　商品コード: G001100500938S0000</t>
    <phoneticPr fontId="4"/>
  </si>
  <si>
    <t>FL-LCW 洗浄用 焦点レンズ D20-600
G001100500936S0000</t>
    <phoneticPr fontId="4"/>
  </si>
  <si>
    <t>シールリング (保護レンズケース用) ※シールリングのみ　G001100500973S0000</t>
    <phoneticPr fontId="4"/>
  </si>
  <si>
    <t>FL-LCW シールリング （焦点レンズケース用）※シールリングのみG001100500939S0000</t>
    <phoneticPr fontId="4"/>
  </si>
  <si>
    <t>ソリッドワイヤー　ＥＲ３０８　Φ１．０　５Kg
G001100500947S0000　ステンレス用</t>
    <phoneticPr fontId="4"/>
  </si>
  <si>
    <t>ソリッドワイヤー　ＥＲ５０－６　Φ１．０　５Kg
G001100500948S0000　炭素銅用</t>
    <phoneticPr fontId="4"/>
  </si>
  <si>
    <t>洗浄(サビ落とし)用交換キット</t>
    <phoneticPr fontId="4"/>
  </si>
  <si>
    <t>User Manual_FL_LCW-3000W Ver.2.0　（取扱
説明書)</t>
    <phoneticPr fontId="4"/>
  </si>
  <si>
    <t>焦点レンズの清掃・交換</t>
    <rPh sb="9" eb="11">
      <t>コウカン</t>
    </rPh>
    <phoneticPr fontId="4"/>
  </si>
  <si>
    <t>保護レンズの清掃・交換</t>
    <rPh sb="9" eb="11">
      <t>コウカン</t>
    </rPh>
    <phoneticPr fontId="4"/>
  </si>
  <si>
    <t>溶接の設定出し</t>
    <phoneticPr fontId="4"/>
  </si>
  <si>
    <t>LCW全機種設定表</t>
    <rPh sb="8" eb="9">
      <t>ヒョウ</t>
    </rPh>
    <phoneticPr fontId="4"/>
  </si>
  <si>
    <t>3000W設定表</t>
    <rPh sb="7" eb="8">
      <t>ヒョウ</t>
    </rPh>
    <phoneticPr fontId="4"/>
  </si>
  <si>
    <t>USBメモリー(取説・設定表・レンズ清掃方法
など)</t>
    <phoneticPr fontId="4"/>
  </si>
  <si>
    <t>溶接ノズル AS-12</t>
    <phoneticPr fontId="4"/>
  </si>
  <si>
    <t>溶接ノズル BS-16</t>
    <phoneticPr fontId="4"/>
  </si>
  <si>
    <t>溶接ノズル CS-12</t>
    <phoneticPr fontId="4"/>
  </si>
  <si>
    <t>溶接ノズル FS-16</t>
    <phoneticPr fontId="4"/>
  </si>
  <si>
    <t>溶接ノズル Ｃタイプ</t>
    <phoneticPr fontId="4"/>
  </si>
  <si>
    <t>切断用ノズル</t>
    <phoneticPr fontId="4"/>
  </si>
  <si>
    <t>ワイヤーノズル　Φ0.8</t>
    <phoneticPr fontId="4"/>
  </si>
  <si>
    <t>ワイヤーノズル　Φ1.0</t>
    <phoneticPr fontId="4"/>
  </si>
  <si>
    <t>ワイヤーノズル　Φ1.2</t>
    <phoneticPr fontId="4"/>
  </si>
  <si>
    <t>ワイヤーノズル　Φ1.6</t>
    <phoneticPr fontId="4"/>
  </si>
  <si>
    <t>保護レンズ</t>
    <phoneticPr fontId="4"/>
  </si>
  <si>
    <t>レンズクリーナー</t>
    <phoneticPr fontId="4"/>
  </si>
  <si>
    <t>レンズクリーナー用拭き取り棒</t>
    <rPh sb="13" eb="14">
      <t>ボウ</t>
    </rPh>
    <phoneticPr fontId="4"/>
  </si>
  <si>
    <t>光路調整用テープ</t>
    <phoneticPr fontId="4"/>
  </si>
  <si>
    <t>PTFEテープ</t>
    <phoneticPr fontId="4"/>
  </si>
  <si>
    <t>PVCテープ</t>
    <phoneticPr fontId="4"/>
  </si>
  <si>
    <t>保護メガネ</t>
    <phoneticPr fontId="4"/>
  </si>
  <si>
    <t>マイナスドライバー</t>
    <phoneticPr fontId="4"/>
  </si>
  <si>
    <t>レッドポインター/レーザーユニット電源キー</t>
    <phoneticPr fontId="4"/>
  </si>
  <si>
    <t>ヒューズ</t>
    <phoneticPr fontId="4"/>
  </si>
  <si>
    <t>六角レンチセット</t>
    <phoneticPr fontId="4"/>
  </si>
  <si>
    <t>レーザーケーブル保護キャップ</t>
    <phoneticPr fontId="4"/>
  </si>
  <si>
    <t>一式</t>
  </si>
  <si>
    <r>
      <rPr>
        <sz val="10"/>
        <rFont val="ＭＳ Ｐゴシック"/>
        <family val="3"/>
        <charset val="128"/>
      </rPr>
      <t>ソリッドワイヤーＥＲ７０S－６　Φ１．０　５Kg</t>
    </r>
    <r>
      <rPr>
        <sz val="11"/>
        <rFont val="ＭＳ Ｐゴシック"/>
        <family val="3"/>
        <charset val="128"/>
      </rPr>
      <t xml:space="preserve">
G001100500949S0000　軟鋼用溶接ワイヤー</t>
    </r>
    <phoneticPr fontId="4"/>
  </si>
  <si>
    <t>FL-LCW 溶接・切断用ノズル AS-08商品コード: G001100500956S0000</t>
    <phoneticPr fontId="4"/>
  </si>
  <si>
    <t>RSD-SUNMAX-FL-LCW　RECI　1500w　錆切溶</t>
    <rPh sb="29" eb="30">
      <t>サビ</t>
    </rPh>
    <rPh sb="30" eb="31">
      <t>キリ</t>
    </rPh>
    <rPh sb="31" eb="32">
      <t>ヨウ</t>
    </rPh>
    <phoneticPr fontId="4"/>
  </si>
  <si>
    <t>ガス調整器</t>
    <rPh sb="2" eb="5">
      <t>チョウセイキ</t>
    </rPh>
    <phoneticPr fontId="4"/>
  </si>
  <si>
    <t>見積書有効期限発効後９０日</t>
    <rPh sb="0" eb="3">
      <t>ミツモリショ</t>
    </rPh>
    <rPh sb="3" eb="7">
      <t>ユウコウキゲン</t>
    </rPh>
    <rPh sb="7" eb="10">
      <t>ハッコウゴ</t>
    </rPh>
    <rPh sb="12" eb="13">
      <t>ニチ</t>
    </rPh>
    <phoneticPr fontId="4"/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</si>
  <si>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</si>
  <si>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別紙購入おすすめ品一覧</t>
    <rPh sb="0" eb="2">
      <t>ベッシ</t>
    </rPh>
    <rPh sb="2" eb="4">
      <t>コウニュウ</t>
    </rPh>
    <rPh sb="8" eb="9">
      <t>ヒン</t>
    </rPh>
    <rPh sb="9" eb="11">
      <t>イチラン</t>
    </rPh>
    <phoneticPr fontId="4"/>
  </si>
  <si>
    <t>受注後7日～10日</t>
    <rPh sb="0" eb="2">
      <t>ジュチュウ</t>
    </rPh>
    <rPh sb="2" eb="3">
      <t>ゴ</t>
    </rPh>
    <rPh sb="4" eb="5">
      <t>ニチ</t>
    </rPh>
    <rPh sb="8" eb="9">
      <t>ニチ</t>
    </rPh>
    <phoneticPr fontId="4"/>
  </si>
  <si>
    <t>出張セットアップ　操作講習　日帰り</t>
    <rPh sb="0" eb="2">
      <t>シュッチョウ</t>
    </rPh>
    <rPh sb="14" eb="16">
      <t>ヒガエ</t>
    </rPh>
    <phoneticPr fontId="4"/>
  </si>
  <si>
    <t>注文時銀行振込</t>
    <rPh sb="0" eb="3">
      <t>チュウモンジ</t>
    </rPh>
    <rPh sb="3" eb="5">
      <t>ギンコウ</t>
    </rPh>
    <rPh sb="5" eb="7">
      <t>フリコミ</t>
    </rPh>
    <phoneticPr fontId="4"/>
  </si>
  <si>
    <t>貴社住所1階</t>
    <rPh sb="0" eb="2">
      <t>キシャ</t>
    </rPh>
    <rPh sb="2" eb="4">
      <t>ジュウショ</t>
    </rPh>
    <rPh sb="5" eb="6">
      <t>カイ</t>
    </rPh>
    <phoneticPr fontId="4"/>
  </si>
  <si>
    <t xml:space="preserve">〒547-0002 </t>
    <phoneticPr fontId="4"/>
  </si>
  <si>
    <t xml:space="preserve"> 大阪府大阪市平野区加美東２丁目２−４</t>
    <phoneticPr fontId="4"/>
  </si>
  <si>
    <t>大塚製作所</t>
    <rPh sb="0" eb="2">
      <t>オオツカ</t>
    </rPh>
    <rPh sb="2" eb="5">
      <t>セイサクショ</t>
    </rPh>
    <phoneticPr fontId="4"/>
  </si>
  <si>
    <t>別紙購入おすすめ消耗品</t>
    <rPh sb="0" eb="2">
      <t>ベッシ</t>
    </rPh>
    <rPh sb="2" eb="4">
      <t>コウニュウ</t>
    </rPh>
    <rPh sb="8" eb="10">
      <t>ショウモウ</t>
    </rPh>
    <rPh sb="10" eb="11">
      <t>ヒン</t>
    </rPh>
    <phoneticPr fontId="4"/>
  </si>
  <si>
    <t>RSD-SUNMAX-FL-LCW　RECI　2000w　錆切溶</t>
    <rPh sb="29" eb="30">
      <t>サビ</t>
    </rPh>
    <rPh sb="30" eb="31">
      <t>キリ</t>
    </rPh>
    <rPh sb="31" eb="32">
      <t>ヨウ</t>
    </rPh>
    <phoneticPr fontId="4"/>
  </si>
  <si>
    <t>RSD-SUNMAX-FL-LCW　RECI　3000w　錆切溶</t>
    <rPh sb="29" eb="30">
      <t>サビ</t>
    </rPh>
    <rPh sb="30" eb="31">
      <t>キリ</t>
    </rPh>
    <rPh sb="31" eb="32">
      <t>ヨウ</t>
    </rPh>
    <phoneticPr fontId="4"/>
  </si>
  <si>
    <t>新品1年保証　　　</t>
    <rPh sb="0" eb="2">
      <t>シンピン</t>
    </rPh>
    <rPh sb="3" eb="6">
      <t>ネンホショウ</t>
    </rPh>
    <phoneticPr fontId="4"/>
  </si>
  <si>
    <t>FL2309153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</si>
</sst>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color theme="0"/>
      <name val="ＭＳ Ｐゴシック"/>
      <family val="3"/>
      <charset val="128"/>
    </font>
    <font>
      <b/>
      <sz val="16"/>
      <color theme="0"/>
      <name val="ＭＳ Ｐゴシック"/>
      <family val="3"/>
      <charset val="128"/>
    </font>
    <font>
      <sz val="14"/>
      <color theme="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0" borderId="0" xfId="1" applyFont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1" fontId="9" fillId="0" borderId="4" xfId="0" applyNumberFormat="1" applyFont="1" applyBorder="1" applyAlignment="1">
      <alignment horizontal="left" vertical="center" wrapText="1"/>
    </xf>
    <xf numFmtId="181" fontId="9" fillId="0" borderId="6" xfId="0" applyNumberFormat="1" applyFont="1" applyBorder="1" applyAlignment="1">
      <alignment horizontal="left" vertical="center" wrapText="1"/>
    </xf>
    <xf numFmtId="181" fontId="9" fillId="0" borderId="19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9" fillId="0" borderId="9" xfId="0" applyNumberFormat="1" applyFont="1" applyBorder="1" applyAlignment="1">
      <alignment horizontal="right" vertic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center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15" fillId="0" borderId="36" xfId="1" applyFont="1" applyBorder="1" applyAlignment="1" applyProtection="1">
      <alignment horizontal="left" wrapText="1"/>
    </xf>
    <xf numFmtId="0" fontId="15" fillId="0" borderId="37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2" borderId="0" xfId="0" applyFill="1" applyAlignment="1">
      <alignment horizontal="right" vertical="center"/>
    </xf>
    <xf numFmtId="179" fontId="0" fillId="2" borderId="0" xfId="0" applyNumberForma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176" fontId="5" fillId="0" borderId="39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  <xf numFmtId="176" fontId="29" fillId="0" borderId="0" xfId="0" applyNumberFormat="1" applyFont="1" applyAlignment="1">
      <alignment horizontal="right"/>
    </xf>
    <xf numFmtId="0" fontId="30" fillId="0" borderId="0" xfId="0" applyFont="1" applyAlignment="1">
      <alignment horizontal="center" vertical="center"/>
    </xf>
    <xf numFmtId="176" fontId="29" fillId="0" borderId="0" xfId="0" applyNumberFormat="1" applyFont="1" applyAlignment="1">
      <alignment horizontal="right" vertical="center"/>
    </xf>
    <xf numFmtId="0" fontId="30" fillId="0" borderId="18" xfId="0" applyFont="1" applyBorder="1" applyAlignment="1">
      <alignment horizontal="center" vertical="center"/>
    </xf>
    <xf numFmtId="176" fontId="29" fillId="0" borderId="18" xfId="0" applyNumberFormat="1" applyFont="1" applyBorder="1" applyAlignment="1">
      <alignment horizontal="right" vertical="center"/>
    </xf>
    <xf numFmtId="176" fontId="31" fillId="0" borderId="7" xfId="0" applyNumberFormat="1" applyFont="1" applyBorder="1" applyAlignment="1">
      <alignment horizontal="right" vertical="center"/>
    </xf>
    <xf numFmtId="176" fontId="31" fillId="0" borderId="8" xfId="0" applyNumberFormat="1" applyFont="1" applyBorder="1" applyAlignment="1">
      <alignment horizontal="right" vertical="center"/>
    </xf>
    <xf numFmtId="176" fontId="31" fillId="0" borderId="9" xfId="0" applyNumberFormat="1" applyFont="1" applyBorder="1" applyAlignment="1">
      <alignment horizontal="right" vertical="center"/>
    </xf>
    <xf numFmtId="181" fontId="31" fillId="0" borderId="7" xfId="0" applyNumberFormat="1" applyFont="1" applyBorder="1" applyAlignment="1">
      <alignment horizontal="right" vertical="center"/>
    </xf>
    <xf numFmtId="181" fontId="31" fillId="0" borderId="8" xfId="0" applyNumberFormat="1" applyFont="1" applyBorder="1" applyAlignment="1">
      <alignment horizontal="right" vertical="center"/>
    </xf>
    <xf numFmtId="181" fontId="31" fillId="0" borderId="9" xfId="0" applyNumberFormat="1" applyFont="1" applyBorder="1" applyAlignment="1">
      <alignment horizontal="right" vertical="center"/>
    </xf>
    <xf numFmtId="178" fontId="30" fillId="0" borderId="20" xfId="0" applyNumberFormat="1" applyFont="1" applyBorder="1" applyAlignment="1">
      <alignment horizontal="right" vertical="center"/>
    </xf>
    <xf numFmtId="178" fontId="30" fillId="0" borderId="21" xfId="0" applyNumberFormat="1" applyFont="1" applyBorder="1" applyAlignment="1">
      <alignment horizontal="right" vertical="center"/>
    </xf>
    <xf numFmtId="178" fontId="30" fillId="0" borderId="29" xfId="0" applyNumberFormat="1" applyFont="1" applyBorder="1" applyAlignment="1">
      <alignment horizontal="righ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50800</xdr:colOff>
          <xdr:row>0</xdr:row>
          <xdr:rowOff>298450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298450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393700</xdr:rowOff>
        </xdr:from>
        <xdr:to>
          <xdr:col>4</xdr:col>
          <xdr:colOff>203200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393700</xdr:rowOff>
        </xdr:from>
        <xdr:to>
          <xdr:col>8</xdr:col>
          <xdr:colOff>127000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393700</xdr:rowOff>
        </xdr:from>
        <xdr:to>
          <xdr:col>44</xdr:col>
          <xdr:colOff>146050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76200</xdr:rowOff>
        </xdr:from>
        <xdr:to>
          <xdr:col>13</xdr:col>
          <xdr:colOff>114300</xdr:colOff>
          <xdr:row>0</xdr:row>
          <xdr:rowOff>298450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203200</xdr:colOff>
          <xdr:row>0</xdr:row>
          <xdr:rowOff>298450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88900</xdr:colOff>
          <xdr:row>0</xdr:row>
          <xdr:rowOff>76200</xdr:rowOff>
        </xdr:from>
        <xdr:to>
          <xdr:col>22</xdr:col>
          <xdr:colOff>69850</xdr:colOff>
          <xdr:row>0</xdr:row>
          <xdr:rowOff>298450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50800</xdr:colOff>
          <xdr:row>0</xdr:row>
          <xdr:rowOff>298450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146050</xdr:colOff>
          <xdr:row>0</xdr:row>
          <xdr:rowOff>298450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50800</xdr:colOff>
          <xdr:row>0</xdr:row>
          <xdr:rowOff>622300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31750</xdr:colOff>
          <xdr:row>0</xdr:row>
          <xdr:rowOff>393700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31750</xdr:colOff>
          <xdr:row>0</xdr:row>
          <xdr:rowOff>393700</xdr:rowOff>
        </xdr:from>
        <xdr:to>
          <xdr:col>18</xdr:col>
          <xdr:colOff>12700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127000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393700</xdr:rowOff>
        </xdr:from>
        <xdr:to>
          <xdr:col>27</xdr:col>
          <xdr:colOff>50800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5</xdr:row>
          <xdr:rowOff>184150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4</xdr:row>
          <xdr:rowOff>76200</xdr:rowOff>
        </xdr:from>
        <xdr:to>
          <xdr:col>0</xdr:col>
          <xdr:colOff>476250</xdr:colOff>
          <xdr:row>5</xdr:row>
          <xdr:rowOff>107950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7</xdr:row>
          <xdr:rowOff>95250</xdr:rowOff>
        </xdr:from>
        <xdr:to>
          <xdr:col>0</xdr:col>
          <xdr:colOff>476250</xdr:colOff>
          <xdr:row>8</xdr:row>
          <xdr:rowOff>127000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25</xdr:row>
          <xdr:rowOff>95250</xdr:rowOff>
        </xdr:from>
        <xdr:to>
          <xdr:col>0</xdr:col>
          <xdr:colOff>476250</xdr:colOff>
          <xdr:row>25</xdr:row>
          <xdr:rowOff>317500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26</xdr:row>
          <xdr:rowOff>88900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27</xdr:row>
          <xdr:rowOff>95250</xdr:rowOff>
        </xdr:from>
        <xdr:to>
          <xdr:col>0</xdr:col>
          <xdr:colOff>476250</xdr:colOff>
          <xdr:row>27</xdr:row>
          <xdr:rowOff>317500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28</xdr:row>
          <xdr:rowOff>95250</xdr:rowOff>
        </xdr:from>
        <xdr:to>
          <xdr:col>0</xdr:col>
          <xdr:colOff>476250</xdr:colOff>
          <xdr:row>28</xdr:row>
          <xdr:rowOff>317500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29</xdr:row>
          <xdr:rowOff>95250</xdr:rowOff>
        </xdr:from>
        <xdr:to>
          <xdr:col>0</xdr:col>
          <xdr:colOff>476250</xdr:colOff>
          <xdr:row>29</xdr:row>
          <xdr:rowOff>317500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30</xdr:row>
          <xdr:rowOff>95250</xdr:rowOff>
        </xdr:from>
        <xdr:to>
          <xdr:col>0</xdr:col>
          <xdr:colOff>476250</xdr:colOff>
          <xdr:row>30</xdr:row>
          <xdr:rowOff>317500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31</xdr:row>
          <xdr:rowOff>95250</xdr:rowOff>
        </xdr:from>
        <xdr:to>
          <xdr:col>0</xdr:col>
          <xdr:colOff>476250</xdr:colOff>
          <xdr:row>31</xdr:row>
          <xdr:rowOff>317500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32</xdr:row>
          <xdr:rowOff>95250</xdr:rowOff>
        </xdr:from>
        <xdr:to>
          <xdr:col>0</xdr:col>
          <xdr:colOff>476250</xdr:colOff>
          <xdr:row>32</xdr:row>
          <xdr:rowOff>317500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33</xdr:row>
          <xdr:rowOff>95250</xdr:rowOff>
        </xdr:from>
        <xdr:to>
          <xdr:col>0</xdr:col>
          <xdr:colOff>476250</xdr:colOff>
          <xdr:row>33</xdr:row>
          <xdr:rowOff>317500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34</xdr:row>
          <xdr:rowOff>95250</xdr:rowOff>
        </xdr:from>
        <xdr:to>
          <xdr:col>0</xdr:col>
          <xdr:colOff>476250</xdr:colOff>
          <xdr:row>34</xdr:row>
          <xdr:rowOff>317500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35</xdr:row>
          <xdr:rowOff>95250</xdr:rowOff>
        </xdr:from>
        <xdr:to>
          <xdr:col>0</xdr:col>
          <xdr:colOff>476250</xdr:colOff>
          <xdr:row>35</xdr:row>
          <xdr:rowOff>317500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36</xdr:row>
          <xdr:rowOff>95250</xdr:rowOff>
        </xdr:from>
        <xdr:to>
          <xdr:col>0</xdr:col>
          <xdr:colOff>476250</xdr:colOff>
          <xdr:row>36</xdr:row>
          <xdr:rowOff>317500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</xdr:row>
          <xdr:rowOff>165100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31750</xdr:colOff>
          <xdr:row>0</xdr:row>
          <xdr:rowOff>76200</xdr:rowOff>
        </xdr:from>
        <xdr:to>
          <xdr:col>18</xdr:col>
          <xdr:colOff>12700</xdr:colOff>
          <xdr:row>0</xdr:row>
          <xdr:rowOff>298450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622300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69850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88900</xdr:colOff>
          <xdr:row>0</xdr:row>
          <xdr:rowOff>393700</xdr:rowOff>
        </xdr:from>
        <xdr:to>
          <xdr:col>22</xdr:col>
          <xdr:colOff>69850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127000</xdr:colOff>
          <xdr:row>400</xdr:row>
          <xdr:rowOff>107950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298450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127000</xdr:colOff>
          <xdr:row>403</xdr:row>
          <xdr:rowOff>107950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127000</xdr:colOff>
          <xdr:row>402</xdr:row>
          <xdr:rowOff>19050</xdr:rowOff>
        </xdr:from>
        <xdr:to>
          <xdr:col>156</xdr:col>
          <xdr:colOff>38100</xdr:colOff>
          <xdr:row>403</xdr:row>
          <xdr:rowOff>50800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127000</xdr:colOff>
          <xdr:row>399</xdr:row>
          <xdr:rowOff>0</xdr:rowOff>
        </xdr:from>
        <xdr:to>
          <xdr:col>156</xdr:col>
          <xdr:colOff>38100</xdr:colOff>
          <xdr:row>400</xdr:row>
          <xdr:rowOff>31750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622300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146050</xdr:colOff>
          <xdr:row>98</xdr:row>
          <xdr:rowOff>69850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12700</xdr:rowOff>
        </xdr:from>
        <xdr:to>
          <xdr:col>115</xdr:col>
          <xdr:colOff>450850</xdr:colOff>
          <xdr:row>118</xdr:row>
          <xdr:rowOff>184150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450850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146050</xdr:colOff>
          <xdr:row>99</xdr:row>
          <xdr:rowOff>88900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69850</xdr:colOff>
          <xdr:row>98</xdr:row>
          <xdr:rowOff>57150</xdr:rowOff>
        </xdr:from>
        <xdr:to>
          <xdr:col>97</xdr:col>
          <xdr:colOff>88900</xdr:colOff>
          <xdr:row>99</xdr:row>
          <xdr:rowOff>88900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50800</xdr:colOff>
      <xdr:row>29</xdr:row>
      <xdr:rowOff>145810</xdr:rowOff>
    </xdr:from>
    <xdr:to>
      <xdr:col>37</xdr:col>
      <xdr:colOff>139700</xdr:colOff>
      <xdr:row>34</xdr:row>
      <xdr:rowOff>225982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92600" y="6610110"/>
          <a:ext cx="1574800" cy="2112172"/>
        </a:xfrm>
        <a:prstGeom prst="rect">
          <a:avLst/>
        </a:prstGeom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51350" y="2505075"/>
          <a:ext cx="2242215" cy="274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88900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107950</xdr:colOff>
          <xdr:row>0</xdr:row>
          <xdr:rowOff>88900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88900</xdr:rowOff>
        </xdr:from>
        <xdr:to>
          <xdr:col>10</xdr:col>
          <xdr:colOff>127000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88900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88900</xdr:colOff>
          <xdr:row>0</xdr:row>
          <xdr:rowOff>95250</xdr:rowOff>
        </xdr:from>
        <xdr:to>
          <xdr:col>43</xdr:col>
          <xdr:colOff>0</xdr:colOff>
          <xdr:row>1</xdr:row>
          <xdr:rowOff>146050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6</xdr:row>
          <xdr:rowOff>107950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7</xdr:row>
          <xdr:rowOff>69850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1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8</xdr:row>
          <xdr:rowOff>76200</xdr:rowOff>
        </xdr:from>
        <xdr:to>
          <xdr:col>1</xdr:col>
          <xdr:colOff>0</xdr:colOff>
          <xdr:row>8</xdr:row>
          <xdr:rowOff>298450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1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9</xdr:row>
          <xdr:rowOff>95250</xdr:rowOff>
        </xdr:from>
        <xdr:to>
          <xdr:col>1</xdr:col>
          <xdr:colOff>0</xdr:colOff>
          <xdr:row>9</xdr:row>
          <xdr:rowOff>317500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10</xdr:row>
          <xdr:rowOff>88900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11</xdr:row>
          <xdr:rowOff>95250</xdr:rowOff>
        </xdr:from>
        <xdr:to>
          <xdr:col>1</xdr:col>
          <xdr:colOff>0</xdr:colOff>
          <xdr:row>11</xdr:row>
          <xdr:rowOff>317500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12</xdr:row>
          <xdr:rowOff>95250</xdr:rowOff>
        </xdr:from>
        <xdr:to>
          <xdr:col>1</xdr:col>
          <xdr:colOff>0</xdr:colOff>
          <xdr:row>12</xdr:row>
          <xdr:rowOff>317500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13</xdr:row>
          <xdr:rowOff>88900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14</xdr:row>
          <xdr:rowOff>76200</xdr:rowOff>
        </xdr:from>
        <xdr:to>
          <xdr:col>1</xdr:col>
          <xdr:colOff>0</xdr:colOff>
          <xdr:row>14</xdr:row>
          <xdr:rowOff>298450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1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15</xdr:row>
          <xdr:rowOff>114300</xdr:rowOff>
        </xdr:from>
        <xdr:to>
          <xdr:col>1</xdr:col>
          <xdr:colOff>0</xdr:colOff>
          <xdr:row>15</xdr:row>
          <xdr:rowOff>336550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16</xdr:row>
          <xdr:rowOff>95250</xdr:rowOff>
        </xdr:from>
        <xdr:to>
          <xdr:col>1</xdr:col>
          <xdr:colOff>0</xdr:colOff>
          <xdr:row>16</xdr:row>
          <xdr:rowOff>317500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1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17</xdr:row>
          <xdr:rowOff>88900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18</xdr:row>
          <xdr:rowOff>95250</xdr:rowOff>
        </xdr:from>
        <xdr:to>
          <xdr:col>1</xdr:col>
          <xdr:colOff>0</xdr:colOff>
          <xdr:row>18</xdr:row>
          <xdr:rowOff>317500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19</xdr:row>
          <xdr:rowOff>88900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1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20</xdr:row>
          <xdr:rowOff>88900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21</xdr:row>
          <xdr:rowOff>88900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22</xdr:row>
          <xdr:rowOff>95250</xdr:rowOff>
        </xdr:from>
        <xdr:to>
          <xdr:col>1</xdr:col>
          <xdr:colOff>0</xdr:colOff>
          <xdr:row>22</xdr:row>
          <xdr:rowOff>317500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23</xdr:row>
          <xdr:rowOff>88900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24</xdr:row>
          <xdr:rowOff>88900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25</xdr:row>
          <xdr:rowOff>88900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1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26</xdr:row>
          <xdr:rowOff>76200</xdr:rowOff>
        </xdr:from>
        <xdr:to>
          <xdr:col>1</xdr:col>
          <xdr:colOff>0</xdr:colOff>
          <xdr:row>26</xdr:row>
          <xdr:rowOff>298450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1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27</xdr:row>
          <xdr:rowOff>88900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1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28</xdr:row>
          <xdr:rowOff>95250</xdr:rowOff>
        </xdr:from>
        <xdr:to>
          <xdr:col>1</xdr:col>
          <xdr:colOff>0</xdr:colOff>
          <xdr:row>28</xdr:row>
          <xdr:rowOff>317500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1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4</xdr:row>
          <xdr:rowOff>114300</xdr:rowOff>
        </xdr:from>
        <xdr:to>
          <xdr:col>1</xdr:col>
          <xdr:colOff>0</xdr:colOff>
          <xdr:row>5</xdr:row>
          <xdr:rowOff>146050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1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88900</xdr:colOff>
          <xdr:row>0</xdr:row>
          <xdr:rowOff>95250</xdr:rowOff>
        </xdr:from>
        <xdr:to>
          <xdr:col>29</xdr:col>
          <xdr:colOff>57150</xdr:colOff>
          <xdr:row>1</xdr:row>
          <xdr:rowOff>146050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1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127000</xdr:colOff>
          <xdr:row>1</xdr:row>
          <xdr:rowOff>146050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1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88900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1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146050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88900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107950</xdr:colOff>
          <xdr:row>0</xdr:row>
          <xdr:rowOff>88900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88900</xdr:rowOff>
        </xdr:from>
        <xdr:to>
          <xdr:col>10</xdr:col>
          <xdr:colOff>127000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88900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88900</xdr:colOff>
          <xdr:row>0</xdr:row>
          <xdr:rowOff>95250</xdr:rowOff>
        </xdr:from>
        <xdr:to>
          <xdr:col>43</xdr:col>
          <xdr:colOff>0</xdr:colOff>
          <xdr:row>1</xdr:row>
          <xdr:rowOff>146050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6</xdr:row>
          <xdr:rowOff>107950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7</xdr:row>
          <xdr:rowOff>69850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8</xdr:row>
          <xdr:rowOff>76200</xdr:rowOff>
        </xdr:from>
        <xdr:to>
          <xdr:col>1</xdr:col>
          <xdr:colOff>0</xdr:colOff>
          <xdr:row>8</xdr:row>
          <xdr:rowOff>298450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9</xdr:row>
          <xdr:rowOff>95250</xdr:rowOff>
        </xdr:from>
        <xdr:to>
          <xdr:col>1</xdr:col>
          <xdr:colOff>0</xdr:colOff>
          <xdr:row>9</xdr:row>
          <xdr:rowOff>317500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10</xdr:row>
          <xdr:rowOff>88900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11</xdr:row>
          <xdr:rowOff>95250</xdr:rowOff>
        </xdr:from>
        <xdr:to>
          <xdr:col>1</xdr:col>
          <xdr:colOff>0</xdr:colOff>
          <xdr:row>11</xdr:row>
          <xdr:rowOff>317500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12</xdr:row>
          <xdr:rowOff>95250</xdr:rowOff>
        </xdr:from>
        <xdr:to>
          <xdr:col>1</xdr:col>
          <xdr:colOff>0</xdr:colOff>
          <xdr:row>12</xdr:row>
          <xdr:rowOff>317500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13</xdr:row>
          <xdr:rowOff>88900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14</xdr:row>
          <xdr:rowOff>76200</xdr:rowOff>
        </xdr:from>
        <xdr:to>
          <xdr:col>1</xdr:col>
          <xdr:colOff>0</xdr:colOff>
          <xdr:row>14</xdr:row>
          <xdr:rowOff>298450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15</xdr:row>
          <xdr:rowOff>114300</xdr:rowOff>
        </xdr:from>
        <xdr:to>
          <xdr:col>1</xdr:col>
          <xdr:colOff>0</xdr:colOff>
          <xdr:row>15</xdr:row>
          <xdr:rowOff>336550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16</xdr:row>
          <xdr:rowOff>95250</xdr:rowOff>
        </xdr:from>
        <xdr:to>
          <xdr:col>1</xdr:col>
          <xdr:colOff>0</xdr:colOff>
          <xdr:row>16</xdr:row>
          <xdr:rowOff>317500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17</xdr:row>
          <xdr:rowOff>88900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18</xdr:row>
          <xdr:rowOff>95250</xdr:rowOff>
        </xdr:from>
        <xdr:to>
          <xdr:col>1</xdr:col>
          <xdr:colOff>0</xdr:colOff>
          <xdr:row>18</xdr:row>
          <xdr:rowOff>317500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19</xdr:row>
          <xdr:rowOff>88900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20</xdr:row>
          <xdr:rowOff>88900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21</xdr:row>
          <xdr:rowOff>88900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22</xdr:row>
          <xdr:rowOff>95250</xdr:rowOff>
        </xdr:from>
        <xdr:to>
          <xdr:col>1</xdr:col>
          <xdr:colOff>0</xdr:colOff>
          <xdr:row>22</xdr:row>
          <xdr:rowOff>317500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23</xdr:row>
          <xdr:rowOff>88900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24</xdr:row>
          <xdr:rowOff>88900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25</xdr:row>
          <xdr:rowOff>88900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26</xdr:row>
          <xdr:rowOff>76200</xdr:rowOff>
        </xdr:from>
        <xdr:to>
          <xdr:col>1</xdr:col>
          <xdr:colOff>0</xdr:colOff>
          <xdr:row>26</xdr:row>
          <xdr:rowOff>298450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27</xdr:row>
          <xdr:rowOff>88900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28</xdr:row>
          <xdr:rowOff>95250</xdr:rowOff>
        </xdr:from>
        <xdr:to>
          <xdr:col>1</xdr:col>
          <xdr:colOff>0</xdr:colOff>
          <xdr:row>28</xdr:row>
          <xdr:rowOff>317500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4</xdr:row>
          <xdr:rowOff>114300</xdr:rowOff>
        </xdr:from>
        <xdr:to>
          <xdr:col>1</xdr:col>
          <xdr:colOff>0</xdr:colOff>
          <xdr:row>5</xdr:row>
          <xdr:rowOff>146050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88900</xdr:colOff>
          <xdr:row>0</xdr:row>
          <xdr:rowOff>95250</xdr:rowOff>
        </xdr:from>
        <xdr:to>
          <xdr:col>29</xdr:col>
          <xdr:colOff>57150</xdr:colOff>
          <xdr:row>1</xdr:row>
          <xdr:rowOff>146050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127000</xdr:colOff>
          <xdr:row>1</xdr:row>
          <xdr:rowOff>146050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88900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146050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88900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107950</xdr:colOff>
          <xdr:row>0</xdr:row>
          <xdr:rowOff>88900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88900</xdr:rowOff>
        </xdr:from>
        <xdr:to>
          <xdr:col>10</xdr:col>
          <xdr:colOff>127000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88900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88900</xdr:colOff>
          <xdr:row>0</xdr:row>
          <xdr:rowOff>95250</xdr:rowOff>
        </xdr:from>
        <xdr:to>
          <xdr:col>43</xdr:col>
          <xdr:colOff>0</xdr:colOff>
          <xdr:row>1</xdr:row>
          <xdr:rowOff>146050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6</xdr:row>
          <xdr:rowOff>107950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7</xdr:row>
          <xdr:rowOff>69850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8</xdr:row>
          <xdr:rowOff>76200</xdr:rowOff>
        </xdr:from>
        <xdr:to>
          <xdr:col>1</xdr:col>
          <xdr:colOff>0</xdr:colOff>
          <xdr:row>8</xdr:row>
          <xdr:rowOff>298450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9</xdr:row>
          <xdr:rowOff>95250</xdr:rowOff>
        </xdr:from>
        <xdr:to>
          <xdr:col>1</xdr:col>
          <xdr:colOff>0</xdr:colOff>
          <xdr:row>9</xdr:row>
          <xdr:rowOff>317500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10</xdr:row>
          <xdr:rowOff>88900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11</xdr:row>
          <xdr:rowOff>95250</xdr:rowOff>
        </xdr:from>
        <xdr:to>
          <xdr:col>1</xdr:col>
          <xdr:colOff>0</xdr:colOff>
          <xdr:row>11</xdr:row>
          <xdr:rowOff>317500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12</xdr:row>
          <xdr:rowOff>95250</xdr:rowOff>
        </xdr:from>
        <xdr:to>
          <xdr:col>1</xdr:col>
          <xdr:colOff>0</xdr:colOff>
          <xdr:row>12</xdr:row>
          <xdr:rowOff>317500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13</xdr:row>
          <xdr:rowOff>88900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14</xdr:row>
          <xdr:rowOff>76200</xdr:rowOff>
        </xdr:from>
        <xdr:to>
          <xdr:col>1</xdr:col>
          <xdr:colOff>0</xdr:colOff>
          <xdr:row>14</xdr:row>
          <xdr:rowOff>298450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15</xdr:row>
          <xdr:rowOff>114300</xdr:rowOff>
        </xdr:from>
        <xdr:to>
          <xdr:col>1</xdr:col>
          <xdr:colOff>0</xdr:colOff>
          <xdr:row>15</xdr:row>
          <xdr:rowOff>336550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16</xdr:row>
          <xdr:rowOff>95250</xdr:rowOff>
        </xdr:from>
        <xdr:to>
          <xdr:col>1</xdr:col>
          <xdr:colOff>0</xdr:colOff>
          <xdr:row>16</xdr:row>
          <xdr:rowOff>317500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17</xdr:row>
          <xdr:rowOff>88900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18</xdr:row>
          <xdr:rowOff>95250</xdr:rowOff>
        </xdr:from>
        <xdr:to>
          <xdr:col>1</xdr:col>
          <xdr:colOff>0</xdr:colOff>
          <xdr:row>18</xdr:row>
          <xdr:rowOff>317500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19</xdr:row>
          <xdr:rowOff>88900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20</xdr:row>
          <xdr:rowOff>88900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21</xdr:row>
          <xdr:rowOff>88900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22</xdr:row>
          <xdr:rowOff>95250</xdr:rowOff>
        </xdr:from>
        <xdr:to>
          <xdr:col>1</xdr:col>
          <xdr:colOff>0</xdr:colOff>
          <xdr:row>22</xdr:row>
          <xdr:rowOff>317500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23</xdr:row>
          <xdr:rowOff>88900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24</xdr:row>
          <xdr:rowOff>88900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25</xdr:row>
          <xdr:rowOff>88900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26</xdr:row>
          <xdr:rowOff>76200</xdr:rowOff>
        </xdr:from>
        <xdr:to>
          <xdr:col>1</xdr:col>
          <xdr:colOff>0</xdr:colOff>
          <xdr:row>26</xdr:row>
          <xdr:rowOff>298450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27</xdr:row>
          <xdr:rowOff>88900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28</xdr:row>
          <xdr:rowOff>95250</xdr:rowOff>
        </xdr:from>
        <xdr:to>
          <xdr:col>1</xdr:col>
          <xdr:colOff>0</xdr:colOff>
          <xdr:row>28</xdr:row>
          <xdr:rowOff>317500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4</xdr:row>
          <xdr:rowOff>114300</xdr:rowOff>
        </xdr:from>
        <xdr:to>
          <xdr:col>1</xdr:col>
          <xdr:colOff>0</xdr:colOff>
          <xdr:row>5</xdr:row>
          <xdr:rowOff>146050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88900</xdr:colOff>
          <xdr:row>0</xdr:row>
          <xdr:rowOff>95250</xdr:rowOff>
        </xdr:from>
        <xdr:to>
          <xdr:col>29</xdr:col>
          <xdr:colOff>57150</xdr:colOff>
          <xdr:row>1</xdr:row>
          <xdr:rowOff>146050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127000</xdr:colOff>
          <xdr:row>1</xdr:row>
          <xdr:rowOff>146050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88900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146050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88900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107950</xdr:colOff>
          <xdr:row>0</xdr:row>
          <xdr:rowOff>88900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88900</xdr:rowOff>
        </xdr:from>
        <xdr:to>
          <xdr:col>10</xdr:col>
          <xdr:colOff>127000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4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88900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4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88900</xdr:colOff>
          <xdr:row>0</xdr:row>
          <xdr:rowOff>95250</xdr:rowOff>
        </xdr:from>
        <xdr:to>
          <xdr:col>42</xdr:col>
          <xdr:colOff>152400</xdr:colOff>
          <xdr:row>1</xdr:row>
          <xdr:rowOff>146050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4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6</xdr:row>
          <xdr:rowOff>107950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4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7</xdr:row>
          <xdr:rowOff>69850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4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8</xdr:row>
          <xdr:rowOff>76200</xdr:rowOff>
        </xdr:from>
        <xdr:to>
          <xdr:col>0</xdr:col>
          <xdr:colOff>476250</xdr:colOff>
          <xdr:row>8</xdr:row>
          <xdr:rowOff>298450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4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9</xdr:row>
          <xdr:rowOff>95250</xdr:rowOff>
        </xdr:from>
        <xdr:to>
          <xdr:col>0</xdr:col>
          <xdr:colOff>476250</xdr:colOff>
          <xdr:row>9</xdr:row>
          <xdr:rowOff>317500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4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10</xdr:row>
          <xdr:rowOff>88900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4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11</xdr:row>
          <xdr:rowOff>95250</xdr:rowOff>
        </xdr:from>
        <xdr:to>
          <xdr:col>0</xdr:col>
          <xdr:colOff>476250</xdr:colOff>
          <xdr:row>11</xdr:row>
          <xdr:rowOff>317500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4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12</xdr:row>
          <xdr:rowOff>95250</xdr:rowOff>
        </xdr:from>
        <xdr:to>
          <xdr:col>0</xdr:col>
          <xdr:colOff>476250</xdr:colOff>
          <xdr:row>12</xdr:row>
          <xdr:rowOff>317500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4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13</xdr:row>
          <xdr:rowOff>88900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4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14</xdr:row>
          <xdr:rowOff>76200</xdr:rowOff>
        </xdr:from>
        <xdr:to>
          <xdr:col>0</xdr:col>
          <xdr:colOff>476250</xdr:colOff>
          <xdr:row>14</xdr:row>
          <xdr:rowOff>298450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4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15</xdr:row>
          <xdr:rowOff>114300</xdr:rowOff>
        </xdr:from>
        <xdr:to>
          <xdr:col>0</xdr:col>
          <xdr:colOff>476250</xdr:colOff>
          <xdr:row>15</xdr:row>
          <xdr:rowOff>336550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4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16</xdr:row>
          <xdr:rowOff>95250</xdr:rowOff>
        </xdr:from>
        <xdr:to>
          <xdr:col>0</xdr:col>
          <xdr:colOff>476250</xdr:colOff>
          <xdr:row>16</xdr:row>
          <xdr:rowOff>317500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4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17</xdr:row>
          <xdr:rowOff>88900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4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18</xdr:row>
          <xdr:rowOff>95250</xdr:rowOff>
        </xdr:from>
        <xdr:to>
          <xdr:col>0</xdr:col>
          <xdr:colOff>476250</xdr:colOff>
          <xdr:row>18</xdr:row>
          <xdr:rowOff>317500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4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19</xdr:row>
          <xdr:rowOff>88900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4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20</xdr:row>
          <xdr:rowOff>88900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4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21</xdr:row>
          <xdr:rowOff>88900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4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22</xdr:row>
          <xdr:rowOff>95250</xdr:rowOff>
        </xdr:from>
        <xdr:to>
          <xdr:col>0</xdr:col>
          <xdr:colOff>476250</xdr:colOff>
          <xdr:row>22</xdr:row>
          <xdr:rowOff>317500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4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23</xdr:row>
          <xdr:rowOff>88900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4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24</xdr:row>
          <xdr:rowOff>88900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4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25</xdr:row>
          <xdr:rowOff>88900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4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26</xdr:row>
          <xdr:rowOff>76200</xdr:rowOff>
        </xdr:from>
        <xdr:to>
          <xdr:col>0</xdr:col>
          <xdr:colOff>476250</xdr:colOff>
          <xdr:row>26</xdr:row>
          <xdr:rowOff>298450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4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27</xdr:row>
          <xdr:rowOff>88900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4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28</xdr:row>
          <xdr:rowOff>95250</xdr:rowOff>
        </xdr:from>
        <xdr:to>
          <xdr:col>0</xdr:col>
          <xdr:colOff>476250</xdr:colOff>
          <xdr:row>28</xdr:row>
          <xdr:rowOff>317500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4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4</xdr:row>
          <xdr:rowOff>114300</xdr:rowOff>
        </xdr:from>
        <xdr:to>
          <xdr:col>0</xdr:col>
          <xdr:colOff>476250</xdr:colOff>
          <xdr:row>5</xdr:row>
          <xdr:rowOff>146050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4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88900</xdr:colOff>
          <xdr:row>0</xdr:row>
          <xdr:rowOff>95250</xdr:rowOff>
        </xdr:from>
        <xdr:to>
          <xdr:col>29</xdr:col>
          <xdr:colOff>57150</xdr:colOff>
          <xdr:row>1</xdr:row>
          <xdr:rowOff>146050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4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127000</xdr:colOff>
          <xdr:row>1</xdr:row>
          <xdr:rowOff>146050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4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88900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4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146050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4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29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8" Type="http://schemas.openxmlformats.org/officeDocument/2006/relationships/ctrlProp" Target="../ctrlProps/ctrlProp5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9.xml"/><Relationship Id="rId18" Type="http://schemas.openxmlformats.org/officeDocument/2006/relationships/ctrlProp" Target="../ctrlProps/ctrlProp94.xml"/><Relationship Id="rId26" Type="http://schemas.openxmlformats.org/officeDocument/2006/relationships/ctrlProp" Target="../ctrlProps/ctrlProp102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97.xml"/><Relationship Id="rId34" Type="http://schemas.openxmlformats.org/officeDocument/2006/relationships/ctrlProp" Target="../ctrlProps/ctrlProp110.xml"/><Relationship Id="rId7" Type="http://schemas.openxmlformats.org/officeDocument/2006/relationships/ctrlProp" Target="../ctrlProps/ctrlProp83.xml"/><Relationship Id="rId12" Type="http://schemas.openxmlformats.org/officeDocument/2006/relationships/ctrlProp" Target="../ctrlProps/ctrlProp88.xml"/><Relationship Id="rId17" Type="http://schemas.openxmlformats.org/officeDocument/2006/relationships/ctrlProp" Target="../ctrlProps/ctrlProp93.xml"/><Relationship Id="rId25" Type="http://schemas.openxmlformats.org/officeDocument/2006/relationships/ctrlProp" Target="../ctrlProps/ctrlProp101.xml"/><Relationship Id="rId33" Type="http://schemas.openxmlformats.org/officeDocument/2006/relationships/ctrlProp" Target="../ctrlProps/ctrlProp109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92.xml"/><Relationship Id="rId20" Type="http://schemas.openxmlformats.org/officeDocument/2006/relationships/ctrlProp" Target="../ctrlProps/ctrlProp96.xml"/><Relationship Id="rId29" Type="http://schemas.openxmlformats.org/officeDocument/2006/relationships/ctrlProp" Target="../ctrlProps/ctrlProp10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82.xml"/><Relationship Id="rId11" Type="http://schemas.openxmlformats.org/officeDocument/2006/relationships/ctrlProp" Target="../ctrlProps/ctrlProp87.xml"/><Relationship Id="rId24" Type="http://schemas.openxmlformats.org/officeDocument/2006/relationships/ctrlProp" Target="../ctrlProps/ctrlProp100.xml"/><Relationship Id="rId32" Type="http://schemas.openxmlformats.org/officeDocument/2006/relationships/ctrlProp" Target="../ctrlProps/ctrlProp108.xml"/><Relationship Id="rId5" Type="http://schemas.openxmlformats.org/officeDocument/2006/relationships/ctrlProp" Target="../ctrlProps/ctrlProp81.xml"/><Relationship Id="rId15" Type="http://schemas.openxmlformats.org/officeDocument/2006/relationships/ctrlProp" Target="../ctrlProps/ctrlProp91.xml"/><Relationship Id="rId23" Type="http://schemas.openxmlformats.org/officeDocument/2006/relationships/ctrlProp" Target="../ctrlProps/ctrlProp99.xml"/><Relationship Id="rId28" Type="http://schemas.openxmlformats.org/officeDocument/2006/relationships/ctrlProp" Target="../ctrlProps/ctrlProp104.xml"/><Relationship Id="rId36" Type="http://schemas.openxmlformats.org/officeDocument/2006/relationships/ctrlProp" Target="../ctrlProps/ctrlProp112.xml"/><Relationship Id="rId10" Type="http://schemas.openxmlformats.org/officeDocument/2006/relationships/ctrlProp" Target="../ctrlProps/ctrlProp86.xml"/><Relationship Id="rId19" Type="http://schemas.openxmlformats.org/officeDocument/2006/relationships/ctrlProp" Target="../ctrlProps/ctrlProp95.xml"/><Relationship Id="rId31" Type="http://schemas.openxmlformats.org/officeDocument/2006/relationships/ctrlProp" Target="../ctrlProps/ctrlProp107.xml"/><Relationship Id="rId4" Type="http://schemas.openxmlformats.org/officeDocument/2006/relationships/ctrlProp" Target="../ctrlProps/ctrlProp80.xml"/><Relationship Id="rId9" Type="http://schemas.openxmlformats.org/officeDocument/2006/relationships/ctrlProp" Target="../ctrlProps/ctrlProp85.xml"/><Relationship Id="rId14" Type="http://schemas.openxmlformats.org/officeDocument/2006/relationships/ctrlProp" Target="../ctrlProps/ctrlProp90.xml"/><Relationship Id="rId22" Type="http://schemas.openxmlformats.org/officeDocument/2006/relationships/ctrlProp" Target="../ctrlProps/ctrlProp98.xml"/><Relationship Id="rId27" Type="http://schemas.openxmlformats.org/officeDocument/2006/relationships/ctrlProp" Target="../ctrlProps/ctrlProp103.xml"/><Relationship Id="rId30" Type="http://schemas.openxmlformats.org/officeDocument/2006/relationships/ctrlProp" Target="../ctrlProps/ctrlProp106.xml"/><Relationship Id="rId35" Type="http://schemas.openxmlformats.org/officeDocument/2006/relationships/ctrlProp" Target="../ctrlProps/ctrlProp111.xml"/><Relationship Id="rId8" Type="http://schemas.openxmlformats.org/officeDocument/2006/relationships/ctrlProp" Target="../ctrlProps/ctrlProp84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2.xml"/><Relationship Id="rId18" Type="http://schemas.openxmlformats.org/officeDocument/2006/relationships/ctrlProp" Target="../ctrlProps/ctrlProp127.xml"/><Relationship Id="rId26" Type="http://schemas.openxmlformats.org/officeDocument/2006/relationships/ctrlProp" Target="../ctrlProps/ctrlProp135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30.xml"/><Relationship Id="rId34" Type="http://schemas.openxmlformats.org/officeDocument/2006/relationships/ctrlProp" Target="../ctrlProps/ctrlProp143.xml"/><Relationship Id="rId7" Type="http://schemas.openxmlformats.org/officeDocument/2006/relationships/ctrlProp" Target="../ctrlProps/ctrlProp116.xml"/><Relationship Id="rId12" Type="http://schemas.openxmlformats.org/officeDocument/2006/relationships/ctrlProp" Target="../ctrlProps/ctrlProp121.xml"/><Relationship Id="rId17" Type="http://schemas.openxmlformats.org/officeDocument/2006/relationships/ctrlProp" Target="../ctrlProps/ctrlProp126.xml"/><Relationship Id="rId25" Type="http://schemas.openxmlformats.org/officeDocument/2006/relationships/ctrlProp" Target="../ctrlProps/ctrlProp134.xml"/><Relationship Id="rId33" Type="http://schemas.openxmlformats.org/officeDocument/2006/relationships/ctrlProp" Target="../ctrlProps/ctrlProp1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25.xml"/><Relationship Id="rId20" Type="http://schemas.openxmlformats.org/officeDocument/2006/relationships/ctrlProp" Target="../ctrlProps/ctrlProp129.xml"/><Relationship Id="rId29" Type="http://schemas.openxmlformats.org/officeDocument/2006/relationships/ctrlProp" Target="../ctrlProps/ctrlProp13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15.xml"/><Relationship Id="rId11" Type="http://schemas.openxmlformats.org/officeDocument/2006/relationships/ctrlProp" Target="../ctrlProps/ctrlProp120.xml"/><Relationship Id="rId24" Type="http://schemas.openxmlformats.org/officeDocument/2006/relationships/ctrlProp" Target="../ctrlProps/ctrlProp133.xml"/><Relationship Id="rId32" Type="http://schemas.openxmlformats.org/officeDocument/2006/relationships/ctrlProp" Target="../ctrlProps/ctrlProp141.xml"/><Relationship Id="rId5" Type="http://schemas.openxmlformats.org/officeDocument/2006/relationships/ctrlProp" Target="../ctrlProps/ctrlProp114.xml"/><Relationship Id="rId15" Type="http://schemas.openxmlformats.org/officeDocument/2006/relationships/ctrlProp" Target="../ctrlProps/ctrlProp124.xml"/><Relationship Id="rId23" Type="http://schemas.openxmlformats.org/officeDocument/2006/relationships/ctrlProp" Target="../ctrlProps/ctrlProp132.xml"/><Relationship Id="rId28" Type="http://schemas.openxmlformats.org/officeDocument/2006/relationships/ctrlProp" Target="../ctrlProps/ctrlProp137.xml"/><Relationship Id="rId36" Type="http://schemas.openxmlformats.org/officeDocument/2006/relationships/ctrlProp" Target="../ctrlProps/ctrlProp145.xml"/><Relationship Id="rId10" Type="http://schemas.openxmlformats.org/officeDocument/2006/relationships/ctrlProp" Target="../ctrlProps/ctrlProp119.xml"/><Relationship Id="rId19" Type="http://schemas.openxmlformats.org/officeDocument/2006/relationships/ctrlProp" Target="../ctrlProps/ctrlProp128.xml"/><Relationship Id="rId31" Type="http://schemas.openxmlformats.org/officeDocument/2006/relationships/ctrlProp" Target="../ctrlProps/ctrlProp140.xml"/><Relationship Id="rId4" Type="http://schemas.openxmlformats.org/officeDocument/2006/relationships/ctrlProp" Target="../ctrlProps/ctrlProp113.xml"/><Relationship Id="rId9" Type="http://schemas.openxmlformats.org/officeDocument/2006/relationships/ctrlProp" Target="../ctrlProps/ctrlProp118.xml"/><Relationship Id="rId14" Type="http://schemas.openxmlformats.org/officeDocument/2006/relationships/ctrlProp" Target="../ctrlProps/ctrlProp123.xml"/><Relationship Id="rId22" Type="http://schemas.openxmlformats.org/officeDocument/2006/relationships/ctrlProp" Target="../ctrlProps/ctrlProp131.xml"/><Relationship Id="rId27" Type="http://schemas.openxmlformats.org/officeDocument/2006/relationships/ctrlProp" Target="../ctrlProps/ctrlProp136.xml"/><Relationship Id="rId30" Type="http://schemas.openxmlformats.org/officeDocument/2006/relationships/ctrlProp" Target="../ctrlProps/ctrlProp139.xml"/><Relationship Id="rId35" Type="http://schemas.openxmlformats.org/officeDocument/2006/relationships/ctrlProp" Target="../ctrlProps/ctrlProp144.xml"/><Relationship Id="rId8" Type="http://schemas.openxmlformats.org/officeDocument/2006/relationships/ctrlProp" Target="../ctrlProps/ctrlProp117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55.xml"/><Relationship Id="rId18" Type="http://schemas.openxmlformats.org/officeDocument/2006/relationships/ctrlProp" Target="../ctrlProps/ctrlProp160.xml"/><Relationship Id="rId26" Type="http://schemas.openxmlformats.org/officeDocument/2006/relationships/ctrlProp" Target="../ctrlProps/ctrlProp168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63.xml"/><Relationship Id="rId34" Type="http://schemas.openxmlformats.org/officeDocument/2006/relationships/ctrlProp" Target="../ctrlProps/ctrlProp176.xml"/><Relationship Id="rId7" Type="http://schemas.openxmlformats.org/officeDocument/2006/relationships/ctrlProp" Target="../ctrlProps/ctrlProp149.xml"/><Relationship Id="rId12" Type="http://schemas.openxmlformats.org/officeDocument/2006/relationships/ctrlProp" Target="../ctrlProps/ctrlProp154.xml"/><Relationship Id="rId17" Type="http://schemas.openxmlformats.org/officeDocument/2006/relationships/ctrlProp" Target="../ctrlProps/ctrlProp159.xml"/><Relationship Id="rId25" Type="http://schemas.openxmlformats.org/officeDocument/2006/relationships/ctrlProp" Target="../ctrlProps/ctrlProp167.xml"/><Relationship Id="rId33" Type="http://schemas.openxmlformats.org/officeDocument/2006/relationships/ctrlProp" Target="../ctrlProps/ctrlProp175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58.xml"/><Relationship Id="rId20" Type="http://schemas.openxmlformats.org/officeDocument/2006/relationships/ctrlProp" Target="../ctrlProps/ctrlProp162.xml"/><Relationship Id="rId29" Type="http://schemas.openxmlformats.org/officeDocument/2006/relationships/ctrlProp" Target="../ctrlProps/ctrlProp17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8.xml"/><Relationship Id="rId11" Type="http://schemas.openxmlformats.org/officeDocument/2006/relationships/ctrlProp" Target="../ctrlProps/ctrlProp153.xml"/><Relationship Id="rId24" Type="http://schemas.openxmlformats.org/officeDocument/2006/relationships/ctrlProp" Target="../ctrlProps/ctrlProp166.xml"/><Relationship Id="rId32" Type="http://schemas.openxmlformats.org/officeDocument/2006/relationships/ctrlProp" Target="../ctrlProps/ctrlProp174.xml"/><Relationship Id="rId5" Type="http://schemas.openxmlformats.org/officeDocument/2006/relationships/ctrlProp" Target="../ctrlProps/ctrlProp147.xml"/><Relationship Id="rId15" Type="http://schemas.openxmlformats.org/officeDocument/2006/relationships/ctrlProp" Target="../ctrlProps/ctrlProp157.xml"/><Relationship Id="rId23" Type="http://schemas.openxmlformats.org/officeDocument/2006/relationships/ctrlProp" Target="../ctrlProps/ctrlProp165.xml"/><Relationship Id="rId28" Type="http://schemas.openxmlformats.org/officeDocument/2006/relationships/ctrlProp" Target="../ctrlProps/ctrlProp170.xml"/><Relationship Id="rId36" Type="http://schemas.openxmlformats.org/officeDocument/2006/relationships/ctrlProp" Target="../ctrlProps/ctrlProp178.xml"/><Relationship Id="rId10" Type="http://schemas.openxmlformats.org/officeDocument/2006/relationships/ctrlProp" Target="../ctrlProps/ctrlProp152.xml"/><Relationship Id="rId19" Type="http://schemas.openxmlformats.org/officeDocument/2006/relationships/ctrlProp" Target="../ctrlProps/ctrlProp161.xml"/><Relationship Id="rId31" Type="http://schemas.openxmlformats.org/officeDocument/2006/relationships/ctrlProp" Target="../ctrlProps/ctrlProp173.xml"/><Relationship Id="rId4" Type="http://schemas.openxmlformats.org/officeDocument/2006/relationships/ctrlProp" Target="../ctrlProps/ctrlProp146.xml"/><Relationship Id="rId9" Type="http://schemas.openxmlformats.org/officeDocument/2006/relationships/ctrlProp" Target="../ctrlProps/ctrlProp151.xml"/><Relationship Id="rId14" Type="http://schemas.openxmlformats.org/officeDocument/2006/relationships/ctrlProp" Target="../ctrlProps/ctrlProp156.xml"/><Relationship Id="rId22" Type="http://schemas.openxmlformats.org/officeDocument/2006/relationships/ctrlProp" Target="../ctrlProps/ctrlProp164.xml"/><Relationship Id="rId27" Type="http://schemas.openxmlformats.org/officeDocument/2006/relationships/ctrlProp" Target="../ctrlProps/ctrlProp169.xml"/><Relationship Id="rId30" Type="http://schemas.openxmlformats.org/officeDocument/2006/relationships/ctrlProp" Target="../ctrlProps/ctrlProp172.xml"/><Relationship Id="rId35" Type="http://schemas.openxmlformats.org/officeDocument/2006/relationships/ctrlProp" Target="../ctrlProps/ctrlProp177.xml"/><Relationship Id="rId8" Type="http://schemas.openxmlformats.org/officeDocument/2006/relationships/ctrlProp" Target="../ctrlProps/ctrlProp15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abSelected="1" workbookViewId="0">
      <selection activeCell="BI34" sqref="BI34"/>
    </sheetView>
  </sheetViews>
  <sheetFormatPr defaultColWidth="2.08984375" defaultRowHeight="15" customHeight="1" x14ac:dyDescent="0.2"/>
  <cols>
    <col min="1" max="1" width="7.26953125" style="25" customWidth="1"/>
    <col min="2" max="4" width="2.08984375" customWidth="1"/>
    <col min="5" max="5" width="3.7265625" customWidth="1"/>
    <col min="6" max="9" width="2.08984375" customWidth="1"/>
    <col min="10" max="10" width="2.36328125" customWidth="1"/>
    <col min="11" max="11" width="0.453125" customWidth="1"/>
    <col min="12" max="25" width="2.08984375" customWidth="1"/>
    <col min="26" max="26" width="0.90625" customWidth="1"/>
    <col min="27" max="27" width="2.08984375" customWidth="1"/>
    <col min="28" max="28" width="1.90625" customWidth="1"/>
    <col min="29" max="30" width="2.08984375" customWidth="1"/>
    <col min="31" max="31" width="2.6328125" customWidth="1"/>
    <col min="32" max="33" width="2.08984375" customWidth="1"/>
    <col min="34" max="34" width="1.90625" customWidth="1"/>
    <col min="35" max="35" width="3.453125" customWidth="1"/>
    <col min="36" max="36" width="1.36328125" customWidth="1"/>
    <col min="37" max="37" width="1.6328125" customWidth="1"/>
    <col min="38" max="38" width="2.453125" customWidth="1"/>
    <col min="39" max="39" width="2.26953125" customWidth="1"/>
    <col min="40" max="40" width="1.08984375" customWidth="1"/>
    <col min="41" max="41" width="2.08984375" customWidth="1"/>
    <col min="42" max="42" width="2.36328125" customWidth="1"/>
    <col min="43" max="45" width="2.08984375" customWidth="1"/>
    <col min="46" max="46" width="0.90625" customWidth="1"/>
    <col min="47" max="82" width="2.08984375" customWidth="1"/>
    <col min="83" max="83" width="5.08984375" customWidth="1"/>
    <col min="84" max="103" width="2.08984375" customWidth="1"/>
    <col min="104" max="104" width="2.7265625" customWidth="1"/>
    <col min="105" max="115" width="2.08984375" customWidth="1"/>
    <col min="116" max="116" width="7.36328125" customWidth="1"/>
    <col min="117" max="121" width="2.08984375" customWidth="1"/>
    <col min="122" max="122" width="10.7265625" customWidth="1"/>
    <col min="123" max="157" width="2.08984375" customWidth="1"/>
    <col min="158" max="158" width="5.26953125" bestFit="1" customWidth="1"/>
    <col min="159" max="159" width="7.90625" bestFit="1" customWidth="1"/>
    <col min="160" max="160" width="31.453125" bestFit="1" customWidth="1"/>
    <col min="161" max="162" width="6" bestFit="1" customWidth="1"/>
    <col min="163" max="163" width="8.7265625" customWidth="1"/>
    <col min="164" max="164" width="9.7265625" customWidth="1"/>
    <col min="165" max="165" width="8.7265625" customWidth="1"/>
  </cols>
  <sheetData>
    <row r="1" spans="1:78" ht="57.75" customHeight="1" x14ac:dyDescent="0.2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2">
      <c r="A2" s="26"/>
      <c r="E2" s="3"/>
      <c r="F2" s="3"/>
      <c r="G2" s="67"/>
      <c r="H2" s="3"/>
      <c r="I2" s="68"/>
      <c r="J2" s="68"/>
      <c r="L2" s="60"/>
      <c r="M2" s="91" t="s">
        <v>78</v>
      </c>
      <c r="N2" s="91"/>
      <c r="O2" s="91"/>
      <c r="P2" s="91"/>
      <c r="Q2" s="91"/>
      <c r="R2" s="91"/>
      <c r="W2" s="4"/>
      <c r="X2" s="4"/>
      <c r="Y2" s="4"/>
      <c r="Z2" s="4"/>
      <c r="AA2" s="107" t="s">
        <v>47</v>
      </c>
      <c r="AB2" s="107"/>
      <c r="AC2" s="107"/>
      <c r="AD2" s="107"/>
      <c r="AE2" s="107"/>
      <c r="AF2" s="107"/>
      <c r="AG2" s="107"/>
      <c r="AH2" s="107"/>
      <c r="AI2" s="107"/>
      <c r="AJ2" s="107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2">
      <c r="A3" s="26"/>
      <c r="E3" s="94" t="s">
        <v>172</v>
      </c>
      <c r="F3" s="94"/>
      <c r="G3" s="94"/>
      <c r="H3" s="94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L3" s="5" t="s">
        <v>0</v>
      </c>
      <c r="AM3" s="5"/>
      <c r="AN3" s="90" t="s">
        <v>179</v>
      </c>
      <c r="AO3" s="90"/>
      <c r="AP3" s="90"/>
      <c r="AQ3" s="90"/>
      <c r="AR3" s="90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2">
      <c r="A4" s="26"/>
      <c r="D4" s="92" t="s">
        <v>173</v>
      </c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2">
      <c r="A5" s="26"/>
      <c r="D5" s="92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2">
      <c r="A6" s="26"/>
      <c r="D6" s="7"/>
      <c r="E6" s="7"/>
      <c r="F6" s="108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105</v>
      </c>
      <c r="AH6" s="12"/>
      <c r="AI6" s="112">
        <v>5</v>
      </c>
      <c r="AJ6" s="112"/>
      <c r="AK6" s="112"/>
      <c r="AL6" s="9" t="s">
        <v>1</v>
      </c>
      <c r="AM6" s="112">
        <v>9</v>
      </c>
      <c r="AN6" s="112"/>
      <c r="AO6" s="9" t="s">
        <v>2</v>
      </c>
      <c r="AP6" s="112">
        <v>15</v>
      </c>
      <c r="AQ6" s="112"/>
      <c r="AR6" s="31" t="s">
        <v>98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2">
      <c r="A7" s="26"/>
      <c r="D7" s="110" t="s">
        <v>174</v>
      </c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09" t="s">
        <v>55</v>
      </c>
      <c r="U7" s="109"/>
      <c r="V7" s="109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2">
      <c r="A8" s="26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09"/>
      <c r="U8" s="109"/>
      <c r="V8" s="109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2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2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2">
      <c r="A11" s="26"/>
      <c r="D11" s="73" t="s">
        <v>4</v>
      </c>
      <c r="E11" s="74"/>
      <c r="F11" s="74"/>
      <c r="G11" s="74"/>
      <c r="H11" s="97" t="s">
        <v>168</v>
      </c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2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2">
      <c r="A13" s="26"/>
      <c r="D13" s="73" t="s">
        <v>5</v>
      </c>
      <c r="E13" s="74"/>
      <c r="F13" s="74"/>
      <c r="G13" s="74"/>
      <c r="H13" s="95" t="s">
        <v>171</v>
      </c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74"/>
      <c r="Z13" s="78"/>
      <c r="AA13" s="78"/>
      <c r="AB13" s="116" t="s">
        <v>57</v>
      </c>
      <c r="AC13" s="116"/>
      <c r="AD13" s="116"/>
      <c r="AE13" s="117" t="s">
        <v>83</v>
      </c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2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2">
      <c r="A15" s="26"/>
      <c r="D15" s="73" t="s">
        <v>6</v>
      </c>
      <c r="E15" s="74"/>
      <c r="F15" s="74"/>
      <c r="G15" s="74"/>
      <c r="I15" s="81" t="s">
        <v>170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18" t="s">
        <v>58</v>
      </c>
      <c r="AC15" s="118"/>
      <c r="AD15" s="118"/>
      <c r="AE15" s="117" t="s">
        <v>84</v>
      </c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2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2">
      <c r="A17" s="26"/>
      <c r="B17" s="30"/>
      <c r="D17" s="79"/>
      <c r="E17" s="5" t="s">
        <v>94</v>
      </c>
      <c r="F17" s="5"/>
      <c r="G17" s="5" t="s">
        <v>104</v>
      </c>
      <c r="H17" s="5"/>
      <c r="I17" s="5"/>
      <c r="J17" s="90" t="s">
        <v>100</v>
      </c>
      <c r="K17" s="90"/>
      <c r="L17" s="90"/>
      <c r="M17" s="5"/>
      <c r="N17" s="90" t="s">
        <v>99</v>
      </c>
      <c r="O17" s="90"/>
      <c r="P17" s="5"/>
      <c r="Q17" s="90"/>
      <c r="R17" s="90"/>
      <c r="S17" s="5"/>
      <c r="T17" s="5"/>
      <c r="U17" s="5"/>
      <c r="W17" s="78"/>
      <c r="X17" s="30"/>
      <c r="AB17" s="79" t="s">
        <v>7</v>
      </c>
      <c r="AC17" s="79"/>
      <c r="AD17" s="79"/>
      <c r="AE17" s="79"/>
      <c r="AF17" s="95" t="s">
        <v>101</v>
      </c>
      <c r="AG17" s="95"/>
      <c r="AH17" s="95"/>
      <c r="AI17" s="95"/>
      <c r="AJ17" s="95"/>
      <c r="AK17" s="95"/>
      <c r="AL17" s="95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2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35">
      <c r="A19" s="26"/>
      <c r="B19" s="78"/>
      <c r="C19" s="78"/>
      <c r="D19" s="78"/>
      <c r="E19" s="78"/>
      <c r="F19" s="78"/>
      <c r="G19" s="78"/>
      <c r="H19" s="78"/>
      <c r="I19" s="78"/>
      <c r="J19" s="217">
        <f>H39</f>
        <v>10628420</v>
      </c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78"/>
      <c r="W19" s="78"/>
      <c r="AB19" s="98"/>
      <c r="AC19" s="99"/>
      <c r="AD19" s="99"/>
      <c r="AE19" s="99"/>
      <c r="AF19" s="100"/>
      <c r="AG19" s="98"/>
      <c r="AH19" s="99"/>
      <c r="AI19" s="99"/>
      <c r="AJ19" s="99"/>
      <c r="AK19" s="100"/>
      <c r="AL19" s="98"/>
      <c r="AM19" s="99"/>
      <c r="AN19" s="99"/>
      <c r="AO19" s="99"/>
      <c r="AP19" s="100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2">
      <c r="A20" s="26"/>
      <c r="B20" s="78"/>
      <c r="C20" s="78"/>
      <c r="D20" s="218" t="s">
        <v>102</v>
      </c>
      <c r="E20" s="218"/>
      <c r="F20" s="218"/>
      <c r="G20" s="218"/>
      <c r="H20" s="218"/>
      <c r="I20" s="218"/>
      <c r="J20" s="219">
        <f>H39</f>
        <v>10628420</v>
      </c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78"/>
      <c r="W20" s="78"/>
      <c r="AB20" s="101"/>
      <c r="AC20" s="102"/>
      <c r="AD20" s="102"/>
      <c r="AE20" s="102"/>
      <c r="AF20" s="103"/>
      <c r="AG20" s="101"/>
      <c r="AH20" s="102"/>
      <c r="AI20" s="102"/>
      <c r="AJ20" s="102"/>
      <c r="AK20" s="103"/>
      <c r="AL20" s="101"/>
      <c r="AM20" s="102"/>
      <c r="AN20" s="102"/>
      <c r="AO20" s="102"/>
      <c r="AP20" s="103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5" customHeight="1" thickBot="1" x14ac:dyDescent="0.25">
      <c r="A21" s="26"/>
      <c r="B21" s="78"/>
      <c r="C21" s="78"/>
      <c r="D21" s="220"/>
      <c r="E21" s="220"/>
      <c r="F21" s="220"/>
      <c r="G21" s="220"/>
      <c r="H21" s="220"/>
      <c r="I21" s="220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78"/>
      <c r="W21" s="78"/>
      <c r="AB21" s="101"/>
      <c r="AC21" s="102"/>
      <c r="AD21" s="102"/>
      <c r="AE21" s="102"/>
      <c r="AF21" s="103"/>
      <c r="AG21" s="101"/>
      <c r="AH21" s="102"/>
      <c r="AI21" s="102"/>
      <c r="AJ21" s="102"/>
      <c r="AK21" s="103"/>
      <c r="AL21" s="101"/>
      <c r="AM21" s="102"/>
      <c r="AN21" s="102"/>
      <c r="AO21" s="102"/>
      <c r="AP21" s="103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2">
      <c r="A22" s="26"/>
      <c r="B22" s="113" t="s">
        <v>165</v>
      </c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78"/>
      <c r="AB22" s="104"/>
      <c r="AC22" s="105"/>
      <c r="AD22" s="105"/>
      <c r="AE22" s="105"/>
      <c r="AF22" s="106"/>
      <c r="AG22" s="104"/>
      <c r="AH22" s="105"/>
      <c r="AI22" s="105"/>
      <c r="AJ22" s="105"/>
      <c r="AK22" s="106"/>
      <c r="AL22" s="104"/>
      <c r="AM22" s="105"/>
      <c r="AN22" s="105"/>
      <c r="AO22" s="105"/>
      <c r="AP22" s="106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5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2">
      <c r="A24" s="26"/>
      <c r="B24" s="145" t="s">
        <v>9</v>
      </c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7"/>
      <c r="T24" s="84" t="s">
        <v>10</v>
      </c>
      <c r="U24" s="85"/>
      <c r="V24" s="85"/>
      <c r="W24" s="85"/>
      <c r="X24" s="85"/>
      <c r="Y24" s="85"/>
      <c r="Z24" s="86"/>
      <c r="AA24" s="84" t="s">
        <v>103</v>
      </c>
      <c r="AB24" s="85"/>
      <c r="AC24" s="85"/>
      <c r="AD24" s="85"/>
      <c r="AE24" s="85"/>
      <c r="AF24" s="84" t="s">
        <v>12</v>
      </c>
      <c r="AG24" s="85"/>
      <c r="AH24" s="85"/>
      <c r="AI24" s="85"/>
      <c r="AJ24" s="85"/>
      <c r="AK24" s="85"/>
      <c r="AL24" s="86"/>
      <c r="AM24" s="84" t="s">
        <v>13</v>
      </c>
      <c r="AN24" s="85"/>
      <c r="AO24" s="85"/>
      <c r="AP24" s="85"/>
      <c r="AQ24" s="85"/>
      <c r="AR24" s="85"/>
      <c r="AS24" s="143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2">
      <c r="A25" s="26"/>
      <c r="B25" s="148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50"/>
      <c r="T25" s="87"/>
      <c r="U25" s="88"/>
      <c r="V25" s="88"/>
      <c r="W25" s="88"/>
      <c r="X25" s="88"/>
      <c r="Y25" s="88"/>
      <c r="Z25" s="89"/>
      <c r="AA25" s="87"/>
      <c r="AB25" s="88"/>
      <c r="AC25" s="88"/>
      <c r="AD25" s="88"/>
      <c r="AE25" s="88"/>
      <c r="AF25" s="87"/>
      <c r="AG25" s="88"/>
      <c r="AH25" s="88"/>
      <c r="AI25" s="88"/>
      <c r="AJ25" s="88"/>
      <c r="AK25" s="88"/>
      <c r="AL25" s="89"/>
      <c r="AM25" s="87"/>
      <c r="AN25" s="88"/>
      <c r="AO25" s="88"/>
      <c r="AP25" s="88"/>
      <c r="AQ25" s="88"/>
      <c r="AR25" s="88"/>
      <c r="AS25" s="144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5" customHeight="1" x14ac:dyDescent="0.2">
      <c r="A26" s="26"/>
      <c r="B26" s="135" t="s">
        <v>163</v>
      </c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7"/>
      <c r="T26" s="122">
        <v>1</v>
      </c>
      <c r="U26" s="123"/>
      <c r="V26" s="123"/>
      <c r="W26" s="123"/>
      <c r="X26" s="138" t="s">
        <v>22</v>
      </c>
      <c r="Y26" s="138"/>
      <c r="Z26" s="139"/>
      <c r="AA26" s="122">
        <v>2480000</v>
      </c>
      <c r="AB26" s="123"/>
      <c r="AC26" s="123"/>
      <c r="AD26" s="123"/>
      <c r="AE26" s="124"/>
      <c r="AF26" s="122">
        <f t="shared" ref="AF26:AF37" si="0">IF(T26="",1*AA26,T26*AA26)</f>
        <v>2480000</v>
      </c>
      <c r="AG26" s="123"/>
      <c r="AH26" s="123"/>
      <c r="AI26" s="123"/>
      <c r="AJ26" s="123"/>
      <c r="AK26" s="123"/>
      <c r="AL26" s="124"/>
      <c r="AM26" s="140"/>
      <c r="AN26" s="141"/>
      <c r="AO26" s="141"/>
      <c r="AP26" s="141"/>
      <c r="AQ26" s="141"/>
      <c r="AR26" s="141"/>
      <c r="AS26" s="142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5" customHeight="1" x14ac:dyDescent="0.2">
      <c r="A27" s="26"/>
      <c r="B27" s="135" t="s">
        <v>176</v>
      </c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7"/>
      <c r="T27" s="122">
        <v>1</v>
      </c>
      <c r="U27" s="123"/>
      <c r="V27" s="123"/>
      <c r="W27" s="123"/>
      <c r="X27" s="138" t="s">
        <v>22</v>
      </c>
      <c r="Y27" s="138"/>
      <c r="Z27" s="139"/>
      <c r="AA27" s="122">
        <v>2980000</v>
      </c>
      <c r="AB27" s="123"/>
      <c r="AC27" s="123"/>
      <c r="AD27" s="123"/>
      <c r="AE27" s="124"/>
      <c r="AF27" s="122">
        <f t="shared" ref="AF27" si="1">IF(T27="",1*AA27,T27*AA27)</f>
        <v>2980000</v>
      </c>
      <c r="AG27" s="123"/>
      <c r="AH27" s="123"/>
      <c r="AI27" s="123"/>
      <c r="AJ27" s="123"/>
      <c r="AK27" s="123"/>
      <c r="AL27" s="124"/>
      <c r="AM27" s="140"/>
      <c r="AN27" s="141"/>
      <c r="AO27" s="141"/>
      <c r="AP27" s="141"/>
      <c r="AQ27" s="141"/>
      <c r="AR27" s="141"/>
      <c r="AS27" s="142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5" customHeight="1" x14ac:dyDescent="0.2">
      <c r="A28" s="26"/>
      <c r="B28" s="135" t="s">
        <v>177</v>
      </c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7"/>
      <c r="T28" s="122">
        <v>1</v>
      </c>
      <c r="U28" s="123"/>
      <c r="V28" s="123"/>
      <c r="W28" s="123"/>
      <c r="X28" s="138" t="s">
        <v>22</v>
      </c>
      <c r="Y28" s="138"/>
      <c r="Z28" s="139"/>
      <c r="AA28" s="122">
        <v>3980000</v>
      </c>
      <c r="AB28" s="123"/>
      <c r="AC28" s="123"/>
      <c r="AD28" s="123"/>
      <c r="AE28" s="124"/>
      <c r="AF28" s="122">
        <f>IF(T28="",1*AA28,T28*AA28)</f>
        <v>3980000</v>
      </c>
      <c r="AG28" s="123"/>
      <c r="AH28" s="123"/>
      <c r="AI28" s="123"/>
      <c r="AJ28" s="123"/>
      <c r="AK28" s="123"/>
      <c r="AL28" s="124"/>
      <c r="AM28" s="140"/>
      <c r="AN28" s="141"/>
      <c r="AO28" s="141"/>
      <c r="AP28" s="141"/>
      <c r="AQ28" s="141"/>
      <c r="AR28" s="141"/>
      <c r="AS28" s="142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5" customHeight="1" x14ac:dyDescent="0.2">
      <c r="A29" s="26"/>
      <c r="B29" s="135" t="s">
        <v>175</v>
      </c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7"/>
      <c r="T29" s="122">
        <v>1</v>
      </c>
      <c r="U29" s="123"/>
      <c r="V29" s="123"/>
      <c r="W29" s="123"/>
      <c r="X29" s="138" t="s">
        <v>22</v>
      </c>
      <c r="Y29" s="138"/>
      <c r="Z29" s="139"/>
      <c r="AA29" s="122">
        <v>115200</v>
      </c>
      <c r="AB29" s="123"/>
      <c r="AC29" s="123"/>
      <c r="AD29" s="123"/>
      <c r="AE29" s="124"/>
      <c r="AF29" s="122">
        <f t="shared" ref="AF29" si="2">IF(T29="",1*AA29,T29*AA29)</f>
        <v>115200</v>
      </c>
      <c r="AG29" s="123"/>
      <c r="AH29" s="123"/>
      <c r="AI29" s="123"/>
      <c r="AJ29" s="123"/>
      <c r="AK29" s="123"/>
      <c r="AL29" s="124"/>
      <c r="AM29" s="140"/>
      <c r="AN29" s="141"/>
      <c r="AO29" s="141"/>
      <c r="AP29" s="141"/>
      <c r="AQ29" s="141"/>
      <c r="AR29" s="141"/>
      <c r="AS29" s="142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5" customHeight="1" x14ac:dyDescent="0.2">
      <c r="A30" s="26"/>
      <c r="B30" s="135" t="s">
        <v>108</v>
      </c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7"/>
      <c r="T30" s="122">
        <v>1</v>
      </c>
      <c r="U30" s="123"/>
      <c r="V30" s="123"/>
      <c r="W30" s="123"/>
      <c r="X30" s="138" t="s">
        <v>22</v>
      </c>
      <c r="Y30" s="138"/>
      <c r="Z30" s="139"/>
      <c r="AA30" s="122"/>
      <c r="AB30" s="123"/>
      <c r="AC30" s="123"/>
      <c r="AD30" s="123"/>
      <c r="AE30" s="124"/>
      <c r="AF30" s="122">
        <f t="shared" ref="AF30" si="3">IF(T30="",1*AA30,T30*AA30)</f>
        <v>0</v>
      </c>
      <c r="AG30" s="123"/>
      <c r="AH30" s="123"/>
      <c r="AI30" s="123"/>
      <c r="AJ30" s="123"/>
      <c r="AK30" s="123"/>
      <c r="AL30" s="124"/>
      <c r="AM30" s="140"/>
      <c r="AN30" s="141"/>
      <c r="AO30" s="141"/>
      <c r="AP30" s="141"/>
      <c r="AQ30" s="141"/>
      <c r="AR30" s="141"/>
      <c r="AS30" s="142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5" customHeight="1" x14ac:dyDescent="0.2">
      <c r="A31" s="26"/>
      <c r="B31" s="135" t="s">
        <v>109</v>
      </c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7"/>
      <c r="T31" s="122">
        <v>1</v>
      </c>
      <c r="U31" s="123"/>
      <c r="V31" s="123"/>
      <c r="W31" s="123"/>
      <c r="X31" s="138" t="s">
        <v>22</v>
      </c>
      <c r="Y31" s="138"/>
      <c r="Z31" s="139"/>
      <c r="AA31" s="122"/>
      <c r="AB31" s="123"/>
      <c r="AC31" s="123"/>
      <c r="AD31" s="123"/>
      <c r="AE31" s="124"/>
      <c r="AF31" s="122">
        <f t="shared" ref="AF31:AF32" si="4">IF(T31="",1*AA31,T31*AA31)</f>
        <v>0</v>
      </c>
      <c r="AG31" s="123"/>
      <c r="AH31" s="123"/>
      <c r="AI31" s="123"/>
      <c r="AJ31" s="123"/>
      <c r="AK31" s="123"/>
      <c r="AL31" s="124"/>
      <c r="AM31" s="140"/>
      <c r="AN31" s="141"/>
      <c r="AO31" s="141"/>
      <c r="AP31" s="141"/>
      <c r="AQ31" s="141"/>
      <c r="AR31" s="141"/>
      <c r="AS31" s="142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5" customHeight="1" x14ac:dyDescent="0.2">
      <c r="A32" s="26"/>
      <c r="B32" s="135" t="s">
        <v>110</v>
      </c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7"/>
      <c r="T32" s="122">
        <v>1</v>
      </c>
      <c r="U32" s="123"/>
      <c r="V32" s="123"/>
      <c r="W32" s="123"/>
      <c r="X32" s="138" t="s">
        <v>35</v>
      </c>
      <c r="Y32" s="138"/>
      <c r="Z32" s="139"/>
      <c r="AA32" s="122"/>
      <c r="AB32" s="123"/>
      <c r="AC32" s="123"/>
      <c r="AD32" s="123"/>
      <c r="AE32" s="124"/>
      <c r="AF32" s="122">
        <f t="shared" si="4"/>
        <v>0</v>
      </c>
      <c r="AG32" s="123"/>
      <c r="AH32" s="123"/>
      <c r="AI32" s="123"/>
      <c r="AJ32" s="123"/>
      <c r="AK32" s="123"/>
      <c r="AL32" s="124"/>
      <c r="AM32" s="119"/>
      <c r="AN32" s="120"/>
      <c r="AO32" s="120"/>
      <c r="AP32" s="120"/>
      <c r="AQ32" s="120"/>
      <c r="AR32" s="120"/>
      <c r="AS32" s="12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5" customHeight="1" x14ac:dyDescent="0.2">
      <c r="A33" s="26"/>
      <c r="B33" s="135" t="s">
        <v>111</v>
      </c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7"/>
      <c r="T33" s="122">
        <v>1</v>
      </c>
      <c r="U33" s="123"/>
      <c r="V33" s="123"/>
      <c r="W33" s="123"/>
      <c r="X33" s="138" t="s">
        <v>35</v>
      </c>
      <c r="Y33" s="138"/>
      <c r="Z33" s="139"/>
      <c r="AA33" s="122"/>
      <c r="AB33" s="123"/>
      <c r="AC33" s="123"/>
      <c r="AD33" s="123"/>
      <c r="AE33" s="124"/>
      <c r="AF33" s="122">
        <f>IF(T33="",1*AA33,T33*AA33)</f>
        <v>0</v>
      </c>
      <c r="AG33" s="123"/>
      <c r="AH33" s="123"/>
      <c r="AI33" s="123"/>
      <c r="AJ33" s="123"/>
      <c r="AK33" s="123"/>
      <c r="AL33" s="124"/>
      <c r="AM33" s="119"/>
      <c r="AN33" s="120"/>
      <c r="AO33" s="120"/>
      <c r="AP33" s="120"/>
      <c r="AQ33" s="120"/>
      <c r="AR33" s="120"/>
      <c r="AS33" s="12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5" customHeight="1" x14ac:dyDescent="0.2">
      <c r="A34" s="26"/>
      <c r="B34" s="135" t="s">
        <v>112</v>
      </c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7"/>
      <c r="T34" s="122">
        <v>1</v>
      </c>
      <c r="U34" s="123"/>
      <c r="V34" s="123"/>
      <c r="W34" s="123"/>
      <c r="X34" s="138" t="s">
        <v>21</v>
      </c>
      <c r="Y34" s="138"/>
      <c r="Z34" s="139"/>
      <c r="AA34" s="122"/>
      <c r="AB34" s="123"/>
      <c r="AC34" s="123"/>
      <c r="AD34" s="123"/>
      <c r="AE34" s="124"/>
      <c r="AF34" s="122">
        <f>IF(T34="",1*AA34,T34*AA34)</f>
        <v>0</v>
      </c>
      <c r="AG34" s="123"/>
      <c r="AH34" s="123"/>
      <c r="AI34" s="123"/>
      <c r="AJ34" s="123"/>
      <c r="AK34" s="123"/>
      <c r="AL34" s="124"/>
      <c r="AM34" s="119"/>
      <c r="AN34" s="120"/>
      <c r="AO34" s="120"/>
      <c r="AP34" s="120"/>
      <c r="AQ34" s="120"/>
      <c r="AR34" s="120"/>
      <c r="AS34" s="12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5" customHeight="1" x14ac:dyDescent="0.2">
      <c r="A35" s="26"/>
      <c r="B35" s="135" t="s">
        <v>164</v>
      </c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7"/>
      <c r="T35" s="122">
        <v>1</v>
      </c>
      <c r="U35" s="123"/>
      <c r="V35" s="123"/>
      <c r="W35" s="123"/>
      <c r="X35" s="138" t="s">
        <v>19</v>
      </c>
      <c r="Y35" s="138"/>
      <c r="Z35" s="139"/>
      <c r="AA35" s="122"/>
      <c r="AB35" s="123"/>
      <c r="AC35" s="123"/>
      <c r="AD35" s="123"/>
      <c r="AE35" s="124"/>
      <c r="AF35" s="122">
        <f>IF(T35="",1*AA35,T35*AA35)</f>
        <v>0</v>
      </c>
      <c r="AG35" s="123"/>
      <c r="AH35" s="123"/>
      <c r="AI35" s="123"/>
      <c r="AJ35" s="123"/>
      <c r="AK35" s="123"/>
      <c r="AL35" s="124"/>
      <c r="AM35" s="119"/>
      <c r="AN35" s="120"/>
      <c r="AO35" s="120"/>
      <c r="AP35" s="120"/>
      <c r="AQ35" s="120"/>
      <c r="AR35" s="120"/>
      <c r="AS35" s="12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5" customHeight="1" x14ac:dyDescent="0.2">
      <c r="A36" s="26"/>
      <c r="B36" s="135" t="s">
        <v>169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7"/>
      <c r="T36" s="122">
        <v>1</v>
      </c>
      <c r="U36" s="123"/>
      <c r="V36" s="123"/>
      <c r="W36" s="123"/>
      <c r="X36" s="138" t="s">
        <v>22</v>
      </c>
      <c r="Y36" s="138"/>
      <c r="Z36" s="139"/>
      <c r="AA36" s="122">
        <v>85000</v>
      </c>
      <c r="AB36" s="123"/>
      <c r="AC36" s="123"/>
      <c r="AD36" s="123"/>
      <c r="AE36" s="124"/>
      <c r="AF36" s="122">
        <f t="shared" si="0"/>
        <v>85000</v>
      </c>
      <c r="AG36" s="123"/>
      <c r="AH36" s="123"/>
      <c r="AI36" s="123"/>
      <c r="AJ36" s="123"/>
      <c r="AK36" s="123"/>
      <c r="AL36" s="124"/>
      <c r="AM36" s="119"/>
      <c r="AN36" s="120"/>
      <c r="AO36" s="120"/>
      <c r="AP36" s="120"/>
      <c r="AQ36" s="120"/>
      <c r="AR36" s="120"/>
      <c r="AS36" s="12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5" customHeight="1" x14ac:dyDescent="0.2">
      <c r="A37" s="26"/>
      <c r="B37" s="135" t="s">
        <v>113</v>
      </c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7"/>
      <c r="T37" s="122">
        <v>1</v>
      </c>
      <c r="U37" s="123"/>
      <c r="V37" s="123"/>
      <c r="W37" s="123"/>
      <c r="X37" s="138" t="s">
        <v>22</v>
      </c>
      <c r="Y37" s="138"/>
      <c r="Z37" s="139"/>
      <c r="AA37" s="122">
        <v>22000</v>
      </c>
      <c r="AB37" s="123"/>
      <c r="AC37" s="123"/>
      <c r="AD37" s="123"/>
      <c r="AE37" s="124"/>
      <c r="AF37" s="122">
        <f t="shared" si="0"/>
        <v>22000</v>
      </c>
      <c r="AG37" s="123"/>
      <c r="AH37" s="123"/>
      <c r="AI37" s="123"/>
      <c r="AJ37" s="123"/>
      <c r="AK37" s="123"/>
      <c r="AL37" s="124"/>
      <c r="AM37" s="119"/>
      <c r="AN37" s="120"/>
      <c r="AO37" s="120"/>
      <c r="AP37" s="120"/>
      <c r="AQ37" s="120"/>
      <c r="AR37" s="120"/>
      <c r="AS37" s="12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5" customHeight="1" x14ac:dyDescent="0.2">
      <c r="A38" s="26"/>
      <c r="B38" s="164" t="s">
        <v>106</v>
      </c>
      <c r="C38" s="165"/>
      <c r="D38" s="165"/>
      <c r="E38" s="165"/>
      <c r="F38" s="165"/>
      <c r="G38" s="166"/>
      <c r="H38" s="222">
        <f>AA38*0.1</f>
        <v>966220</v>
      </c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224"/>
      <c r="T38" s="167" t="s">
        <v>15</v>
      </c>
      <c r="U38" s="165"/>
      <c r="V38" s="165"/>
      <c r="W38" s="165"/>
      <c r="X38" s="165"/>
      <c r="Y38" s="165"/>
      <c r="Z38" s="166"/>
      <c r="AA38" s="225">
        <f>SUM(AF26:AL37)</f>
        <v>9662200</v>
      </c>
      <c r="AB38" s="226"/>
      <c r="AC38" s="226"/>
      <c r="AD38" s="226"/>
      <c r="AE38" s="226"/>
      <c r="AF38" s="226"/>
      <c r="AG38" s="226"/>
      <c r="AH38" s="226"/>
      <c r="AI38" s="226"/>
      <c r="AJ38" s="226"/>
      <c r="AK38" s="226"/>
      <c r="AL38" s="227"/>
      <c r="AM38" s="131"/>
      <c r="AN38" s="132"/>
      <c r="AO38" s="132"/>
      <c r="AP38" s="132"/>
      <c r="AQ38" s="132"/>
      <c r="AR38" s="132"/>
      <c r="AS38" s="133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5" customHeight="1" thickBot="1" x14ac:dyDescent="0.25">
      <c r="A39" s="26"/>
      <c r="B39" s="151" t="s">
        <v>8</v>
      </c>
      <c r="C39" s="152"/>
      <c r="D39" s="152"/>
      <c r="E39" s="152"/>
      <c r="F39" s="152"/>
      <c r="G39" s="153"/>
      <c r="H39" s="228">
        <f>CK115+H38</f>
        <v>10628420</v>
      </c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29"/>
      <c r="AA39" s="229"/>
      <c r="AB39" s="229"/>
      <c r="AC39" s="229"/>
      <c r="AD39" s="229"/>
      <c r="AE39" s="229"/>
      <c r="AF39" s="229"/>
      <c r="AG39" s="229"/>
      <c r="AH39" s="229"/>
      <c r="AI39" s="229"/>
      <c r="AJ39" s="229"/>
      <c r="AK39" s="229"/>
      <c r="AL39" s="230"/>
      <c r="AM39" s="125"/>
      <c r="AN39" s="126"/>
      <c r="AO39" s="126"/>
      <c r="AP39" s="126"/>
      <c r="AQ39" s="126"/>
      <c r="AR39" s="126"/>
      <c r="AS39" s="127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2">
      <c r="A40" s="26"/>
      <c r="B40" s="154" t="s">
        <v>16</v>
      </c>
      <c r="C40" s="155"/>
      <c r="D40" s="155"/>
      <c r="E40" s="156" t="s">
        <v>107</v>
      </c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7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49999999999999" customHeight="1" x14ac:dyDescent="0.2">
      <c r="A41" s="26"/>
      <c r="B41" s="161" t="s">
        <v>114</v>
      </c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3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49999999999999" customHeight="1" thickBot="1" x14ac:dyDescent="0.25">
      <c r="A42" s="26"/>
      <c r="B42" s="158" t="s">
        <v>178</v>
      </c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60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49999999999999" customHeight="1" thickTop="1" x14ac:dyDescent="0.2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2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2"/>
      <c r="O44" s="172"/>
      <c r="P44" s="172"/>
      <c r="Q44" s="172"/>
      <c r="R44" s="172"/>
      <c r="S44" s="172"/>
      <c r="T44" s="172"/>
      <c r="U44" s="172"/>
      <c r="V44" s="172"/>
      <c r="W44" s="1"/>
      <c r="X44" s="51"/>
      <c r="Y44" s="16"/>
      <c r="Z44" s="15"/>
      <c r="AA44" s="15"/>
      <c r="AB44" s="171"/>
      <c r="AC44" s="171"/>
      <c r="AD44" s="17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2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68"/>
      <c r="O45" s="168"/>
      <c r="P45" s="169"/>
      <c r="Q45" s="169"/>
      <c r="R45" s="169"/>
      <c r="S45" s="169"/>
      <c r="T45" s="169"/>
      <c r="U45" s="169"/>
      <c r="V45" s="169"/>
      <c r="W45" s="1"/>
      <c r="X45" s="53"/>
      <c r="Y45" s="54"/>
      <c r="Z45" s="15"/>
      <c r="AA45" s="15"/>
      <c r="AB45" s="170"/>
      <c r="AC45" s="170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2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68"/>
      <c r="O46" s="168"/>
      <c r="P46" s="169"/>
      <c r="Q46" s="169"/>
      <c r="R46" s="169"/>
      <c r="S46" s="169"/>
      <c r="T46" s="169"/>
      <c r="U46" s="169"/>
      <c r="V46" s="169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2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68"/>
      <c r="O47" s="168"/>
      <c r="P47" s="169"/>
      <c r="Q47" s="169"/>
      <c r="R47" s="169"/>
      <c r="S47" s="169"/>
      <c r="T47" s="169"/>
      <c r="U47" s="169"/>
      <c r="V47" s="169"/>
      <c r="W47" s="1"/>
      <c r="X47" s="53"/>
      <c r="Y47" s="54"/>
      <c r="Z47" s="15"/>
      <c r="AA47" s="171"/>
      <c r="AB47" s="171"/>
      <c r="AC47" s="171"/>
      <c r="AD47" s="171"/>
      <c r="AE47" s="17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2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68"/>
      <c r="O48" s="168"/>
      <c r="P48" s="169"/>
      <c r="Q48" s="169"/>
      <c r="R48" s="169"/>
      <c r="S48" s="169"/>
      <c r="T48" s="169"/>
      <c r="U48" s="169"/>
      <c r="V48" s="169"/>
      <c r="W48" s="1"/>
      <c r="X48" s="53"/>
      <c r="Y48" s="54"/>
      <c r="Z48" s="15"/>
      <c r="AA48" s="56"/>
      <c r="AB48" s="170"/>
      <c r="AC48" s="170"/>
      <c r="AD48" s="170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2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68"/>
      <c r="O49" s="168"/>
      <c r="P49" s="169"/>
      <c r="Q49" s="169"/>
      <c r="R49" s="169"/>
      <c r="S49" s="169"/>
      <c r="T49" s="169"/>
      <c r="U49" s="169"/>
      <c r="V49" s="169"/>
      <c r="W49" s="1"/>
      <c r="X49" s="53"/>
      <c r="Y49" s="54"/>
      <c r="Z49" s="15"/>
      <c r="AA49" s="56"/>
      <c r="AB49" s="170"/>
      <c r="AC49" s="170"/>
      <c r="AD49" s="170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2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68"/>
      <c r="O50" s="168"/>
      <c r="P50" s="169"/>
      <c r="Q50" s="169"/>
      <c r="R50" s="169"/>
      <c r="S50" s="169"/>
      <c r="T50" s="169"/>
      <c r="U50" s="169"/>
      <c r="V50" s="169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2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68"/>
      <c r="O51" s="168"/>
      <c r="P51" s="169"/>
      <c r="Q51" s="169"/>
      <c r="R51" s="169"/>
      <c r="S51" s="169"/>
      <c r="T51" s="169"/>
      <c r="U51" s="169"/>
      <c r="V51" s="169"/>
      <c r="W51" s="1"/>
      <c r="X51" s="53"/>
      <c r="Y51" s="53"/>
      <c r="Z51" s="15"/>
      <c r="AA51" s="130"/>
      <c r="AB51" s="130"/>
      <c r="AC51" s="130"/>
      <c r="AD51" s="130"/>
      <c r="AE51" s="130"/>
      <c r="AF51" s="130"/>
      <c r="AG51" s="130"/>
      <c r="AH51" s="130"/>
      <c r="AI51" s="130"/>
      <c r="AJ51" s="171"/>
      <c r="AK51" s="171"/>
      <c r="AL51" s="171"/>
      <c r="AM51" s="171"/>
      <c r="AN51" s="171"/>
      <c r="AO51" s="171"/>
      <c r="AP51" s="17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2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68"/>
      <c r="O52" s="168"/>
      <c r="P52" s="169"/>
      <c r="Q52" s="169"/>
      <c r="R52" s="169"/>
      <c r="S52" s="169"/>
      <c r="T52" s="169"/>
      <c r="U52" s="169"/>
      <c r="V52" s="169"/>
      <c r="W52" s="1"/>
      <c r="X52" s="53"/>
      <c r="Y52" s="54"/>
      <c r="Z52" s="15"/>
      <c r="AA52" s="56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"/>
      <c r="AR52" s="1"/>
      <c r="AS52" s="1"/>
      <c r="AT52" s="1"/>
      <c r="AU52" s="1"/>
      <c r="AV52" s="1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2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68"/>
      <c r="O53" s="168"/>
      <c r="P53" s="169"/>
      <c r="Q53" s="169"/>
      <c r="R53" s="169"/>
      <c r="S53" s="169"/>
      <c r="T53" s="169"/>
      <c r="U53" s="169"/>
      <c r="V53" s="169"/>
      <c r="W53" s="1"/>
      <c r="X53" s="53"/>
      <c r="Y53" s="54"/>
      <c r="Z53" s="15"/>
      <c r="AA53" s="56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"/>
      <c r="AR53" s="1"/>
      <c r="AS53" s="1"/>
      <c r="AT53" s="1"/>
      <c r="AU53" s="1"/>
      <c r="AV53" s="1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2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68"/>
      <c r="O54" s="168"/>
      <c r="P54" s="169"/>
      <c r="Q54" s="169"/>
      <c r="R54" s="169"/>
      <c r="S54" s="169"/>
      <c r="T54" s="169"/>
      <c r="U54" s="169"/>
      <c r="V54" s="169"/>
      <c r="W54" s="1"/>
      <c r="X54" s="53"/>
      <c r="Y54" s="54"/>
      <c r="Z54" s="15"/>
      <c r="AA54" s="56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"/>
      <c r="AR54" s="1"/>
      <c r="AS54" s="1"/>
      <c r="AT54" s="1"/>
      <c r="AU54" s="1"/>
      <c r="AV54" s="1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2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68"/>
      <c r="O55" s="168"/>
      <c r="P55" s="169"/>
      <c r="Q55" s="169"/>
      <c r="R55" s="169"/>
      <c r="S55" s="169"/>
      <c r="T55" s="169"/>
      <c r="U55" s="169"/>
      <c r="V55" s="169"/>
      <c r="W55" s="1"/>
      <c r="X55" s="53"/>
      <c r="Y55" s="54"/>
      <c r="Z55" s="15"/>
      <c r="AA55" s="56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"/>
      <c r="AR55" s="1"/>
      <c r="AS55" s="1"/>
      <c r="AT55" s="1"/>
      <c r="AU55" s="1"/>
      <c r="AV55" s="1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2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2"/>
      <c r="O56" s="172"/>
      <c r="P56" s="169">
        <f>SUM(CK115:CQ115)</f>
        <v>9662200</v>
      </c>
      <c r="Q56" s="169"/>
      <c r="R56" s="169"/>
      <c r="S56" s="169"/>
      <c r="T56" s="169"/>
      <c r="U56" s="169"/>
      <c r="V56" s="169"/>
      <c r="W56" s="1"/>
      <c r="X56" s="53"/>
      <c r="Y56" s="54"/>
      <c r="Z56" s="15"/>
      <c r="AA56" s="56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"/>
      <c r="AR56" s="1"/>
      <c r="AS56" s="1"/>
      <c r="AT56" s="1"/>
      <c r="AU56" s="1"/>
      <c r="AV56" s="1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2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2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2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2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82"/>
      <c r="O60" s="182"/>
      <c r="P60" s="182"/>
      <c r="Q60" s="182"/>
      <c r="R60" s="180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81"/>
      <c r="AJ60" s="181"/>
      <c r="AK60" s="181"/>
      <c r="AL60" s="181"/>
      <c r="AM60" s="181"/>
      <c r="AN60" s="181"/>
      <c r="AO60" s="181"/>
      <c r="AP60" s="181"/>
      <c r="AQ60" s="1"/>
      <c r="AR60" s="172"/>
      <c r="AS60" s="172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2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2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2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2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2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2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2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2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2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2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2">
      <c r="FB100" s="62" t="s">
        <v>63</v>
      </c>
      <c r="FC100" s="62" t="s">
        <v>64</v>
      </c>
      <c r="FD100" s="62" t="s">
        <v>65</v>
      </c>
      <c r="FE100" s="62" t="s">
        <v>66</v>
      </c>
      <c r="FF100" s="62" t="s">
        <v>18</v>
      </c>
      <c r="FG100" s="62" t="s">
        <v>18</v>
      </c>
      <c r="FH100" s="62" t="s">
        <v>67</v>
      </c>
      <c r="FI100" s="62" t="s">
        <v>68</v>
      </c>
    </row>
    <row r="101" spans="79:165" ht="15" customHeight="1" x14ac:dyDescent="0.2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RSD-SUNMAX-FL-LCW　RECI　1500w　錆切溶</v>
      </c>
      <c r="FE101" s="64">
        <f>T26</f>
        <v>1</v>
      </c>
      <c r="FF101" s="64" t="str">
        <f>X26</f>
        <v>一式</v>
      </c>
      <c r="FG101" s="64">
        <f>AA26</f>
        <v>2480000</v>
      </c>
      <c r="FH101" s="64">
        <f>AF26</f>
        <v>2480000</v>
      </c>
      <c r="FI101" s="64">
        <f>AM26</f>
        <v>0</v>
      </c>
    </row>
    <row r="102" spans="79:165" ht="15" customHeight="1" x14ac:dyDescent="0.2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61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5">B27</f>
        <v>RSD-SUNMAX-FL-LCW　RECI　2000w　錆切溶</v>
      </c>
      <c r="FE102" s="64">
        <f t="shared" ref="FE102:FE112" si="6">T27</f>
        <v>1</v>
      </c>
      <c r="FF102" s="64" t="str">
        <f t="shared" ref="FF102:FF112" si="7">X27</f>
        <v>一式</v>
      </c>
      <c r="FG102" s="64">
        <f t="shared" ref="FG102:FG112" si="8">AA27</f>
        <v>2980000</v>
      </c>
      <c r="FH102" s="64">
        <f t="shared" ref="FH102:FH112" si="9">AF27</f>
        <v>2980000</v>
      </c>
      <c r="FI102" s="64">
        <f t="shared" ref="FI102:FI112" si="10">AM27</f>
        <v>0</v>
      </c>
    </row>
    <row r="103" spans="79:165" ht="15" customHeight="1" x14ac:dyDescent="0.2">
      <c r="CA103" s="44"/>
      <c r="CB103" s="1"/>
      <c r="CC103" s="1"/>
      <c r="CD103" s="1"/>
      <c r="CE103" s="50" t="s">
        <v>53</v>
      </c>
      <c r="CF103" s="1"/>
      <c r="CG103" s="1"/>
      <c r="CH103" s="1"/>
      <c r="CI103" s="176" t="s">
        <v>17</v>
      </c>
      <c r="CJ103" s="177"/>
      <c r="CK103" s="177"/>
      <c r="CL103" s="177"/>
      <c r="CM103" s="177"/>
      <c r="CN103" s="177"/>
      <c r="CO103" s="177"/>
      <c r="CP103" s="177"/>
      <c r="CQ103" s="178"/>
      <c r="CR103" s="1"/>
      <c r="CS103" s="27" t="s">
        <v>18</v>
      </c>
      <c r="CT103" s="14"/>
      <c r="CU103" s="15"/>
      <c r="CV103" s="15"/>
      <c r="CW103" s="179" t="s">
        <v>14</v>
      </c>
      <c r="CX103" s="179"/>
      <c r="CY103" s="179"/>
      <c r="CZ103" s="15"/>
      <c r="DA103" s="16"/>
      <c r="DB103" s="16"/>
      <c r="DC103" s="16"/>
      <c r="DD103" s="36" t="s">
        <v>52</v>
      </c>
      <c r="DE103" s="37"/>
      <c r="DF103" s="37"/>
      <c r="DG103" s="37"/>
      <c r="DH103" s="37"/>
      <c r="DI103" s="37"/>
      <c r="DJ103" s="38"/>
      <c r="DK103" s="15"/>
      <c r="DL103" s="1"/>
      <c r="DM103" s="184" t="s">
        <v>59</v>
      </c>
      <c r="DN103" s="184"/>
      <c r="DO103" s="184"/>
      <c r="DP103" s="184"/>
      <c r="DQ103" s="184"/>
      <c r="DR103" s="184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62</v>
      </c>
      <c r="EN103" s="1"/>
      <c r="EO103" s="1"/>
      <c r="EP103" s="45"/>
      <c r="FB103" s="63">
        <v>0</v>
      </c>
      <c r="FC103" s="64">
        <v>3</v>
      </c>
      <c r="FD103" s="64" t="str">
        <f t="shared" si="5"/>
        <v>RSD-SUNMAX-FL-LCW　RECI　3000w　錆切溶</v>
      </c>
      <c r="FE103" s="64">
        <f t="shared" si="6"/>
        <v>1</v>
      </c>
      <c r="FF103" s="64" t="str">
        <f t="shared" si="7"/>
        <v>一式</v>
      </c>
      <c r="FG103" s="64">
        <f t="shared" si="8"/>
        <v>3980000</v>
      </c>
      <c r="FH103" s="64">
        <f t="shared" si="9"/>
        <v>3980000</v>
      </c>
      <c r="FI103" s="64">
        <f t="shared" si="10"/>
        <v>0</v>
      </c>
    </row>
    <row r="104" spans="79:165" ht="15" customHeight="1" x14ac:dyDescent="0.2">
      <c r="CA104" s="44"/>
      <c r="CB104" s="1"/>
      <c r="CC104" s="1"/>
      <c r="CD104" s="1"/>
      <c r="CE104" s="49">
        <v>3</v>
      </c>
      <c r="CF104" s="1"/>
      <c r="CG104" s="1"/>
      <c r="CH104" s="1"/>
      <c r="CI104" s="175">
        <v>0</v>
      </c>
      <c r="CJ104" s="175"/>
      <c r="CK104" s="183">
        <f>AA38</f>
        <v>9662200</v>
      </c>
      <c r="CL104" s="183"/>
      <c r="CM104" s="183"/>
      <c r="CN104" s="183"/>
      <c r="CO104" s="183"/>
      <c r="CP104" s="183"/>
      <c r="CQ104" s="183"/>
      <c r="CR104" s="1"/>
      <c r="CS104" s="17" t="s">
        <v>19</v>
      </c>
      <c r="CT104" s="18"/>
      <c r="CU104" s="15"/>
      <c r="CV104" s="15"/>
      <c r="CW104" s="173">
        <v>5</v>
      </c>
      <c r="CX104" s="174"/>
      <c r="CY104" s="19" t="s">
        <v>20</v>
      </c>
      <c r="CZ104" s="15"/>
      <c r="DA104" s="15"/>
      <c r="DB104" s="15"/>
      <c r="DC104" s="15"/>
      <c r="DD104" s="39" t="s">
        <v>47</v>
      </c>
      <c r="DE104" s="40"/>
      <c r="DF104" s="40"/>
      <c r="DG104" s="40"/>
      <c r="DH104" s="40"/>
      <c r="DI104" s="40"/>
      <c r="DJ104" s="22"/>
      <c r="DK104" s="15"/>
      <c r="DL104" s="1"/>
      <c r="DM104" s="185" t="s">
        <v>60</v>
      </c>
      <c r="DN104" s="186"/>
      <c r="DO104" s="186"/>
      <c r="DP104" s="186"/>
      <c r="DQ104" s="186"/>
      <c r="DR104" s="187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 t="str">
        <f>B29</f>
        <v>別紙購入おすすめ消耗品</v>
      </c>
      <c r="FE104" s="64">
        <f t="shared" si="6"/>
        <v>1</v>
      </c>
      <c r="FF104" s="64" t="str">
        <f t="shared" si="7"/>
        <v>一式</v>
      </c>
      <c r="FG104" s="64">
        <f t="shared" si="8"/>
        <v>115200</v>
      </c>
      <c r="FH104" s="64">
        <f t="shared" si="9"/>
        <v>115200</v>
      </c>
      <c r="FI104" s="64">
        <f t="shared" si="10"/>
        <v>0</v>
      </c>
    </row>
    <row r="105" spans="79:165" ht="15" customHeight="1" x14ac:dyDescent="0.2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175">
        <v>1</v>
      </c>
      <c r="CJ105" s="175"/>
      <c r="CK105" s="183">
        <f>IF(ISERROR(本体装備品一覧!AB30),0,本体装備品一覧!AB30)</f>
        <v>0</v>
      </c>
      <c r="CL105" s="183"/>
      <c r="CM105" s="183"/>
      <c r="CN105" s="183"/>
      <c r="CO105" s="183"/>
      <c r="CP105" s="183"/>
      <c r="CQ105" s="183"/>
      <c r="CR105" s="1"/>
      <c r="CS105" s="17" t="s">
        <v>21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48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1</v>
      </c>
      <c r="FF105" s="64" t="str">
        <f t="shared" si="7"/>
        <v>一式</v>
      </c>
      <c r="FG105" s="64">
        <f t="shared" si="8"/>
        <v>0</v>
      </c>
      <c r="FH105" s="64">
        <f t="shared" si="9"/>
        <v>0</v>
      </c>
      <c r="FI105" s="64">
        <f t="shared" si="10"/>
        <v>0</v>
      </c>
    </row>
    <row r="106" spans="79:165" ht="15" customHeight="1" x14ac:dyDescent="0.2">
      <c r="CA106" s="44"/>
      <c r="CB106" s="1"/>
      <c r="CC106" s="1"/>
      <c r="CD106" s="1"/>
      <c r="CE106" s="49">
        <v>1</v>
      </c>
      <c r="CF106" s="1"/>
      <c r="CG106" s="1"/>
      <c r="CH106" s="1"/>
      <c r="CI106" s="175">
        <v>2</v>
      </c>
      <c r="CJ106" s="175"/>
      <c r="CK106" s="183">
        <f>IF(ISERROR(#REF!),0,#REF!)</f>
        <v>0</v>
      </c>
      <c r="CL106" s="183"/>
      <c r="CM106" s="183"/>
      <c r="CN106" s="183"/>
      <c r="CO106" s="183"/>
      <c r="CP106" s="183"/>
      <c r="CQ106" s="183"/>
      <c r="CR106" s="1"/>
      <c r="CS106" s="20" t="s">
        <v>22</v>
      </c>
      <c r="CT106" s="21"/>
      <c r="CU106" s="15"/>
      <c r="CV106" s="179" t="s">
        <v>23</v>
      </c>
      <c r="CW106" s="179"/>
      <c r="CX106" s="179"/>
      <c r="CY106" s="179"/>
      <c r="CZ106" s="179"/>
      <c r="DA106" s="15"/>
      <c r="DB106" s="15"/>
      <c r="DC106" s="15"/>
      <c r="DD106" s="39" t="s">
        <v>49</v>
      </c>
      <c r="DE106" s="40"/>
      <c r="DF106" s="40"/>
      <c r="DG106" s="40"/>
      <c r="DH106" s="40"/>
      <c r="DI106" s="40"/>
      <c r="DJ106" s="22"/>
      <c r="DK106" s="15"/>
      <c r="DL106" s="1"/>
      <c r="DM106" s="184" t="s">
        <v>70</v>
      </c>
      <c r="DN106" s="184"/>
      <c r="DO106" s="184"/>
      <c r="DP106" s="184"/>
      <c r="DQ106" s="184"/>
      <c r="DR106" s="184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1</v>
      </c>
      <c r="FF106" s="64" t="str">
        <f t="shared" si="7"/>
        <v>一式</v>
      </c>
      <c r="FG106" s="64">
        <f t="shared" si="8"/>
        <v>0</v>
      </c>
      <c r="FH106" s="64">
        <f t="shared" si="9"/>
        <v>0</v>
      </c>
      <c r="FI106" s="64">
        <f t="shared" si="10"/>
        <v>0</v>
      </c>
    </row>
    <row r="107" spans="79:165" ht="15" customHeight="1" x14ac:dyDescent="0.2">
      <c r="CA107" s="44"/>
      <c r="CB107" s="1"/>
      <c r="CC107" s="1"/>
      <c r="CD107" s="1"/>
      <c r="CE107" s="49">
        <v>0</v>
      </c>
      <c r="CF107" s="1"/>
      <c r="CG107" s="1"/>
      <c r="CH107" s="1"/>
      <c r="CI107" s="175">
        <v>3</v>
      </c>
      <c r="CJ107" s="175"/>
      <c r="CK107" s="183">
        <f>IF(ISERROR(#REF!),0,#REF!)</f>
        <v>0</v>
      </c>
      <c r="CL107" s="183"/>
      <c r="CM107" s="183"/>
      <c r="CN107" s="183"/>
      <c r="CO107" s="183"/>
      <c r="CP107" s="183"/>
      <c r="CQ107" s="183"/>
      <c r="CR107" s="1"/>
      <c r="CS107" s="17" t="s">
        <v>24</v>
      </c>
      <c r="CT107" s="18"/>
      <c r="CU107" s="15"/>
      <c r="CV107" s="28" t="s">
        <v>25</v>
      </c>
      <c r="CW107" s="173">
        <v>100</v>
      </c>
      <c r="CX107" s="173"/>
      <c r="CY107" s="174"/>
      <c r="CZ107" s="22" t="s">
        <v>20</v>
      </c>
      <c r="DA107" s="15"/>
      <c r="DB107" s="15"/>
      <c r="DC107" s="15"/>
      <c r="DD107" s="39" t="s">
        <v>50</v>
      </c>
      <c r="DE107" s="40"/>
      <c r="DF107" s="40"/>
      <c r="DG107" s="40"/>
      <c r="DH107" s="40"/>
      <c r="DI107" s="40"/>
      <c r="DJ107" s="22"/>
      <c r="DK107" s="15"/>
      <c r="DL107" s="1"/>
      <c r="DM107" s="190" t="s">
        <v>79</v>
      </c>
      <c r="DN107" s="191"/>
      <c r="DO107" s="191"/>
      <c r="DP107" s="191"/>
      <c r="DQ107" s="191"/>
      <c r="DR107" s="192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1</v>
      </c>
      <c r="FF107" s="64" t="str">
        <f t="shared" si="7"/>
        <v>枚</v>
      </c>
      <c r="FG107" s="64">
        <f t="shared" si="8"/>
        <v>0</v>
      </c>
      <c r="FH107" s="64">
        <f t="shared" si="9"/>
        <v>0</v>
      </c>
      <c r="FI107" s="64">
        <f t="shared" si="10"/>
        <v>0</v>
      </c>
    </row>
    <row r="108" spans="79:165" ht="15" customHeight="1" x14ac:dyDescent="0.2">
      <c r="CA108" s="44"/>
      <c r="CB108" s="1"/>
      <c r="CC108" s="1"/>
      <c r="CD108" s="1"/>
      <c r="CE108" s="50" t="s">
        <v>54</v>
      </c>
      <c r="CF108" s="1"/>
      <c r="CG108" s="1"/>
      <c r="CH108" s="1"/>
      <c r="CI108" s="175">
        <v>4</v>
      </c>
      <c r="CJ108" s="175"/>
      <c r="CK108" s="183"/>
      <c r="CL108" s="183"/>
      <c r="CM108" s="183"/>
      <c r="CN108" s="183"/>
      <c r="CO108" s="183"/>
      <c r="CP108" s="183"/>
      <c r="CQ108" s="183"/>
      <c r="CR108" s="1"/>
      <c r="CS108" s="17" t="s">
        <v>26</v>
      </c>
      <c r="CT108" s="18"/>
      <c r="CU108" s="15"/>
      <c r="CV108" s="28" t="s">
        <v>27</v>
      </c>
      <c r="CW108" s="173">
        <v>80</v>
      </c>
      <c r="CX108" s="173"/>
      <c r="CY108" s="174"/>
      <c r="CZ108" s="22" t="s">
        <v>20</v>
      </c>
      <c r="DA108" s="15"/>
      <c r="DB108" s="15"/>
      <c r="DC108" s="15"/>
      <c r="DD108" s="39" t="s">
        <v>51</v>
      </c>
      <c r="DE108" s="40"/>
      <c r="DF108" s="40"/>
      <c r="DG108" s="40"/>
      <c r="DH108" s="40"/>
      <c r="DI108" s="40"/>
      <c r="DJ108" s="22"/>
      <c r="DK108" s="15"/>
      <c r="DL108" s="1"/>
      <c r="DM108" s="185" t="s">
        <v>71</v>
      </c>
      <c r="DN108" s="186"/>
      <c r="DO108" s="186"/>
      <c r="DP108" s="186"/>
      <c r="DQ108" s="186"/>
      <c r="DR108" s="187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 t="str">
        <f>B31</f>
        <v>錆び取り、溶接、切断　3in1</v>
      </c>
      <c r="FE108" s="64">
        <f t="shared" si="6"/>
        <v>1</v>
      </c>
      <c r="FF108" s="64" t="str">
        <f t="shared" si="7"/>
        <v>枚</v>
      </c>
      <c r="FG108" s="64">
        <f t="shared" si="8"/>
        <v>0</v>
      </c>
      <c r="FH108" s="64">
        <f t="shared" si="9"/>
        <v>0</v>
      </c>
      <c r="FI108" s="64">
        <f t="shared" si="10"/>
        <v>0</v>
      </c>
    </row>
    <row r="109" spans="79:165" ht="15" customHeight="1" x14ac:dyDescent="0.2">
      <c r="CA109" s="44"/>
      <c r="CB109" s="1"/>
      <c r="CC109" s="1"/>
      <c r="CD109" s="1"/>
      <c r="CE109" s="49" t="s">
        <v>3</v>
      </c>
      <c r="CF109" s="1"/>
      <c r="CG109" s="1"/>
      <c r="CH109" s="1"/>
      <c r="CI109" s="175">
        <v>5</v>
      </c>
      <c r="CJ109" s="175"/>
      <c r="CK109" s="183"/>
      <c r="CL109" s="183"/>
      <c r="CM109" s="183"/>
      <c r="CN109" s="183"/>
      <c r="CO109" s="183"/>
      <c r="CP109" s="183"/>
      <c r="CQ109" s="183"/>
      <c r="CR109" s="1"/>
      <c r="CS109" s="20" t="s">
        <v>28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85" t="s">
        <v>72</v>
      </c>
      <c r="DN109" s="186"/>
      <c r="DO109" s="186"/>
      <c r="DP109" s="186"/>
      <c r="DQ109" s="186"/>
      <c r="DR109" s="187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 t="str">
        <f t="shared" si="5"/>
        <v>保護メガネ　アース線</v>
      </c>
      <c r="FE109" s="64">
        <f t="shared" si="6"/>
        <v>1</v>
      </c>
      <c r="FF109" s="64" t="str">
        <f t="shared" si="7"/>
        <v>個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2">
      <c r="CA110" s="44"/>
      <c r="CB110" s="1"/>
      <c r="CC110" s="1"/>
      <c r="CD110" s="1"/>
      <c r="CE110" s="49" t="s">
        <v>55</v>
      </c>
      <c r="CF110" s="1"/>
      <c r="CG110" s="1"/>
      <c r="CH110" s="1"/>
      <c r="CI110" s="175">
        <v>6</v>
      </c>
      <c r="CJ110" s="175"/>
      <c r="CK110" s="183"/>
      <c r="CL110" s="183"/>
      <c r="CM110" s="183"/>
      <c r="CN110" s="183"/>
      <c r="CO110" s="183"/>
      <c r="CP110" s="183"/>
      <c r="CQ110" s="183"/>
      <c r="CR110" s="1"/>
      <c r="CS110" s="20" t="s">
        <v>29</v>
      </c>
      <c r="CT110" s="20"/>
      <c r="CU110" s="15"/>
      <c r="CV110" s="189" t="s">
        <v>30</v>
      </c>
      <c r="CW110" s="189"/>
      <c r="CX110" s="189"/>
      <c r="CY110" s="189"/>
      <c r="CZ110" s="189"/>
      <c r="DA110" s="189"/>
      <c r="DB110" s="189"/>
      <c r="DC110" s="189"/>
      <c r="DD110" s="189"/>
      <c r="DE110" s="179" t="s">
        <v>31</v>
      </c>
      <c r="DF110" s="179"/>
      <c r="DG110" s="179"/>
      <c r="DH110" s="179"/>
      <c r="DI110" s="179"/>
      <c r="DJ110" s="179"/>
      <c r="DK110" s="179"/>
      <c r="DL110" s="1"/>
      <c r="DM110" s="1"/>
      <c r="DN110" s="1"/>
      <c r="DO110" s="1"/>
      <c r="DP110" s="1"/>
      <c r="DQ110" s="1"/>
      <c r="DR110" s="129"/>
      <c r="DS110" s="129"/>
      <c r="DT110" s="129"/>
      <c r="DU110" s="129"/>
      <c r="DV110" s="129"/>
      <c r="DW110" s="129"/>
      <c r="DX110" s="129"/>
      <c r="DY110" s="129"/>
      <c r="DZ110" s="129"/>
      <c r="EA110" s="129"/>
      <c r="EB110" s="129"/>
      <c r="EC110" s="129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 t="str">
        <f t="shared" si="5"/>
        <v>ガス調整器</v>
      </c>
      <c r="FE110" s="64">
        <f t="shared" si="6"/>
        <v>1</v>
      </c>
      <c r="FF110" s="64" t="str">
        <f t="shared" si="7"/>
        <v>台</v>
      </c>
      <c r="FG110" s="64">
        <f t="shared" si="8"/>
        <v>0</v>
      </c>
      <c r="FH110" s="64">
        <f t="shared" si="9"/>
        <v>0</v>
      </c>
      <c r="FI110" s="64">
        <f t="shared" si="10"/>
        <v>0</v>
      </c>
    </row>
    <row r="111" spans="79:165" ht="15" customHeight="1" x14ac:dyDescent="0.2">
      <c r="CA111" s="44"/>
      <c r="CB111" s="1"/>
      <c r="CC111" s="1"/>
      <c r="CD111" s="1"/>
      <c r="CE111" s="49" t="s">
        <v>56</v>
      </c>
      <c r="CF111" s="1"/>
      <c r="CG111" s="1"/>
      <c r="CH111" s="1"/>
      <c r="CI111" s="175">
        <v>7</v>
      </c>
      <c r="CJ111" s="175"/>
      <c r="CK111" s="183"/>
      <c r="CL111" s="183"/>
      <c r="CM111" s="183"/>
      <c r="CN111" s="183"/>
      <c r="CO111" s="183"/>
      <c r="CP111" s="183"/>
      <c r="CQ111" s="183"/>
      <c r="CR111" s="1"/>
      <c r="CS111" s="17" t="s">
        <v>32</v>
      </c>
      <c r="CT111" s="18"/>
      <c r="CU111" s="15"/>
      <c r="CV111" s="28" t="s">
        <v>25</v>
      </c>
      <c r="CW111" s="188" t="s">
        <v>75</v>
      </c>
      <c r="CX111" s="188"/>
      <c r="CY111" s="188"/>
      <c r="CZ111" s="188"/>
      <c r="DA111" s="188"/>
      <c r="DB111" s="188"/>
      <c r="DC111" s="188"/>
      <c r="DD111" s="188"/>
      <c r="DE111" s="188" t="s">
        <v>33</v>
      </c>
      <c r="DF111" s="188"/>
      <c r="DG111" s="188"/>
      <c r="DH111" s="188"/>
      <c r="DI111" s="188"/>
      <c r="DJ111" s="188"/>
      <c r="DK111" s="188"/>
      <c r="DL111" s="1"/>
      <c r="DM111" s="1"/>
      <c r="DN111" s="1"/>
      <c r="DO111" s="1"/>
      <c r="DP111" s="1"/>
      <c r="DQ111" s="1"/>
      <c r="DR111" s="129"/>
      <c r="DS111" s="129"/>
      <c r="DT111" s="129"/>
      <c r="DU111" s="129"/>
      <c r="DV111" s="129"/>
      <c r="DW111" s="129"/>
      <c r="DX111" s="129"/>
      <c r="DY111" s="129"/>
      <c r="DZ111" s="129"/>
      <c r="EA111" s="129"/>
      <c r="EB111" s="129"/>
      <c r="EC111" s="129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 t="str">
        <f t="shared" si="5"/>
        <v>出張セットアップ　操作講習　日帰り</v>
      </c>
      <c r="FE111" s="64">
        <f t="shared" si="6"/>
        <v>1</v>
      </c>
      <c r="FF111" s="64" t="str">
        <f t="shared" si="7"/>
        <v>一式</v>
      </c>
      <c r="FG111" s="64">
        <f t="shared" si="8"/>
        <v>85000</v>
      </c>
      <c r="FH111" s="64">
        <f t="shared" si="9"/>
        <v>85000</v>
      </c>
      <c r="FI111" s="64">
        <f t="shared" si="10"/>
        <v>0</v>
      </c>
    </row>
    <row r="112" spans="79:165" ht="15" customHeight="1" x14ac:dyDescent="0.2">
      <c r="CA112" s="44"/>
      <c r="CB112" s="1"/>
      <c r="CC112" s="1"/>
      <c r="CD112" s="1"/>
      <c r="CE112" s="1"/>
      <c r="CF112" s="1"/>
      <c r="CG112" s="1"/>
      <c r="CH112" s="1"/>
      <c r="CI112" s="175">
        <v>8</v>
      </c>
      <c r="CJ112" s="175"/>
      <c r="CK112" s="183"/>
      <c r="CL112" s="183"/>
      <c r="CM112" s="183"/>
      <c r="CN112" s="183"/>
      <c r="CO112" s="183"/>
      <c r="CP112" s="183"/>
      <c r="CQ112" s="183"/>
      <c r="CR112" s="1"/>
      <c r="CS112" s="17" t="s">
        <v>34</v>
      </c>
      <c r="CT112" s="18"/>
      <c r="CU112" s="15"/>
      <c r="CV112" s="28" t="s">
        <v>27</v>
      </c>
      <c r="CW112" s="188" t="s">
        <v>85</v>
      </c>
      <c r="CX112" s="188"/>
      <c r="CY112" s="188"/>
      <c r="CZ112" s="188"/>
      <c r="DA112" s="188"/>
      <c r="DB112" s="188"/>
      <c r="DC112" s="188"/>
      <c r="DD112" s="188"/>
      <c r="DE112" s="188" t="s">
        <v>86</v>
      </c>
      <c r="DF112" s="188"/>
      <c r="DG112" s="188"/>
      <c r="DH112" s="188"/>
      <c r="DI112" s="188"/>
      <c r="DJ112" s="188"/>
      <c r="DK112" s="188"/>
      <c r="DL112" s="1"/>
      <c r="DM112" s="1"/>
      <c r="DN112" s="1"/>
      <c r="DO112" s="1"/>
      <c r="DP112" s="1"/>
      <c r="DQ112" s="1"/>
      <c r="DR112" s="129"/>
      <c r="DS112" s="129"/>
      <c r="DT112" s="129"/>
      <c r="DU112" s="129"/>
      <c r="DV112" s="129"/>
      <c r="DW112" s="129"/>
      <c r="DX112" s="129"/>
      <c r="DY112" s="129"/>
      <c r="DZ112" s="129"/>
      <c r="EA112" s="129"/>
      <c r="EB112" s="129"/>
      <c r="EC112" s="129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 t="str">
        <f t="shared" si="5"/>
        <v>送料　地域　　車上渡し</v>
      </c>
      <c r="FE112" s="64">
        <f t="shared" si="6"/>
        <v>1</v>
      </c>
      <c r="FF112" s="64" t="str">
        <f t="shared" si="7"/>
        <v>一式</v>
      </c>
      <c r="FG112" s="64">
        <f t="shared" si="8"/>
        <v>22000</v>
      </c>
      <c r="FH112" s="64">
        <f t="shared" si="9"/>
        <v>22000</v>
      </c>
      <c r="FI112" s="64">
        <f t="shared" si="10"/>
        <v>0</v>
      </c>
    </row>
    <row r="113" spans="79:165" ht="15" customHeight="1" x14ac:dyDescent="0.2">
      <c r="CA113" s="44"/>
      <c r="CB113" s="1"/>
      <c r="CC113" s="1"/>
      <c r="CD113" s="1"/>
      <c r="CE113" s="1"/>
      <c r="CF113" s="1"/>
      <c r="CG113" s="1"/>
      <c r="CH113" s="1"/>
      <c r="CI113" s="175">
        <v>9</v>
      </c>
      <c r="CJ113" s="175"/>
      <c r="CK113" s="183"/>
      <c r="CL113" s="183"/>
      <c r="CM113" s="183"/>
      <c r="CN113" s="183"/>
      <c r="CO113" s="183"/>
      <c r="CP113" s="183"/>
      <c r="CQ113" s="183"/>
      <c r="CR113" s="1"/>
      <c r="CS113" s="17" t="s">
        <v>35</v>
      </c>
      <c r="CT113" s="18"/>
      <c r="CU113" s="15"/>
      <c r="CV113" s="28" t="s">
        <v>36</v>
      </c>
      <c r="CW113" s="188" t="s">
        <v>88</v>
      </c>
      <c r="CX113" s="188"/>
      <c r="CY113" s="188"/>
      <c r="CZ113" s="188"/>
      <c r="DA113" s="188"/>
      <c r="DB113" s="188"/>
      <c r="DC113" s="188"/>
      <c r="DD113" s="188"/>
      <c r="DE113" s="188" t="s">
        <v>87</v>
      </c>
      <c r="DF113" s="188"/>
      <c r="DG113" s="188"/>
      <c r="DH113" s="188"/>
      <c r="DI113" s="188"/>
      <c r="DJ113" s="188"/>
      <c r="DK113" s="188"/>
      <c r="DL113" s="1"/>
      <c r="DM113" s="1"/>
      <c r="DN113" s="1"/>
      <c r="DO113" s="1"/>
      <c r="DP113" s="1"/>
      <c r="DQ113" s="1"/>
      <c r="DR113" s="129"/>
      <c r="DS113" s="129"/>
      <c r="DT113" s="129"/>
      <c r="DU113" s="129"/>
      <c r="DV113" s="129"/>
      <c r="DW113" s="129"/>
      <c r="DX113" s="129"/>
      <c r="DY113" s="129"/>
      <c r="DZ113" s="129"/>
      <c r="EA113" s="129"/>
      <c r="EB113" s="129"/>
      <c r="EC113" s="129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2">
      <c r="CA114" s="44"/>
      <c r="CB114" s="1"/>
      <c r="CC114" s="1"/>
      <c r="CD114" s="1"/>
      <c r="CE114" s="1"/>
      <c r="CF114" s="1"/>
      <c r="CG114" s="1"/>
      <c r="CH114" s="1"/>
      <c r="CI114" s="175">
        <v>10</v>
      </c>
      <c r="CJ114" s="175"/>
      <c r="CK114" s="183"/>
      <c r="CL114" s="183"/>
      <c r="CM114" s="183"/>
      <c r="CN114" s="183"/>
      <c r="CO114" s="183"/>
      <c r="CP114" s="183"/>
      <c r="CQ114" s="183"/>
      <c r="CR114" s="1"/>
      <c r="CS114" s="20" t="s">
        <v>37</v>
      </c>
      <c r="CT114" s="21"/>
      <c r="CU114" s="15"/>
      <c r="CV114" s="28" t="s">
        <v>38</v>
      </c>
      <c r="CW114" s="188" t="s">
        <v>76</v>
      </c>
      <c r="CX114" s="188"/>
      <c r="CY114" s="188"/>
      <c r="CZ114" s="188"/>
      <c r="DA114" s="188"/>
      <c r="DB114" s="188"/>
      <c r="DC114" s="188"/>
      <c r="DD114" s="188"/>
      <c r="DE114" s="188" t="s">
        <v>39</v>
      </c>
      <c r="DF114" s="188"/>
      <c r="DG114" s="188"/>
      <c r="DH114" s="188"/>
      <c r="DI114" s="188"/>
      <c r="DJ114" s="188"/>
      <c r="DK114" s="188"/>
      <c r="DL114" s="1"/>
      <c r="DM114" s="1"/>
      <c r="DN114" s="1"/>
      <c r="DO114" s="1"/>
      <c r="DP114" s="1"/>
      <c r="DQ114" s="1"/>
      <c r="DR114" s="129"/>
      <c r="DS114" s="129"/>
      <c r="DT114" s="129"/>
      <c r="DU114" s="129"/>
      <c r="DV114" s="129"/>
      <c r="DW114" s="129"/>
      <c r="DX114" s="129"/>
      <c r="DY114" s="129"/>
      <c r="DZ114" s="129"/>
      <c r="EA114" s="129"/>
      <c r="EB114" s="129"/>
      <c r="EC114" s="129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2">
      <c r="CA115" s="44"/>
      <c r="CB115" s="1"/>
      <c r="CC115" s="1"/>
      <c r="CD115" s="1"/>
      <c r="CE115" s="1"/>
      <c r="CF115" s="1"/>
      <c r="CG115" s="1"/>
      <c r="CH115" s="1"/>
      <c r="CI115" s="193" t="s">
        <v>40</v>
      </c>
      <c r="CJ115" s="193"/>
      <c r="CK115" s="183">
        <f>SUM(CK104:CQ114)</f>
        <v>9662200</v>
      </c>
      <c r="CL115" s="183"/>
      <c r="CM115" s="183"/>
      <c r="CN115" s="183"/>
      <c r="CO115" s="183"/>
      <c r="CP115" s="183"/>
      <c r="CQ115" s="183"/>
      <c r="CR115" s="1"/>
      <c r="CS115" s="17" t="s">
        <v>46</v>
      </c>
      <c r="CT115" s="18"/>
      <c r="CU115" s="15"/>
      <c r="CV115" s="28" t="s">
        <v>41</v>
      </c>
      <c r="CW115" s="188" t="s">
        <v>77</v>
      </c>
      <c r="CX115" s="188"/>
      <c r="CY115" s="188"/>
      <c r="CZ115" s="188"/>
      <c r="DA115" s="188"/>
      <c r="DB115" s="188"/>
      <c r="DC115" s="188"/>
      <c r="DD115" s="188"/>
      <c r="DE115" s="188" t="s">
        <v>42</v>
      </c>
      <c r="DF115" s="188"/>
      <c r="DG115" s="188"/>
      <c r="DH115" s="188"/>
      <c r="DI115" s="188"/>
      <c r="DJ115" s="188"/>
      <c r="DK115" s="188"/>
      <c r="DL115" s="1"/>
      <c r="DM115" s="1"/>
      <c r="DN115" s="1"/>
      <c r="DO115" s="1"/>
      <c r="DP115" s="1"/>
      <c r="DQ115" s="1"/>
      <c r="DR115" s="129"/>
      <c r="DS115" s="129"/>
      <c r="DT115" s="129"/>
      <c r="DU115" s="129"/>
      <c r="DV115" s="129"/>
      <c r="DW115" s="129"/>
      <c r="DX115" s="129"/>
      <c r="DY115" s="129"/>
      <c r="DZ115" s="129"/>
      <c r="EA115" s="129"/>
      <c r="EB115" s="129"/>
      <c r="EC115" s="129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2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2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2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2">
      <c r="CA119" s="44"/>
      <c r="CB119" s="1"/>
      <c r="CC119" s="1"/>
      <c r="CD119" s="1"/>
      <c r="CE119" s="1"/>
      <c r="CF119" s="1"/>
      <c r="CG119" s="1"/>
      <c r="CH119" s="1"/>
      <c r="CI119" s="134" t="s">
        <v>43</v>
      </c>
      <c r="CJ119" s="134"/>
      <c r="CK119" s="134"/>
      <c r="CL119" s="134"/>
      <c r="CM119" s="114" t="s">
        <v>89</v>
      </c>
      <c r="CN119" s="115"/>
      <c r="CO119" s="115"/>
      <c r="CP119" s="115"/>
      <c r="CQ119" s="115"/>
      <c r="CR119" s="115"/>
      <c r="CS119" s="115"/>
      <c r="CT119" s="115"/>
      <c r="CU119" s="115"/>
      <c r="CV119" s="115"/>
      <c r="CW119" s="115"/>
      <c r="CX119" s="115"/>
      <c r="CY119" s="115"/>
      <c r="CZ119" s="115"/>
      <c r="DA119" s="115"/>
      <c r="DB119" s="115"/>
      <c r="DC119" s="115"/>
      <c r="DD119" s="115"/>
      <c r="DE119" s="115"/>
      <c r="DF119" s="115"/>
      <c r="DG119" s="115"/>
      <c r="DH119" s="115"/>
      <c r="DI119" s="115"/>
      <c r="DJ119" s="115"/>
      <c r="DK119" s="115"/>
      <c r="DL119" s="1"/>
      <c r="DM119" s="176" t="s">
        <v>45</v>
      </c>
      <c r="DN119" s="178"/>
      <c r="DO119" s="190" t="s">
        <v>80</v>
      </c>
      <c r="DP119" s="191"/>
      <c r="DQ119" s="191"/>
      <c r="DR119" s="191"/>
      <c r="DS119" s="191"/>
      <c r="DT119" s="191"/>
      <c r="DU119" s="192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2">
      <c r="CA120" s="44"/>
      <c r="CB120" s="1"/>
      <c r="CC120" s="1"/>
      <c r="CD120" s="1"/>
      <c r="CE120" s="1"/>
      <c r="CF120" s="1"/>
      <c r="CG120" s="1"/>
      <c r="CH120" s="1"/>
      <c r="CI120" s="134" t="s">
        <v>73</v>
      </c>
      <c r="CJ120" s="134"/>
      <c r="CK120" s="134"/>
      <c r="CL120" s="134"/>
      <c r="CM120" s="114"/>
      <c r="CN120" s="115"/>
      <c r="CO120" s="115"/>
      <c r="CP120" s="115"/>
      <c r="CQ120" s="115"/>
      <c r="CR120" s="115"/>
      <c r="CS120" s="115"/>
      <c r="CT120" s="115"/>
      <c r="CU120" s="115"/>
      <c r="CV120" s="115"/>
      <c r="CW120" s="115"/>
      <c r="CX120" s="115"/>
      <c r="CY120" s="115"/>
      <c r="CZ120" s="115"/>
      <c r="DA120" s="115"/>
      <c r="DB120" s="115"/>
      <c r="DC120" s="115"/>
      <c r="DD120" s="115"/>
      <c r="DE120" s="115"/>
      <c r="DF120" s="115"/>
      <c r="DG120" s="115"/>
      <c r="DH120" s="115"/>
      <c r="DI120" s="115"/>
      <c r="DJ120" s="115"/>
      <c r="DK120" s="115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2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2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2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2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2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2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2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2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2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2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2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2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2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2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2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2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2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2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2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2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2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2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2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2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2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2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2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2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2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2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2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2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2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2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2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2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2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2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2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2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2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2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2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2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2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2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2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2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2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2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2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2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2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2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2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2">
      <c r="P176" s="30" t="s">
        <v>93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2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2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2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2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2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2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2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2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2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2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2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2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2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2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2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2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2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2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2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2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2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2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2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2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2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2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2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2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2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2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2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2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2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2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2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2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2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2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2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2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2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2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2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2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2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2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2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2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2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2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2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2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2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2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2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2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2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2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2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2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2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2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2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2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2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2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2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2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2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2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2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2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2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2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2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2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2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2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2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2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2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2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2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2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2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2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2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2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2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2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2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2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2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2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2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2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2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2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2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2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2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2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2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2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2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2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2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2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2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2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2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2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2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2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2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2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2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2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2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2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2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2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2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2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2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2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2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2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2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2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2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2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2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2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2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2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2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2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2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2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2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2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2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2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2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2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2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2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2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2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2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2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2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2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2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2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2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2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2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2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2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2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2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2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2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2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2">
      <c r="FB400" s="62" t="s">
        <v>63</v>
      </c>
      <c r="FC400" s="62" t="s">
        <v>64</v>
      </c>
      <c r="FD400" s="62" t="s">
        <v>65</v>
      </c>
      <c r="FE400" s="62" t="s">
        <v>66</v>
      </c>
      <c r="FF400" s="62" t="s">
        <v>18</v>
      </c>
      <c r="FG400" s="62" t="s">
        <v>69</v>
      </c>
      <c r="FH400" s="62" t="s">
        <v>67</v>
      </c>
      <c r="FI400" s="62" t="s">
        <v>68</v>
      </c>
    </row>
    <row r="401" spans="158:165" ht="15" customHeight="1" x14ac:dyDescent="0.2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2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2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2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2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2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2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2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2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2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2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2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2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2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2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2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2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2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2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2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2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2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2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2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2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2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2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2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2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2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2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2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2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2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2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2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2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2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2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2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2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2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2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2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2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2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2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2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2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2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2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2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2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2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2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2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2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2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2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2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2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2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2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2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2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2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2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2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2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2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2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2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2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2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2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2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2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2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2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2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2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2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2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2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2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2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2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2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2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2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2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2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2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2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2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2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2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2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2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2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2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2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2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2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2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2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2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2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2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2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2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2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2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2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2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2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2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2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2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2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2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2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2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2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2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2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2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2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2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2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2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2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2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2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2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2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2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2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2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2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2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2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2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2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2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2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2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2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2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2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2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2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2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2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2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2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2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2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2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2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2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2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2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2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2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2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2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2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2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2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2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2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2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2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2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2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2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2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2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2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2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2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2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2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2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2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2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2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2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2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2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2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2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2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2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2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2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2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2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2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2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2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2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2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2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2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2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2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2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2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2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2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2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2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2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2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2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2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2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2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2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2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2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2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2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2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2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2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2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2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2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2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2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2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2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2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2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2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2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2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2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2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T24:Z25"/>
    <mergeCell ref="J17:L17"/>
    <mergeCell ref="J20:U21"/>
    <mergeCell ref="P2:R2"/>
    <mergeCell ref="M2:O2"/>
    <mergeCell ref="D5:R5"/>
    <mergeCell ref="E3:H3"/>
    <mergeCell ref="H13:T13"/>
    <mergeCell ref="H11:S11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B41:AS42 E40:AS40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N34:AS37 AM26:AM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scale="9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50800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393700</xdr:rowOff>
                  </from>
                  <to>
                    <xdr:col>4</xdr:col>
                    <xdr:colOff>203200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393700</xdr:rowOff>
                  </from>
                  <to>
                    <xdr:col>8</xdr:col>
                    <xdr:colOff>127000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393700</xdr:rowOff>
                  </from>
                  <to>
                    <xdr:col>44</xdr:col>
                    <xdr:colOff>146050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31750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203200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88900</xdr:colOff>
                    <xdr:row>0</xdr:row>
                    <xdr:rowOff>76200</xdr:rowOff>
                  </from>
                  <to>
                    <xdr:col>22</xdr:col>
                    <xdr:colOff>69850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50800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146050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50800</xdr:colOff>
                    <xdr:row>0</xdr:row>
                    <xdr:rowOff>622300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31750</xdr:colOff>
                    <xdr:row>0</xdr:row>
                    <xdr:rowOff>393700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31750</xdr:colOff>
                    <xdr:row>0</xdr:row>
                    <xdr:rowOff>393700</xdr:rowOff>
                  </from>
                  <to>
                    <xdr:col>18</xdr:col>
                    <xdr:colOff>12700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127000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393700</xdr:rowOff>
                  </from>
                  <to>
                    <xdr:col>27</xdr:col>
                    <xdr:colOff>50800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69850</xdr:colOff>
                    <xdr:row>5</xdr:row>
                    <xdr:rowOff>184150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Button 69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69850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69850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26</xdr:row>
                    <xdr:rowOff>88900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69850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69850</xdr:colOff>
                    <xdr:row>2</xdr:row>
                    <xdr:rowOff>165100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31750</xdr:colOff>
                    <xdr:row>0</xdr:row>
                    <xdr:rowOff>76200</xdr:rowOff>
                  </from>
                  <to>
                    <xdr:col>18</xdr:col>
                    <xdr:colOff>12700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622300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69850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88900</xdr:colOff>
                    <xdr:row>0</xdr:row>
                    <xdr:rowOff>393700</xdr:rowOff>
                  </from>
                  <to>
                    <xdr:col>22</xdr:col>
                    <xdr:colOff>69850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127000</xdr:colOff>
                    <xdr:row>400</xdr:row>
                    <xdr:rowOff>107950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127000</xdr:colOff>
                    <xdr:row>403</xdr:row>
                    <xdr:rowOff>107950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127000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127000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622300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Button 328">
              <controlPr defaultSize="0" print="0" autoFill="0" autoPict="0" macro="[0]!ThisWorkbook.自社">
                <anchor moveWithCells="1" sizeWithCells="1">
                  <from>
                    <xdr:col>82</xdr:col>
                    <xdr:colOff>146050</xdr:colOff>
                    <xdr:row>98</xdr:row>
                    <xdr:rowOff>69850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12700</xdr:rowOff>
                  </from>
                  <to>
                    <xdr:col>115</xdr:col>
                    <xdr:colOff>450850</xdr:colOff>
                    <xdr:row>118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450850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Button 35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146050</xdr:colOff>
                    <xdr:row>99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Button 357">
              <controlPr defaultSize="0" print="0" autoFill="0" autoPict="0" macro="[0]!Sheet1.macdadress">
                <anchor moveWithCells="1" sizeWithCells="1">
                  <from>
                    <xdr:col>92</xdr:col>
                    <xdr:colOff>69850</xdr:colOff>
                    <xdr:row>98</xdr:row>
                    <xdr:rowOff>57150</xdr:rowOff>
                  </from>
                  <to>
                    <xdr:col>97</xdr:col>
                    <xdr:colOff>88900</xdr:colOff>
                    <xdr:row>99</xdr:row>
                    <xdr:rowOff>88900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B25" sqref="AB25:AF25"/>
    </sheetView>
  </sheetViews>
  <sheetFormatPr defaultColWidth="2.08984375" defaultRowHeight="13.5" customHeight="1" x14ac:dyDescent="0.2"/>
  <cols>
    <col min="1" max="1" width="7" customWidth="1"/>
    <col min="2" max="2" width="0.6328125" customWidth="1"/>
  </cols>
  <sheetData>
    <row r="1" spans="1:78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2">
      <c r="A3" s="1"/>
      <c r="D3" s="194" t="s">
        <v>167</v>
      </c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AL3" s="5" t="s">
        <v>0</v>
      </c>
      <c r="AM3" s="5"/>
      <c r="AN3" s="197"/>
      <c r="AO3" s="197"/>
      <c r="AP3" s="197"/>
      <c r="AQ3" s="197"/>
      <c r="AR3" s="197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5">
      <c r="A4" s="1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2">
      <c r="A5" s="1"/>
      <c r="B5" s="2"/>
      <c r="C5" s="145" t="s">
        <v>90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7"/>
      <c r="U5" s="84" t="s">
        <v>10</v>
      </c>
      <c r="V5" s="85"/>
      <c r="W5" s="85"/>
      <c r="X5" s="85"/>
      <c r="Y5" s="85"/>
      <c r="Z5" s="85"/>
      <c r="AA5" s="86"/>
      <c r="AB5" s="84" t="s">
        <v>11</v>
      </c>
      <c r="AC5" s="85"/>
      <c r="AD5" s="85"/>
      <c r="AE5" s="85"/>
      <c r="AF5" s="85"/>
      <c r="AG5" s="84" t="s">
        <v>12</v>
      </c>
      <c r="AH5" s="85"/>
      <c r="AI5" s="85"/>
      <c r="AJ5" s="85"/>
      <c r="AK5" s="85"/>
      <c r="AL5" s="85"/>
      <c r="AM5" s="86"/>
      <c r="AN5" s="84" t="s">
        <v>13</v>
      </c>
      <c r="AO5" s="85"/>
      <c r="AP5" s="85"/>
      <c r="AQ5" s="85"/>
      <c r="AR5" s="85"/>
      <c r="AS5" s="85"/>
      <c r="AT5" s="143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2">
      <c r="A6" s="1"/>
      <c r="B6" s="2"/>
      <c r="C6" s="148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50"/>
      <c r="U6" s="87"/>
      <c r="V6" s="88"/>
      <c r="W6" s="88"/>
      <c r="X6" s="88"/>
      <c r="Y6" s="88"/>
      <c r="Z6" s="88"/>
      <c r="AA6" s="89"/>
      <c r="AB6" s="87"/>
      <c r="AC6" s="88"/>
      <c r="AD6" s="88"/>
      <c r="AE6" s="88"/>
      <c r="AF6" s="88"/>
      <c r="AG6" s="87"/>
      <c r="AH6" s="88"/>
      <c r="AI6" s="88"/>
      <c r="AJ6" s="88"/>
      <c r="AK6" s="88"/>
      <c r="AL6" s="88"/>
      <c r="AM6" s="89"/>
      <c r="AN6" s="87"/>
      <c r="AO6" s="88"/>
      <c r="AP6" s="88"/>
      <c r="AQ6" s="88"/>
      <c r="AR6" s="88"/>
      <c r="AS6" s="88"/>
      <c r="AT6" s="144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5" customHeight="1" x14ac:dyDescent="0.2">
      <c r="A7" s="1"/>
      <c r="B7" s="2"/>
      <c r="C7" s="198" t="s">
        <v>115</v>
      </c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/>
      <c r="U7" s="122">
        <v>1</v>
      </c>
      <c r="V7" s="123"/>
      <c r="W7" s="123"/>
      <c r="X7" s="123"/>
      <c r="Y7" s="138" t="s">
        <v>82</v>
      </c>
      <c r="Z7" s="138"/>
      <c r="AA7" s="139"/>
      <c r="AB7" s="122">
        <v>1000</v>
      </c>
      <c r="AC7" s="123"/>
      <c r="AD7" s="123"/>
      <c r="AE7" s="123"/>
      <c r="AF7" s="124"/>
      <c r="AG7" s="122">
        <f>IF(U7="",1*AB7,U7*AB7)</f>
        <v>1000</v>
      </c>
      <c r="AH7" s="123"/>
      <c r="AI7" s="123"/>
      <c r="AJ7" s="123"/>
      <c r="AK7" s="123"/>
      <c r="AL7" s="123"/>
      <c r="AM7" s="124"/>
      <c r="AN7" s="201"/>
      <c r="AO7" s="202"/>
      <c r="AP7" s="202"/>
      <c r="AQ7" s="202"/>
      <c r="AR7" s="202"/>
      <c r="AS7" s="202"/>
      <c r="AT7" s="203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5" customHeight="1" x14ac:dyDescent="0.2">
      <c r="A8" s="1"/>
      <c r="B8" s="2"/>
      <c r="C8" s="198" t="s">
        <v>116</v>
      </c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122">
        <v>1</v>
      </c>
      <c r="V8" s="123"/>
      <c r="W8" s="123"/>
      <c r="X8" s="123"/>
      <c r="Y8" s="138" t="s">
        <v>82</v>
      </c>
      <c r="Z8" s="138"/>
      <c r="AA8" s="139"/>
      <c r="AB8" s="122">
        <v>1000</v>
      </c>
      <c r="AC8" s="123"/>
      <c r="AD8" s="123"/>
      <c r="AE8" s="123"/>
      <c r="AF8" s="124"/>
      <c r="AG8" s="122">
        <f t="shared" ref="AG8:AG29" si="0">IF(U8="",1*AB8,U8*AB8)</f>
        <v>1000</v>
      </c>
      <c r="AH8" s="123"/>
      <c r="AI8" s="123"/>
      <c r="AJ8" s="123"/>
      <c r="AK8" s="123"/>
      <c r="AL8" s="123"/>
      <c r="AM8" s="124"/>
      <c r="AN8" s="201"/>
      <c r="AO8" s="202"/>
      <c r="AP8" s="202"/>
      <c r="AQ8" s="202"/>
      <c r="AR8" s="202"/>
      <c r="AS8" s="202"/>
      <c r="AT8" s="203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5" customHeight="1" x14ac:dyDescent="0.2">
      <c r="A9" s="1"/>
      <c r="B9" s="2"/>
      <c r="C9" s="198" t="s">
        <v>117</v>
      </c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200"/>
      <c r="U9" s="122">
        <v>1</v>
      </c>
      <c r="V9" s="123"/>
      <c r="W9" s="123"/>
      <c r="X9" s="123"/>
      <c r="Y9" s="138" t="s">
        <v>82</v>
      </c>
      <c r="Z9" s="138"/>
      <c r="AA9" s="139"/>
      <c r="AB9" s="122">
        <v>1000</v>
      </c>
      <c r="AC9" s="123"/>
      <c r="AD9" s="123"/>
      <c r="AE9" s="123"/>
      <c r="AF9" s="124"/>
      <c r="AG9" s="122">
        <f t="shared" si="0"/>
        <v>1000</v>
      </c>
      <c r="AH9" s="123"/>
      <c r="AI9" s="123"/>
      <c r="AJ9" s="123"/>
      <c r="AK9" s="123"/>
      <c r="AL9" s="123"/>
      <c r="AM9" s="124"/>
      <c r="AN9" s="201"/>
      <c r="AO9" s="202"/>
      <c r="AP9" s="202"/>
      <c r="AQ9" s="202"/>
      <c r="AR9" s="202"/>
      <c r="AS9" s="202"/>
      <c r="AT9" s="203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5" customHeight="1" x14ac:dyDescent="0.2">
      <c r="A10" s="1"/>
      <c r="B10" s="2"/>
      <c r="C10" s="198" t="s">
        <v>162</v>
      </c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200"/>
      <c r="U10" s="122">
        <v>1</v>
      </c>
      <c r="V10" s="123"/>
      <c r="W10" s="123"/>
      <c r="X10" s="123"/>
      <c r="Y10" s="138" t="s">
        <v>82</v>
      </c>
      <c r="Z10" s="138"/>
      <c r="AA10" s="139"/>
      <c r="AB10" s="122">
        <v>1000</v>
      </c>
      <c r="AC10" s="123"/>
      <c r="AD10" s="123"/>
      <c r="AE10" s="123"/>
      <c r="AF10" s="124"/>
      <c r="AG10" s="122">
        <f t="shared" si="0"/>
        <v>1000</v>
      </c>
      <c r="AH10" s="123"/>
      <c r="AI10" s="123"/>
      <c r="AJ10" s="123"/>
      <c r="AK10" s="123"/>
      <c r="AL10" s="123"/>
      <c r="AM10" s="124"/>
      <c r="AN10" s="201"/>
      <c r="AO10" s="202"/>
      <c r="AP10" s="202"/>
      <c r="AQ10" s="202"/>
      <c r="AR10" s="202"/>
      <c r="AS10" s="202"/>
      <c r="AT10" s="203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5" customHeight="1" x14ac:dyDescent="0.2">
      <c r="A11" s="1"/>
      <c r="B11" s="2"/>
      <c r="C11" s="198" t="s">
        <v>118</v>
      </c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200"/>
      <c r="U11" s="122">
        <v>3</v>
      </c>
      <c r="V11" s="123"/>
      <c r="W11" s="123"/>
      <c r="X11" s="123"/>
      <c r="Y11" s="138" t="s">
        <v>82</v>
      </c>
      <c r="Z11" s="138"/>
      <c r="AA11" s="139"/>
      <c r="AB11" s="122">
        <v>1000</v>
      </c>
      <c r="AC11" s="123"/>
      <c r="AD11" s="123"/>
      <c r="AE11" s="123"/>
      <c r="AF11" s="124"/>
      <c r="AG11" s="122">
        <f t="shared" si="0"/>
        <v>3000</v>
      </c>
      <c r="AH11" s="123"/>
      <c r="AI11" s="123"/>
      <c r="AJ11" s="123"/>
      <c r="AK11" s="123"/>
      <c r="AL11" s="123"/>
      <c r="AM11" s="124"/>
      <c r="AN11" s="201"/>
      <c r="AO11" s="202"/>
      <c r="AP11" s="202"/>
      <c r="AQ11" s="202"/>
      <c r="AR11" s="202"/>
      <c r="AS11" s="202"/>
      <c r="AT11" s="203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5" customHeight="1" x14ac:dyDescent="0.2">
      <c r="A12" s="1"/>
      <c r="B12" s="2"/>
      <c r="C12" s="198" t="s">
        <v>119</v>
      </c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200"/>
      <c r="U12" s="122">
        <v>5</v>
      </c>
      <c r="V12" s="123"/>
      <c r="W12" s="123"/>
      <c r="X12" s="123"/>
      <c r="Y12" s="138" t="s">
        <v>82</v>
      </c>
      <c r="Z12" s="138"/>
      <c r="AA12" s="139"/>
      <c r="AB12" s="122">
        <v>300</v>
      </c>
      <c r="AC12" s="123"/>
      <c r="AD12" s="123"/>
      <c r="AE12" s="123"/>
      <c r="AF12" s="124"/>
      <c r="AG12" s="122">
        <f t="shared" si="0"/>
        <v>1500</v>
      </c>
      <c r="AH12" s="123"/>
      <c r="AI12" s="123"/>
      <c r="AJ12" s="123"/>
      <c r="AK12" s="123"/>
      <c r="AL12" s="123"/>
      <c r="AM12" s="124"/>
      <c r="AN12" s="201"/>
      <c r="AO12" s="202"/>
      <c r="AP12" s="202"/>
      <c r="AQ12" s="202"/>
      <c r="AR12" s="202"/>
      <c r="AS12" s="202"/>
      <c r="AT12" s="203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5" customHeight="1" x14ac:dyDescent="0.2">
      <c r="A13" s="1"/>
      <c r="B13" s="2"/>
      <c r="C13" s="198" t="s">
        <v>122</v>
      </c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200"/>
      <c r="U13" s="122">
        <v>5</v>
      </c>
      <c r="V13" s="123"/>
      <c r="W13" s="123"/>
      <c r="X13" s="123"/>
      <c r="Y13" s="138" t="s">
        <v>82</v>
      </c>
      <c r="Z13" s="138"/>
      <c r="AA13" s="139"/>
      <c r="AB13" s="122">
        <v>300</v>
      </c>
      <c r="AC13" s="123"/>
      <c r="AD13" s="123"/>
      <c r="AE13" s="123"/>
      <c r="AF13" s="124"/>
      <c r="AG13" s="122">
        <f t="shared" si="0"/>
        <v>1500</v>
      </c>
      <c r="AH13" s="123"/>
      <c r="AI13" s="123"/>
      <c r="AJ13" s="123"/>
      <c r="AK13" s="123"/>
      <c r="AL13" s="123"/>
      <c r="AM13" s="124"/>
      <c r="AN13" s="201"/>
      <c r="AO13" s="202"/>
      <c r="AP13" s="202"/>
      <c r="AQ13" s="202"/>
      <c r="AR13" s="202"/>
      <c r="AS13" s="202"/>
      <c r="AT13" s="203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5" customHeight="1" x14ac:dyDescent="0.2">
      <c r="A14" s="1"/>
      <c r="B14" s="2"/>
      <c r="C14" s="198" t="s">
        <v>120</v>
      </c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200"/>
      <c r="U14" s="122">
        <v>5</v>
      </c>
      <c r="V14" s="123"/>
      <c r="W14" s="123"/>
      <c r="X14" s="123"/>
      <c r="Y14" s="138" t="s">
        <v>82</v>
      </c>
      <c r="Z14" s="138"/>
      <c r="AA14" s="139"/>
      <c r="AB14" s="122">
        <v>300</v>
      </c>
      <c r="AC14" s="123"/>
      <c r="AD14" s="123"/>
      <c r="AE14" s="123"/>
      <c r="AF14" s="124"/>
      <c r="AG14" s="122">
        <f t="shared" si="0"/>
        <v>1500</v>
      </c>
      <c r="AH14" s="123"/>
      <c r="AI14" s="123"/>
      <c r="AJ14" s="123"/>
      <c r="AK14" s="123"/>
      <c r="AL14" s="123"/>
      <c r="AM14" s="124"/>
      <c r="AN14" s="201"/>
      <c r="AO14" s="202"/>
      <c r="AP14" s="202"/>
      <c r="AQ14" s="202"/>
      <c r="AR14" s="202"/>
      <c r="AS14" s="202"/>
      <c r="AT14" s="203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5" customHeight="1" x14ac:dyDescent="0.2">
      <c r="A15" s="1"/>
      <c r="B15" s="2"/>
      <c r="C15" s="198" t="s">
        <v>121</v>
      </c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200"/>
      <c r="U15" s="122">
        <v>5</v>
      </c>
      <c r="V15" s="123"/>
      <c r="W15" s="123"/>
      <c r="X15" s="123"/>
      <c r="Y15" s="138" t="s">
        <v>82</v>
      </c>
      <c r="Z15" s="138"/>
      <c r="AA15" s="139"/>
      <c r="AB15" s="122">
        <v>300</v>
      </c>
      <c r="AC15" s="123"/>
      <c r="AD15" s="123"/>
      <c r="AE15" s="123"/>
      <c r="AF15" s="124"/>
      <c r="AG15" s="122">
        <f t="shared" si="0"/>
        <v>1500</v>
      </c>
      <c r="AH15" s="123"/>
      <c r="AI15" s="123"/>
      <c r="AJ15" s="123"/>
      <c r="AK15" s="123"/>
      <c r="AL15" s="123"/>
      <c r="AM15" s="124"/>
      <c r="AN15" s="201"/>
      <c r="AO15" s="202"/>
      <c r="AP15" s="202"/>
      <c r="AQ15" s="202"/>
      <c r="AR15" s="202"/>
      <c r="AS15" s="202"/>
      <c r="AT15" s="203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5" customHeight="1" x14ac:dyDescent="0.2">
      <c r="A16" s="1"/>
      <c r="B16" s="2"/>
      <c r="C16" s="198" t="s">
        <v>123</v>
      </c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200"/>
      <c r="U16" s="122">
        <v>1</v>
      </c>
      <c r="V16" s="123"/>
      <c r="W16" s="123"/>
      <c r="X16" s="123"/>
      <c r="Y16" s="138" t="s">
        <v>82</v>
      </c>
      <c r="Z16" s="138"/>
      <c r="AA16" s="139"/>
      <c r="AB16" s="122">
        <v>9400</v>
      </c>
      <c r="AC16" s="123"/>
      <c r="AD16" s="123"/>
      <c r="AE16" s="123"/>
      <c r="AF16" s="124"/>
      <c r="AG16" s="122">
        <f t="shared" si="0"/>
        <v>9400</v>
      </c>
      <c r="AH16" s="123"/>
      <c r="AI16" s="123"/>
      <c r="AJ16" s="123"/>
      <c r="AK16" s="123"/>
      <c r="AL16" s="123"/>
      <c r="AM16" s="124"/>
      <c r="AN16" s="201"/>
      <c r="AO16" s="202"/>
      <c r="AP16" s="202"/>
      <c r="AQ16" s="202"/>
      <c r="AR16" s="202"/>
      <c r="AS16" s="202"/>
      <c r="AT16" s="203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5" customHeight="1" x14ac:dyDescent="0.2">
      <c r="A17" s="1"/>
      <c r="B17" s="2"/>
      <c r="C17" s="198" t="s">
        <v>124</v>
      </c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200"/>
      <c r="U17" s="122">
        <v>15</v>
      </c>
      <c r="V17" s="123"/>
      <c r="W17" s="123"/>
      <c r="X17" s="123"/>
      <c r="Y17" s="138" t="s">
        <v>82</v>
      </c>
      <c r="Z17" s="138"/>
      <c r="AA17" s="139"/>
      <c r="AB17" s="122">
        <v>1200</v>
      </c>
      <c r="AC17" s="123"/>
      <c r="AD17" s="123"/>
      <c r="AE17" s="123"/>
      <c r="AF17" s="124"/>
      <c r="AG17" s="122">
        <f t="shared" si="0"/>
        <v>18000</v>
      </c>
      <c r="AH17" s="123"/>
      <c r="AI17" s="123"/>
      <c r="AJ17" s="123"/>
      <c r="AK17" s="123"/>
      <c r="AL17" s="123"/>
      <c r="AM17" s="124"/>
      <c r="AN17" s="201"/>
      <c r="AO17" s="202"/>
      <c r="AP17" s="202"/>
      <c r="AQ17" s="202"/>
      <c r="AR17" s="202"/>
      <c r="AS17" s="202"/>
      <c r="AT17" s="203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5" customHeight="1" x14ac:dyDescent="0.2">
      <c r="A18" s="1"/>
      <c r="B18" s="2"/>
      <c r="C18" s="198" t="s">
        <v>125</v>
      </c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200"/>
      <c r="U18" s="122">
        <v>2</v>
      </c>
      <c r="V18" s="123"/>
      <c r="W18" s="123"/>
      <c r="X18" s="123"/>
      <c r="Y18" s="138" t="s">
        <v>82</v>
      </c>
      <c r="Z18" s="138"/>
      <c r="AA18" s="139"/>
      <c r="AB18" s="122">
        <v>9400</v>
      </c>
      <c r="AC18" s="123"/>
      <c r="AD18" s="123"/>
      <c r="AE18" s="123"/>
      <c r="AF18" s="124"/>
      <c r="AG18" s="122">
        <f t="shared" ref="AG18" si="1">IF(U18="",1*AB18,U18*AB18)</f>
        <v>18800</v>
      </c>
      <c r="AH18" s="123"/>
      <c r="AI18" s="123"/>
      <c r="AJ18" s="123"/>
      <c r="AK18" s="123"/>
      <c r="AL18" s="123"/>
      <c r="AM18" s="124"/>
      <c r="AN18" s="201"/>
      <c r="AO18" s="202"/>
      <c r="AP18" s="202"/>
      <c r="AQ18" s="202"/>
      <c r="AR18" s="202"/>
      <c r="AS18" s="202"/>
      <c r="AT18" s="203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5" customHeight="1" x14ac:dyDescent="0.2">
      <c r="A19" s="1"/>
      <c r="B19" s="2"/>
      <c r="C19" s="198" t="s">
        <v>126</v>
      </c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200"/>
      <c r="U19" s="122">
        <v>2</v>
      </c>
      <c r="V19" s="123"/>
      <c r="W19" s="123"/>
      <c r="X19" s="123"/>
      <c r="Y19" s="138" t="s">
        <v>82</v>
      </c>
      <c r="Z19" s="138"/>
      <c r="AA19" s="139"/>
      <c r="AB19" s="122">
        <v>3600</v>
      </c>
      <c r="AC19" s="123"/>
      <c r="AD19" s="123"/>
      <c r="AE19" s="123"/>
      <c r="AF19" s="124"/>
      <c r="AG19" s="122">
        <f t="shared" ref="AG19" si="2">IF(U19="",1*AB19,U19*AB19)</f>
        <v>7200</v>
      </c>
      <c r="AH19" s="123"/>
      <c r="AI19" s="123"/>
      <c r="AJ19" s="123"/>
      <c r="AK19" s="123"/>
      <c r="AL19" s="123"/>
      <c r="AM19" s="124"/>
      <c r="AN19" s="201"/>
      <c r="AO19" s="202"/>
      <c r="AP19" s="202"/>
      <c r="AQ19" s="202"/>
      <c r="AR19" s="202"/>
      <c r="AS19" s="202"/>
      <c r="AT19" s="203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5" customHeight="1" x14ac:dyDescent="0.2">
      <c r="A20" s="1"/>
      <c r="B20" s="2"/>
      <c r="C20" s="135" t="s">
        <v>127</v>
      </c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200"/>
      <c r="U20" s="122">
        <v>1</v>
      </c>
      <c r="V20" s="123"/>
      <c r="W20" s="123"/>
      <c r="X20" s="123"/>
      <c r="Y20" s="138" t="s">
        <v>82</v>
      </c>
      <c r="Z20" s="138"/>
      <c r="AA20" s="139"/>
      <c r="AB20" s="122">
        <v>3600</v>
      </c>
      <c r="AC20" s="123"/>
      <c r="AD20" s="123"/>
      <c r="AE20" s="123"/>
      <c r="AF20" s="124"/>
      <c r="AG20" s="122">
        <f t="shared" ref="AG20" si="3">IF(U20="",1*AB20,U20*AB20)</f>
        <v>3600</v>
      </c>
      <c r="AH20" s="123"/>
      <c r="AI20" s="123"/>
      <c r="AJ20" s="123"/>
      <c r="AK20" s="123"/>
      <c r="AL20" s="123"/>
      <c r="AM20" s="124"/>
      <c r="AN20" s="201"/>
      <c r="AO20" s="202"/>
      <c r="AP20" s="202"/>
      <c r="AQ20" s="202"/>
      <c r="AR20" s="202"/>
      <c r="AS20" s="202"/>
      <c r="AT20" s="203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5" customHeight="1" x14ac:dyDescent="0.2">
      <c r="A21" s="1"/>
      <c r="B21" s="2"/>
      <c r="C21" s="135" t="s">
        <v>128</v>
      </c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7"/>
      <c r="U21" s="122">
        <v>1</v>
      </c>
      <c r="V21" s="123"/>
      <c r="W21" s="123"/>
      <c r="X21" s="123"/>
      <c r="Y21" s="138" t="s">
        <v>81</v>
      </c>
      <c r="Z21" s="138"/>
      <c r="AA21" s="139"/>
      <c r="AB21" s="122">
        <v>12000</v>
      </c>
      <c r="AC21" s="123"/>
      <c r="AD21" s="123"/>
      <c r="AE21" s="123"/>
      <c r="AF21" s="124"/>
      <c r="AG21" s="122">
        <f t="shared" si="0"/>
        <v>12000</v>
      </c>
      <c r="AH21" s="123"/>
      <c r="AI21" s="123"/>
      <c r="AJ21" s="123"/>
      <c r="AK21" s="123"/>
      <c r="AL21" s="123"/>
      <c r="AM21" s="124"/>
      <c r="AN21" s="201"/>
      <c r="AO21" s="202"/>
      <c r="AP21" s="202"/>
      <c r="AQ21" s="202"/>
      <c r="AR21" s="202"/>
      <c r="AS21" s="202"/>
      <c r="AT21" s="203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5" customHeight="1" x14ac:dyDescent="0.2">
      <c r="A22" s="1"/>
      <c r="B22" s="2"/>
      <c r="C22" s="135" t="s">
        <v>129</v>
      </c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7"/>
      <c r="U22" s="122">
        <v>2</v>
      </c>
      <c r="V22" s="123"/>
      <c r="W22" s="123"/>
      <c r="X22" s="123"/>
      <c r="Y22" s="138" t="s">
        <v>81</v>
      </c>
      <c r="Z22" s="138"/>
      <c r="AA22" s="139"/>
      <c r="AB22" s="122">
        <v>2500</v>
      </c>
      <c r="AC22" s="123"/>
      <c r="AD22" s="123"/>
      <c r="AE22" s="123"/>
      <c r="AF22" s="124"/>
      <c r="AG22" s="122">
        <f t="shared" si="0"/>
        <v>5000</v>
      </c>
      <c r="AH22" s="123"/>
      <c r="AI22" s="123"/>
      <c r="AJ22" s="123"/>
      <c r="AK22" s="123"/>
      <c r="AL22" s="123"/>
      <c r="AM22" s="124"/>
      <c r="AN22" s="201"/>
      <c r="AO22" s="202"/>
      <c r="AP22" s="202"/>
      <c r="AQ22" s="202"/>
      <c r="AR22" s="202"/>
      <c r="AS22" s="202"/>
      <c r="AT22" s="203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5" customHeight="1" x14ac:dyDescent="0.2">
      <c r="A23" s="1"/>
      <c r="B23" s="2"/>
      <c r="C23" s="198" t="s">
        <v>161</v>
      </c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200"/>
      <c r="U23" s="122">
        <v>2</v>
      </c>
      <c r="V23" s="123"/>
      <c r="W23" s="123"/>
      <c r="X23" s="123"/>
      <c r="Y23" s="138" t="s">
        <v>81</v>
      </c>
      <c r="Z23" s="138"/>
      <c r="AA23" s="139"/>
      <c r="AB23" s="122">
        <v>2500</v>
      </c>
      <c r="AC23" s="123"/>
      <c r="AD23" s="123"/>
      <c r="AE23" s="123"/>
      <c r="AF23" s="124"/>
      <c r="AG23" s="122">
        <f t="shared" si="0"/>
        <v>5000</v>
      </c>
      <c r="AH23" s="123"/>
      <c r="AI23" s="123"/>
      <c r="AJ23" s="123"/>
      <c r="AK23" s="123"/>
      <c r="AL23" s="123"/>
      <c r="AM23" s="124"/>
      <c r="AN23" s="201"/>
      <c r="AO23" s="202"/>
      <c r="AP23" s="202"/>
      <c r="AQ23" s="202"/>
      <c r="AR23" s="202"/>
      <c r="AS23" s="202"/>
      <c r="AT23" s="203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5" customHeight="1" x14ac:dyDescent="0.2">
      <c r="A24" s="1"/>
      <c r="B24" s="2"/>
      <c r="C24" s="198" t="s">
        <v>130</v>
      </c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200"/>
      <c r="U24" s="122">
        <v>1</v>
      </c>
      <c r="V24" s="123"/>
      <c r="W24" s="123"/>
      <c r="X24" s="123"/>
      <c r="Y24" s="138" t="s">
        <v>96</v>
      </c>
      <c r="Z24" s="138"/>
      <c r="AA24" s="139"/>
      <c r="AB24" s="122">
        <v>23200</v>
      </c>
      <c r="AC24" s="123"/>
      <c r="AD24" s="123"/>
      <c r="AE24" s="123"/>
      <c r="AF24" s="124"/>
      <c r="AG24" s="122">
        <f t="shared" si="0"/>
        <v>23200</v>
      </c>
      <c r="AH24" s="123"/>
      <c r="AI24" s="123"/>
      <c r="AJ24" s="123"/>
      <c r="AK24" s="123"/>
      <c r="AL24" s="123"/>
      <c r="AM24" s="124"/>
      <c r="AN24" s="201"/>
      <c r="AO24" s="202"/>
      <c r="AP24" s="202"/>
      <c r="AQ24" s="202"/>
      <c r="AR24" s="202"/>
      <c r="AS24" s="202"/>
      <c r="AT24" s="203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5" customHeight="1" x14ac:dyDescent="0.2">
      <c r="A25" s="1"/>
      <c r="B25" s="2"/>
      <c r="C25" s="198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200"/>
      <c r="U25" s="122"/>
      <c r="V25" s="123"/>
      <c r="W25" s="123"/>
      <c r="X25" s="123"/>
      <c r="Y25" s="138"/>
      <c r="Z25" s="138"/>
      <c r="AA25" s="139"/>
      <c r="AB25" s="122"/>
      <c r="AC25" s="123"/>
      <c r="AD25" s="123"/>
      <c r="AE25" s="123"/>
      <c r="AF25" s="124"/>
      <c r="AG25" s="122">
        <f t="shared" si="0"/>
        <v>0</v>
      </c>
      <c r="AH25" s="123"/>
      <c r="AI25" s="123"/>
      <c r="AJ25" s="123"/>
      <c r="AK25" s="123"/>
      <c r="AL25" s="123"/>
      <c r="AM25" s="124"/>
      <c r="AN25" s="201"/>
      <c r="AO25" s="202"/>
      <c r="AP25" s="202"/>
      <c r="AQ25" s="202"/>
      <c r="AR25" s="202"/>
      <c r="AS25" s="202"/>
      <c r="AT25" s="203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5" customHeight="1" x14ac:dyDescent="0.2">
      <c r="A26" s="1"/>
      <c r="B26" s="2"/>
      <c r="C26" s="198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200"/>
      <c r="U26" s="122"/>
      <c r="V26" s="123"/>
      <c r="W26" s="123"/>
      <c r="X26" s="123"/>
      <c r="Y26" s="138"/>
      <c r="Z26" s="138"/>
      <c r="AA26" s="139"/>
      <c r="AB26" s="122"/>
      <c r="AC26" s="123"/>
      <c r="AD26" s="123"/>
      <c r="AE26" s="123"/>
      <c r="AF26" s="124"/>
      <c r="AG26" s="122">
        <f t="shared" si="0"/>
        <v>0</v>
      </c>
      <c r="AH26" s="123"/>
      <c r="AI26" s="123"/>
      <c r="AJ26" s="123"/>
      <c r="AK26" s="123"/>
      <c r="AL26" s="123"/>
      <c r="AM26" s="124"/>
      <c r="AN26" s="201"/>
      <c r="AO26" s="202"/>
      <c r="AP26" s="202"/>
      <c r="AQ26" s="202"/>
      <c r="AR26" s="202"/>
      <c r="AS26" s="202"/>
      <c r="AT26" s="203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5" customHeight="1" x14ac:dyDescent="0.2">
      <c r="A27" s="1"/>
      <c r="B27" s="2"/>
      <c r="C27" s="198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200"/>
      <c r="U27" s="122"/>
      <c r="V27" s="123"/>
      <c r="W27" s="123"/>
      <c r="X27" s="123"/>
      <c r="Y27" s="138"/>
      <c r="Z27" s="138"/>
      <c r="AA27" s="139"/>
      <c r="AB27" s="122"/>
      <c r="AC27" s="123"/>
      <c r="AD27" s="123"/>
      <c r="AE27" s="123"/>
      <c r="AF27" s="124"/>
      <c r="AG27" s="122">
        <f t="shared" si="0"/>
        <v>0</v>
      </c>
      <c r="AH27" s="123"/>
      <c r="AI27" s="123"/>
      <c r="AJ27" s="123"/>
      <c r="AK27" s="123"/>
      <c r="AL27" s="123"/>
      <c r="AM27" s="124"/>
      <c r="AN27" s="201"/>
      <c r="AO27" s="202"/>
      <c r="AP27" s="202"/>
      <c r="AQ27" s="202"/>
      <c r="AR27" s="202"/>
      <c r="AS27" s="202"/>
      <c r="AT27" s="203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5" customHeight="1" x14ac:dyDescent="0.2">
      <c r="A28" s="1"/>
      <c r="B28" s="2"/>
      <c r="C28" s="198"/>
      <c r="D28" s="199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200"/>
      <c r="U28" s="122"/>
      <c r="V28" s="123"/>
      <c r="W28" s="123"/>
      <c r="X28" s="123"/>
      <c r="Y28" s="138"/>
      <c r="Z28" s="138"/>
      <c r="AA28" s="139"/>
      <c r="AB28" s="122"/>
      <c r="AC28" s="123"/>
      <c r="AD28" s="123"/>
      <c r="AE28" s="123"/>
      <c r="AF28" s="124"/>
      <c r="AG28" s="122">
        <f t="shared" si="0"/>
        <v>0</v>
      </c>
      <c r="AH28" s="123"/>
      <c r="AI28" s="123"/>
      <c r="AJ28" s="123"/>
      <c r="AK28" s="123"/>
      <c r="AL28" s="123"/>
      <c r="AM28" s="124"/>
      <c r="AN28" s="201"/>
      <c r="AO28" s="202"/>
      <c r="AP28" s="202"/>
      <c r="AQ28" s="202"/>
      <c r="AR28" s="202"/>
      <c r="AS28" s="202"/>
      <c r="AT28" s="203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5" customHeight="1" x14ac:dyDescent="0.2">
      <c r="A29" s="1"/>
      <c r="B29" s="2" t="s">
        <v>92</v>
      </c>
      <c r="C29" s="198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200"/>
      <c r="U29" s="122"/>
      <c r="V29" s="123"/>
      <c r="W29" s="123"/>
      <c r="X29" s="123"/>
      <c r="Y29" s="138"/>
      <c r="Z29" s="138"/>
      <c r="AA29" s="139"/>
      <c r="AB29" s="211"/>
      <c r="AC29" s="212"/>
      <c r="AD29" s="212"/>
      <c r="AE29" s="212"/>
      <c r="AF29" s="213"/>
      <c r="AG29" s="211">
        <f t="shared" si="0"/>
        <v>0</v>
      </c>
      <c r="AH29" s="212"/>
      <c r="AI29" s="212"/>
      <c r="AJ29" s="212"/>
      <c r="AK29" s="212"/>
      <c r="AL29" s="212"/>
      <c r="AM29" s="213"/>
      <c r="AN29" s="201"/>
      <c r="AO29" s="202"/>
      <c r="AP29" s="202"/>
      <c r="AQ29" s="202"/>
      <c r="AR29" s="202"/>
      <c r="AS29" s="202"/>
      <c r="AT29" s="203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5" customHeight="1" thickBot="1" x14ac:dyDescent="0.25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1" t="s">
        <v>44</v>
      </c>
      <c r="V30" s="152"/>
      <c r="W30" s="152"/>
      <c r="X30" s="152"/>
      <c r="Y30" s="152"/>
      <c r="Z30" s="152"/>
      <c r="AA30" s="153"/>
      <c r="AB30" s="204">
        <f>SUM(AG7:AG29)</f>
        <v>115200</v>
      </c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6"/>
      <c r="AO30" s="207"/>
      <c r="AP30" s="207"/>
      <c r="AQ30" s="207"/>
      <c r="AR30" s="207"/>
      <c r="AS30" s="207"/>
      <c r="AT30" s="208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2">
      <c r="CS103" s="27" t="s">
        <v>18</v>
      </c>
      <c r="CT103" s="14"/>
    </row>
    <row r="104" spans="97:98" ht="13.5" customHeight="1" x14ac:dyDescent="0.2">
      <c r="CS104" s="58" t="str">
        <f>見積書A4!CS104</f>
        <v>台</v>
      </c>
      <c r="CT104" s="18"/>
    </row>
    <row r="105" spans="97:98" ht="13.5" customHeight="1" x14ac:dyDescent="0.2">
      <c r="CS105" s="58" t="str">
        <f>見積書A4!CS105</f>
        <v>個</v>
      </c>
      <c r="CT105" s="18"/>
    </row>
    <row r="106" spans="97:98" ht="13.5" customHeight="1" x14ac:dyDescent="0.2">
      <c r="CS106" s="58" t="str">
        <f>見積書A4!CS106</f>
        <v>一式</v>
      </c>
      <c r="CT106" s="21"/>
    </row>
    <row r="107" spans="97:98" ht="13.5" customHeight="1" x14ac:dyDescent="0.2">
      <c r="CS107" s="58" t="str">
        <f>見積書A4!CS107</f>
        <v>冊</v>
      </c>
      <c r="CT107" s="18"/>
    </row>
    <row r="108" spans="97:98" ht="13.5" customHeight="1" x14ac:dyDescent="0.2">
      <c r="CS108" s="58" t="str">
        <f>見積書A4!CS108</f>
        <v>箱</v>
      </c>
      <c r="CT108" s="18"/>
    </row>
    <row r="109" spans="97:98" ht="13.5" customHeight="1" x14ac:dyDescent="0.2">
      <c r="CS109" s="58" t="str">
        <f>見積書A4!CS109</f>
        <v>C/S</v>
      </c>
      <c r="CT109" s="20"/>
    </row>
    <row r="110" spans="97:98" ht="13.5" customHeight="1" x14ac:dyDescent="0.2">
      <c r="CS110" s="58" t="str">
        <f>見積書A4!CS110</f>
        <v>SET</v>
      </c>
      <c r="CT110" s="20"/>
    </row>
    <row r="111" spans="97:98" ht="13.5" customHeight="1" x14ac:dyDescent="0.2">
      <c r="CS111" s="58" t="str">
        <f>見積書A4!CS111</f>
        <v>本</v>
      </c>
      <c r="CT111" s="18"/>
    </row>
    <row r="112" spans="97:98" ht="13.5" customHeight="1" x14ac:dyDescent="0.2">
      <c r="CS112" s="58" t="str">
        <f>見積書A4!CS112</f>
        <v>束</v>
      </c>
      <c r="CT112" s="18"/>
    </row>
    <row r="113" spans="87:125" ht="13.5" customHeight="1" x14ac:dyDescent="0.2">
      <c r="CS113" s="58" t="str">
        <f>見積書A4!CS113</f>
        <v>枚</v>
      </c>
      <c r="CT113" s="18"/>
    </row>
    <row r="114" spans="87:125" ht="13.5" customHeight="1" x14ac:dyDescent="0.2">
      <c r="CS114" s="58" t="str">
        <f>見積書A4!CS114</f>
        <v>ﾊﾟｯｸ</v>
      </c>
      <c r="CT114" s="21"/>
    </row>
    <row r="115" spans="87:125" ht="13.5" customHeight="1" x14ac:dyDescent="0.2">
      <c r="CS115" s="58" t="str">
        <f>見積書A4!CS115</f>
        <v>ｷｯﾄ</v>
      </c>
      <c r="CT115" s="18"/>
    </row>
    <row r="116" spans="87:125" ht="13.5" customHeight="1" x14ac:dyDescent="0.2">
      <c r="CS116" s="58">
        <f>見積書A4!CS116</f>
        <v>0</v>
      </c>
      <c r="CT116" s="18"/>
    </row>
    <row r="119" spans="87:125" ht="13.5" customHeight="1" x14ac:dyDescent="0.2">
      <c r="CI119" s="134" t="s">
        <v>43</v>
      </c>
      <c r="CJ119" s="134"/>
      <c r="CK119" s="134"/>
      <c r="CL119" s="134"/>
      <c r="CM119" s="209" t="str">
        <f>見積書A4!CM119</f>
        <v>C:\Documents and Settings\sato\My Documents\シンプル見積書\</v>
      </c>
      <c r="CN119" s="210"/>
      <c r="CO119" s="210"/>
      <c r="CP119" s="210"/>
      <c r="CQ119" s="210"/>
      <c r="CR119" s="210"/>
      <c r="CS119" s="210"/>
      <c r="CT119" s="210"/>
      <c r="CU119" s="210"/>
      <c r="CV119" s="210"/>
      <c r="CW119" s="210"/>
      <c r="CX119" s="210"/>
      <c r="CY119" s="210"/>
      <c r="CZ119" s="210"/>
      <c r="DA119" s="210"/>
      <c r="DB119" s="210"/>
      <c r="DC119" s="210"/>
      <c r="DD119" s="210"/>
      <c r="DE119" s="210"/>
      <c r="DF119" s="210"/>
      <c r="DG119" s="210"/>
      <c r="DH119" s="210"/>
      <c r="DI119" s="210"/>
      <c r="DJ119" s="210"/>
      <c r="DK119" s="210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2">
      <c r="CI120" s="134" t="s">
        <v>74</v>
      </c>
      <c r="CJ120" s="134"/>
      <c r="CK120" s="134"/>
      <c r="CL120" s="134"/>
      <c r="CM120" s="209">
        <f>見積書A4!CM120</f>
        <v>0</v>
      </c>
      <c r="CN120" s="210"/>
      <c r="CO120" s="210"/>
      <c r="CP120" s="210"/>
      <c r="CQ120" s="210"/>
      <c r="CR120" s="210"/>
      <c r="CS120" s="210"/>
      <c r="CT120" s="210"/>
      <c r="CU120" s="210"/>
      <c r="CV120" s="210"/>
      <c r="CW120" s="210"/>
      <c r="CX120" s="210"/>
      <c r="CY120" s="210"/>
      <c r="CZ120" s="210"/>
      <c r="DA120" s="210"/>
      <c r="DB120" s="210"/>
      <c r="DC120" s="210"/>
      <c r="DD120" s="210"/>
      <c r="DE120" s="210"/>
      <c r="DF120" s="210"/>
      <c r="DG120" s="210"/>
      <c r="DH120" s="210"/>
      <c r="DI120" s="210"/>
      <c r="DJ120" s="210"/>
      <c r="DK120" s="210"/>
    </row>
    <row r="178" spans="16:16" ht="13.5" customHeight="1" x14ac:dyDescent="0.2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00000000-0002-0000-0100-000000000000}">
      <formula1>$CS$104:$CS$116</formula1>
    </dataValidation>
    <dataValidation imeMode="hiragana" allowBlank="1" showInputMessage="1" showErrorMessage="1" prompt="備考があれば入力" sqref="AN7:AT29" xr:uid="{00000000-0002-0000-0100-000001000000}"/>
    <dataValidation imeMode="off" allowBlank="1" showInputMessage="1" showErrorMessage="1" prompt="単価を入力" sqref="AB7:AF29" xr:uid="{00000000-0002-0000-0100-000002000000}"/>
    <dataValidation imeMode="off" allowBlank="1" showInputMessage="1" showErrorMessage="1" prompt="数量を入力" sqref="U7:X29" xr:uid="{00000000-0002-0000-0100-000003000000}"/>
    <dataValidation imeMode="hiragana" allowBlank="1" showInputMessage="1" showErrorMessage="1" prompt="品名を入力" sqref="D7:T7 D19:T19 C7:C29 D23:T29" xr:uid="{00000000-0002-0000-01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88900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107950</xdr:colOff>
                    <xdr:row>0</xdr:row>
                    <xdr:rowOff>88900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Button 3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88900</xdr:rowOff>
                  </from>
                  <to>
                    <xdr:col>10</xdr:col>
                    <xdr:colOff>127000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Button 4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88900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Button 5">
              <controlPr defaultSize="0" print="0" autoFill="0" autoPict="0" macro="[0]!ThisWorkbook.ヘルプ">
                <anchor moveWithCells="1" sizeWithCells="1">
                  <from>
                    <xdr:col>38</xdr:col>
                    <xdr:colOff>88900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6</xdr:row>
                    <xdr:rowOff>107950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7</xdr:row>
                    <xdr:rowOff>69850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10</xdr:row>
                    <xdr:rowOff>88900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13</xdr:row>
                    <xdr:rowOff>88900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17</xdr:row>
                    <xdr:rowOff>88900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19</xdr:row>
                    <xdr:rowOff>88900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20</xdr:row>
                    <xdr:rowOff>88900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21</xdr:row>
                    <xdr:rowOff>88900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23</xdr:row>
                    <xdr:rowOff>88900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24</xdr:row>
                    <xdr:rowOff>88900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25</xdr:row>
                    <xdr:rowOff>88900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27</xdr:row>
                    <xdr:rowOff>88900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69850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Button 30">
              <controlPr defaultSize="0" print="0" autoFill="0" autoPict="0" macro="[0]!ThisWorkbook.表示11">
                <anchor moveWithCells="1" sizeWithCells="1">
                  <from>
                    <xdr:col>25</xdr:col>
                    <xdr:colOff>88900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127000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88900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146050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7"/>
    </sheetView>
  </sheetViews>
  <sheetFormatPr defaultColWidth="2.08984375" defaultRowHeight="13.5" customHeight="1" x14ac:dyDescent="0.2"/>
  <cols>
    <col min="1" max="1" width="7" customWidth="1"/>
    <col min="2" max="2" width="0.6328125" customWidth="1"/>
  </cols>
  <sheetData>
    <row r="1" spans="1:78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2">
      <c r="A3" s="1"/>
      <c r="D3" s="194" t="s">
        <v>97</v>
      </c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AL3" s="5" t="s">
        <v>0</v>
      </c>
      <c r="AM3" s="5"/>
      <c r="AN3" s="197"/>
      <c r="AO3" s="197"/>
      <c r="AP3" s="197"/>
      <c r="AQ3" s="197"/>
      <c r="AR3" s="197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5">
      <c r="A4" s="1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2">
      <c r="A5" s="1"/>
      <c r="B5" s="2"/>
      <c r="C5" s="145" t="s">
        <v>90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7"/>
      <c r="U5" s="84" t="s">
        <v>10</v>
      </c>
      <c r="V5" s="85"/>
      <c r="W5" s="85"/>
      <c r="X5" s="85"/>
      <c r="Y5" s="85"/>
      <c r="Z5" s="85"/>
      <c r="AA5" s="86"/>
      <c r="AB5" s="84" t="s">
        <v>11</v>
      </c>
      <c r="AC5" s="85"/>
      <c r="AD5" s="85"/>
      <c r="AE5" s="85"/>
      <c r="AF5" s="85"/>
      <c r="AG5" s="84" t="s">
        <v>12</v>
      </c>
      <c r="AH5" s="85"/>
      <c r="AI5" s="85"/>
      <c r="AJ5" s="85"/>
      <c r="AK5" s="85"/>
      <c r="AL5" s="85"/>
      <c r="AM5" s="86"/>
      <c r="AN5" s="84" t="s">
        <v>13</v>
      </c>
      <c r="AO5" s="85"/>
      <c r="AP5" s="85"/>
      <c r="AQ5" s="85"/>
      <c r="AR5" s="85"/>
      <c r="AS5" s="85"/>
      <c r="AT5" s="143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2">
      <c r="A6" s="1"/>
      <c r="B6" s="2"/>
      <c r="C6" s="148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50"/>
      <c r="U6" s="87"/>
      <c r="V6" s="88"/>
      <c r="W6" s="88"/>
      <c r="X6" s="88"/>
      <c r="Y6" s="88"/>
      <c r="Z6" s="88"/>
      <c r="AA6" s="89"/>
      <c r="AB6" s="87"/>
      <c r="AC6" s="88"/>
      <c r="AD6" s="88"/>
      <c r="AE6" s="88"/>
      <c r="AF6" s="88"/>
      <c r="AG6" s="87"/>
      <c r="AH6" s="88"/>
      <c r="AI6" s="88"/>
      <c r="AJ6" s="88"/>
      <c r="AK6" s="88"/>
      <c r="AL6" s="88"/>
      <c r="AM6" s="89"/>
      <c r="AN6" s="87"/>
      <c r="AO6" s="88"/>
      <c r="AP6" s="88"/>
      <c r="AQ6" s="88"/>
      <c r="AR6" s="88"/>
      <c r="AS6" s="88"/>
      <c r="AT6" s="144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5" customHeight="1" x14ac:dyDescent="0.2">
      <c r="A7" s="1"/>
      <c r="B7" s="2"/>
      <c r="C7" s="198" t="s">
        <v>131</v>
      </c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/>
      <c r="U7" s="122">
        <v>1</v>
      </c>
      <c r="V7" s="123"/>
      <c r="W7" s="123"/>
      <c r="X7" s="123"/>
      <c r="Y7" s="138" t="s">
        <v>96</v>
      </c>
      <c r="Z7" s="138"/>
      <c r="AA7" s="139"/>
      <c r="AB7" s="122"/>
      <c r="AC7" s="123"/>
      <c r="AD7" s="123"/>
      <c r="AE7" s="123"/>
      <c r="AF7" s="124"/>
      <c r="AG7" s="122">
        <f>IF(U7="",1*AB7,U7*AB7)</f>
        <v>0</v>
      </c>
      <c r="AH7" s="123"/>
      <c r="AI7" s="123"/>
      <c r="AJ7" s="123"/>
      <c r="AK7" s="123"/>
      <c r="AL7" s="123"/>
      <c r="AM7" s="124"/>
      <c r="AN7" s="201"/>
      <c r="AO7" s="202"/>
      <c r="AP7" s="202"/>
      <c r="AQ7" s="202"/>
      <c r="AR7" s="202"/>
      <c r="AS7" s="202"/>
      <c r="AT7" s="203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5" customHeight="1" x14ac:dyDescent="0.2">
      <c r="A8" s="1"/>
      <c r="B8" s="2"/>
      <c r="C8" s="198" t="s">
        <v>132</v>
      </c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122">
        <v>1</v>
      </c>
      <c r="V8" s="123"/>
      <c r="W8" s="123"/>
      <c r="X8" s="123"/>
      <c r="Y8" s="138" t="s">
        <v>96</v>
      </c>
      <c r="Z8" s="138"/>
      <c r="AA8" s="139"/>
      <c r="AB8" s="122"/>
      <c r="AC8" s="123"/>
      <c r="AD8" s="123"/>
      <c r="AE8" s="123"/>
      <c r="AF8" s="124"/>
      <c r="AG8" s="122">
        <f t="shared" ref="AG8:AG29" si="0">IF(U8="",1*AB8,U8*AB8)</f>
        <v>0</v>
      </c>
      <c r="AH8" s="123"/>
      <c r="AI8" s="123"/>
      <c r="AJ8" s="123"/>
      <c r="AK8" s="123"/>
      <c r="AL8" s="123"/>
      <c r="AM8" s="124"/>
      <c r="AN8" s="201"/>
      <c r="AO8" s="202"/>
      <c r="AP8" s="202"/>
      <c r="AQ8" s="202"/>
      <c r="AR8" s="202"/>
      <c r="AS8" s="202"/>
      <c r="AT8" s="203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5" customHeight="1" x14ac:dyDescent="0.2">
      <c r="A9" s="1"/>
      <c r="B9" s="2"/>
      <c r="C9" s="198" t="s">
        <v>133</v>
      </c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200"/>
      <c r="U9" s="122">
        <v>1</v>
      </c>
      <c r="V9" s="123"/>
      <c r="W9" s="123"/>
      <c r="X9" s="123"/>
      <c r="Y9" s="138" t="s">
        <v>96</v>
      </c>
      <c r="Z9" s="138"/>
      <c r="AA9" s="139"/>
      <c r="AB9" s="122"/>
      <c r="AC9" s="123"/>
      <c r="AD9" s="123"/>
      <c r="AE9" s="123"/>
      <c r="AF9" s="124"/>
      <c r="AG9" s="122"/>
      <c r="AH9" s="123"/>
      <c r="AI9" s="123"/>
      <c r="AJ9" s="123"/>
      <c r="AK9" s="123"/>
      <c r="AL9" s="123"/>
      <c r="AM9" s="124"/>
      <c r="AN9" s="201"/>
      <c r="AO9" s="202"/>
      <c r="AP9" s="202"/>
      <c r="AQ9" s="202"/>
      <c r="AR9" s="202"/>
      <c r="AS9" s="202"/>
      <c r="AT9" s="203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5" customHeight="1" x14ac:dyDescent="0.2">
      <c r="A10" s="1"/>
      <c r="B10" s="2"/>
      <c r="C10" s="198" t="s">
        <v>134</v>
      </c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200"/>
      <c r="U10" s="122">
        <v>1</v>
      </c>
      <c r="V10" s="123"/>
      <c r="W10" s="123"/>
      <c r="X10" s="123"/>
      <c r="Y10" s="138" t="s">
        <v>96</v>
      </c>
      <c r="Z10" s="138"/>
      <c r="AA10" s="139"/>
      <c r="AB10" s="122"/>
      <c r="AC10" s="123"/>
      <c r="AD10" s="123"/>
      <c r="AE10" s="123"/>
      <c r="AF10" s="124"/>
      <c r="AG10" s="122">
        <f t="shared" si="0"/>
        <v>0</v>
      </c>
      <c r="AH10" s="123"/>
      <c r="AI10" s="123"/>
      <c r="AJ10" s="123"/>
      <c r="AK10" s="123"/>
      <c r="AL10" s="123"/>
      <c r="AM10" s="124"/>
      <c r="AN10" s="201"/>
      <c r="AO10" s="202"/>
      <c r="AP10" s="202"/>
      <c r="AQ10" s="202"/>
      <c r="AR10" s="202"/>
      <c r="AS10" s="202"/>
      <c r="AT10" s="203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5" customHeight="1" x14ac:dyDescent="0.2">
      <c r="A11" s="1"/>
      <c r="B11" s="2"/>
      <c r="C11" s="198" t="s">
        <v>135</v>
      </c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200"/>
      <c r="U11" s="122">
        <v>1</v>
      </c>
      <c r="V11" s="123"/>
      <c r="W11" s="123"/>
      <c r="X11" s="123"/>
      <c r="Y11" s="138" t="s">
        <v>96</v>
      </c>
      <c r="Z11" s="138"/>
      <c r="AA11" s="139"/>
      <c r="AB11" s="122"/>
      <c r="AC11" s="123"/>
      <c r="AD11" s="123"/>
      <c r="AE11" s="123"/>
      <c r="AF11" s="124"/>
      <c r="AG11" s="122">
        <f t="shared" si="0"/>
        <v>0</v>
      </c>
      <c r="AH11" s="123"/>
      <c r="AI11" s="123"/>
      <c r="AJ11" s="123"/>
      <c r="AK11" s="123"/>
      <c r="AL11" s="123"/>
      <c r="AM11" s="124"/>
      <c r="AN11" s="201"/>
      <c r="AO11" s="202"/>
      <c r="AP11" s="202"/>
      <c r="AQ11" s="202"/>
      <c r="AR11" s="202"/>
      <c r="AS11" s="202"/>
      <c r="AT11" s="203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5" customHeight="1" x14ac:dyDescent="0.2">
      <c r="A12" s="1"/>
      <c r="B12" s="2"/>
      <c r="C12" s="198" t="s">
        <v>136</v>
      </c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200"/>
      <c r="U12" s="122">
        <v>1</v>
      </c>
      <c r="V12" s="123"/>
      <c r="W12" s="123"/>
      <c r="X12" s="123"/>
      <c r="Y12" s="138" t="s">
        <v>96</v>
      </c>
      <c r="Z12" s="138"/>
      <c r="AA12" s="139"/>
      <c r="AB12" s="122"/>
      <c r="AC12" s="123"/>
      <c r="AD12" s="123"/>
      <c r="AE12" s="123"/>
      <c r="AF12" s="124"/>
      <c r="AG12" s="122">
        <f t="shared" si="0"/>
        <v>0</v>
      </c>
      <c r="AH12" s="123"/>
      <c r="AI12" s="123"/>
      <c r="AJ12" s="123"/>
      <c r="AK12" s="123"/>
      <c r="AL12" s="123"/>
      <c r="AM12" s="124"/>
      <c r="AN12" s="201"/>
      <c r="AO12" s="202"/>
      <c r="AP12" s="202"/>
      <c r="AQ12" s="202"/>
      <c r="AR12" s="202"/>
      <c r="AS12" s="202"/>
      <c r="AT12" s="203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5" customHeight="1" x14ac:dyDescent="0.2">
      <c r="A13" s="1"/>
      <c r="B13" s="2"/>
      <c r="C13" s="198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200"/>
      <c r="U13" s="122"/>
      <c r="V13" s="123"/>
      <c r="W13" s="123"/>
      <c r="X13" s="123"/>
      <c r="Y13" s="138"/>
      <c r="Z13" s="138"/>
      <c r="AA13" s="139"/>
      <c r="AB13" s="122"/>
      <c r="AC13" s="123"/>
      <c r="AD13" s="123"/>
      <c r="AE13" s="123"/>
      <c r="AF13" s="124"/>
      <c r="AG13" s="122">
        <f t="shared" si="0"/>
        <v>0</v>
      </c>
      <c r="AH13" s="123"/>
      <c r="AI13" s="123"/>
      <c r="AJ13" s="123"/>
      <c r="AK13" s="123"/>
      <c r="AL13" s="123"/>
      <c r="AM13" s="124"/>
      <c r="AN13" s="201"/>
      <c r="AO13" s="202"/>
      <c r="AP13" s="202"/>
      <c r="AQ13" s="202"/>
      <c r="AR13" s="202"/>
      <c r="AS13" s="202"/>
      <c r="AT13" s="203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5" customHeight="1" x14ac:dyDescent="0.2">
      <c r="A14" s="1"/>
      <c r="B14" s="2"/>
      <c r="C14" s="198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200"/>
      <c r="U14" s="122"/>
      <c r="V14" s="123"/>
      <c r="W14" s="123"/>
      <c r="X14" s="123"/>
      <c r="Y14" s="138"/>
      <c r="Z14" s="138"/>
      <c r="AA14" s="139"/>
      <c r="AB14" s="122"/>
      <c r="AC14" s="123"/>
      <c r="AD14" s="123"/>
      <c r="AE14" s="123"/>
      <c r="AF14" s="124"/>
      <c r="AG14" s="122">
        <f t="shared" si="0"/>
        <v>0</v>
      </c>
      <c r="AH14" s="123"/>
      <c r="AI14" s="123"/>
      <c r="AJ14" s="123"/>
      <c r="AK14" s="123"/>
      <c r="AL14" s="123"/>
      <c r="AM14" s="124"/>
      <c r="AN14" s="201"/>
      <c r="AO14" s="202"/>
      <c r="AP14" s="202"/>
      <c r="AQ14" s="202"/>
      <c r="AR14" s="202"/>
      <c r="AS14" s="202"/>
      <c r="AT14" s="203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5" customHeight="1" x14ac:dyDescent="0.2">
      <c r="A15" s="1"/>
      <c r="B15" s="2"/>
      <c r="C15" s="198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200"/>
      <c r="U15" s="122"/>
      <c r="V15" s="123"/>
      <c r="W15" s="123"/>
      <c r="X15" s="123"/>
      <c r="Y15" s="138"/>
      <c r="Z15" s="138"/>
      <c r="AA15" s="139"/>
      <c r="AB15" s="122"/>
      <c r="AC15" s="123"/>
      <c r="AD15" s="123"/>
      <c r="AE15" s="123"/>
      <c r="AF15" s="124"/>
      <c r="AG15" s="122">
        <f t="shared" si="0"/>
        <v>0</v>
      </c>
      <c r="AH15" s="123"/>
      <c r="AI15" s="123"/>
      <c r="AJ15" s="123"/>
      <c r="AK15" s="123"/>
      <c r="AL15" s="123"/>
      <c r="AM15" s="124"/>
      <c r="AN15" s="201"/>
      <c r="AO15" s="202"/>
      <c r="AP15" s="202"/>
      <c r="AQ15" s="202"/>
      <c r="AR15" s="202"/>
      <c r="AS15" s="202"/>
      <c r="AT15" s="203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5" customHeight="1" x14ac:dyDescent="0.2">
      <c r="A16" s="1"/>
      <c r="B16" s="2"/>
      <c r="C16" s="198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200"/>
      <c r="U16" s="122"/>
      <c r="V16" s="123"/>
      <c r="W16" s="123"/>
      <c r="X16" s="123"/>
      <c r="Y16" s="138"/>
      <c r="Z16" s="138"/>
      <c r="AA16" s="139"/>
      <c r="AB16" s="122"/>
      <c r="AC16" s="123"/>
      <c r="AD16" s="123"/>
      <c r="AE16" s="123"/>
      <c r="AF16" s="124"/>
      <c r="AG16" s="122">
        <f t="shared" si="0"/>
        <v>0</v>
      </c>
      <c r="AH16" s="123"/>
      <c r="AI16" s="123"/>
      <c r="AJ16" s="123"/>
      <c r="AK16" s="123"/>
      <c r="AL16" s="123"/>
      <c r="AM16" s="124"/>
      <c r="AN16" s="201"/>
      <c r="AO16" s="202"/>
      <c r="AP16" s="202"/>
      <c r="AQ16" s="202"/>
      <c r="AR16" s="202"/>
      <c r="AS16" s="202"/>
      <c r="AT16" s="203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5" customHeight="1" x14ac:dyDescent="0.2">
      <c r="A17" s="1"/>
      <c r="B17" s="2"/>
      <c r="C17" s="198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200"/>
      <c r="U17" s="122"/>
      <c r="V17" s="123"/>
      <c r="W17" s="123"/>
      <c r="X17" s="123"/>
      <c r="Y17" s="138"/>
      <c r="Z17" s="138"/>
      <c r="AA17" s="139"/>
      <c r="AB17" s="122"/>
      <c r="AC17" s="123"/>
      <c r="AD17" s="123"/>
      <c r="AE17" s="123"/>
      <c r="AF17" s="124"/>
      <c r="AG17" s="122">
        <f t="shared" si="0"/>
        <v>0</v>
      </c>
      <c r="AH17" s="123"/>
      <c r="AI17" s="123"/>
      <c r="AJ17" s="123"/>
      <c r="AK17" s="123"/>
      <c r="AL17" s="123"/>
      <c r="AM17" s="124"/>
      <c r="AN17" s="201"/>
      <c r="AO17" s="202"/>
      <c r="AP17" s="202"/>
      <c r="AQ17" s="202"/>
      <c r="AR17" s="202"/>
      <c r="AS17" s="202"/>
      <c r="AT17" s="203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5" customHeight="1" x14ac:dyDescent="0.2">
      <c r="A18" s="1"/>
      <c r="B18" s="2"/>
      <c r="C18" s="198"/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200"/>
      <c r="U18" s="122"/>
      <c r="V18" s="123"/>
      <c r="W18" s="123"/>
      <c r="X18" s="123"/>
      <c r="Y18" s="138"/>
      <c r="Z18" s="138"/>
      <c r="AA18" s="139"/>
      <c r="AB18" s="122"/>
      <c r="AC18" s="123"/>
      <c r="AD18" s="123"/>
      <c r="AE18" s="123"/>
      <c r="AF18" s="124"/>
      <c r="AG18" s="122">
        <f t="shared" si="0"/>
        <v>0</v>
      </c>
      <c r="AH18" s="123"/>
      <c r="AI18" s="123"/>
      <c r="AJ18" s="123"/>
      <c r="AK18" s="123"/>
      <c r="AL18" s="123"/>
      <c r="AM18" s="124"/>
      <c r="AN18" s="201"/>
      <c r="AO18" s="202"/>
      <c r="AP18" s="202"/>
      <c r="AQ18" s="202"/>
      <c r="AR18" s="202"/>
      <c r="AS18" s="202"/>
      <c r="AT18" s="203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5" customHeight="1" x14ac:dyDescent="0.2">
      <c r="A19" s="1"/>
      <c r="B19" s="2"/>
      <c r="C19" s="198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200"/>
      <c r="U19" s="122"/>
      <c r="V19" s="123"/>
      <c r="W19" s="123"/>
      <c r="X19" s="123"/>
      <c r="Y19" s="138"/>
      <c r="Z19" s="138"/>
      <c r="AA19" s="139"/>
      <c r="AB19" s="122"/>
      <c r="AC19" s="123"/>
      <c r="AD19" s="123"/>
      <c r="AE19" s="123"/>
      <c r="AF19" s="124"/>
      <c r="AG19" s="122">
        <f t="shared" si="0"/>
        <v>0</v>
      </c>
      <c r="AH19" s="123"/>
      <c r="AI19" s="123"/>
      <c r="AJ19" s="123"/>
      <c r="AK19" s="123"/>
      <c r="AL19" s="123"/>
      <c r="AM19" s="124"/>
      <c r="AN19" s="201"/>
      <c r="AO19" s="202"/>
      <c r="AP19" s="202"/>
      <c r="AQ19" s="202"/>
      <c r="AR19" s="202"/>
      <c r="AS19" s="202"/>
      <c r="AT19" s="203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5" customHeight="1" x14ac:dyDescent="0.2">
      <c r="A20" s="1"/>
      <c r="B20" s="2"/>
      <c r="C20" s="198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200"/>
      <c r="U20" s="122"/>
      <c r="V20" s="123"/>
      <c r="W20" s="123"/>
      <c r="X20" s="123"/>
      <c r="Y20" s="138"/>
      <c r="Z20" s="138"/>
      <c r="AA20" s="139"/>
      <c r="AB20" s="122"/>
      <c r="AC20" s="123"/>
      <c r="AD20" s="123"/>
      <c r="AE20" s="123"/>
      <c r="AF20" s="124"/>
      <c r="AG20" s="122">
        <f t="shared" si="0"/>
        <v>0</v>
      </c>
      <c r="AH20" s="123"/>
      <c r="AI20" s="123"/>
      <c r="AJ20" s="123"/>
      <c r="AK20" s="123"/>
      <c r="AL20" s="123"/>
      <c r="AM20" s="124"/>
      <c r="AN20" s="201"/>
      <c r="AO20" s="202"/>
      <c r="AP20" s="202"/>
      <c r="AQ20" s="202"/>
      <c r="AR20" s="202"/>
      <c r="AS20" s="202"/>
      <c r="AT20" s="203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5" customHeight="1" x14ac:dyDescent="0.2">
      <c r="A21" s="1"/>
      <c r="B21" s="2"/>
      <c r="C21" s="198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200"/>
      <c r="U21" s="122"/>
      <c r="V21" s="123"/>
      <c r="W21" s="123"/>
      <c r="X21" s="123"/>
      <c r="Y21" s="138"/>
      <c r="Z21" s="138"/>
      <c r="AA21" s="139"/>
      <c r="AB21" s="122"/>
      <c r="AC21" s="123"/>
      <c r="AD21" s="123"/>
      <c r="AE21" s="123"/>
      <c r="AF21" s="124"/>
      <c r="AG21" s="122">
        <f t="shared" si="0"/>
        <v>0</v>
      </c>
      <c r="AH21" s="123"/>
      <c r="AI21" s="123"/>
      <c r="AJ21" s="123"/>
      <c r="AK21" s="123"/>
      <c r="AL21" s="123"/>
      <c r="AM21" s="124"/>
      <c r="AN21" s="201"/>
      <c r="AO21" s="202"/>
      <c r="AP21" s="202"/>
      <c r="AQ21" s="202"/>
      <c r="AR21" s="202"/>
      <c r="AS21" s="202"/>
      <c r="AT21" s="203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5" customHeight="1" x14ac:dyDescent="0.2">
      <c r="A22" s="1"/>
      <c r="B22" s="2"/>
      <c r="C22" s="198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200"/>
      <c r="U22" s="122"/>
      <c r="V22" s="123"/>
      <c r="W22" s="123"/>
      <c r="X22" s="123"/>
      <c r="Y22" s="138"/>
      <c r="Z22" s="138"/>
      <c r="AA22" s="139"/>
      <c r="AB22" s="122"/>
      <c r="AC22" s="123"/>
      <c r="AD22" s="123"/>
      <c r="AE22" s="123"/>
      <c r="AF22" s="124"/>
      <c r="AG22" s="122">
        <f t="shared" si="0"/>
        <v>0</v>
      </c>
      <c r="AH22" s="123"/>
      <c r="AI22" s="123"/>
      <c r="AJ22" s="123"/>
      <c r="AK22" s="123"/>
      <c r="AL22" s="123"/>
      <c r="AM22" s="124"/>
      <c r="AN22" s="214"/>
      <c r="AO22" s="215"/>
      <c r="AP22" s="215"/>
      <c r="AQ22" s="215"/>
      <c r="AR22" s="215"/>
      <c r="AS22" s="215"/>
      <c r="AT22" s="216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5" customHeight="1" x14ac:dyDescent="0.2">
      <c r="A23" s="1"/>
      <c r="B23" s="2"/>
      <c r="C23" s="198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200"/>
      <c r="U23" s="122"/>
      <c r="V23" s="123"/>
      <c r="W23" s="123"/>
      <c r="X23" s="123"/>
      <c r="Y23" s="138"/>
      <c r="Z23" s="138"/>
      <c r="AA23" s="139"/>
      <c r="AB23" s="122"/>
      <c r="AC23" s="123"/>
      <c r="AD23" s="123"/>
      <c r="AE23" s="123"/>
      <c r="AF23" s="124"/>
      <c r="AG23" s="122">
        <f t="shared" si="0"/>
        <v>0</v>
      </c>
      <c r="AH23" s="123"/>
      <c r="AI23" s="123"/>
      <c r="AJ23" s="123"/>
      <c r="AK23" s="123"/>
      <c r="AL23" s="123"/>
      <c r="AM23" s="124"/>
      <c r="AN23" s="214"/>
      <c r="AO23" s="215"/>
      <c r="AP23" s="215"/>
      <c r="AQ23" s="215"/>
      <c r="AR23" s="215"/>
      <c r="AS23" s="215"/>
      <c r="AT23" s="216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5" customHeight="1" x14ac:dyDescent="0.2">
      <c r="A24" s="1"/>
      <c r="B24" s="2"/>
      <c r="C24" s="198"/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200"/>
      <c r="U24" s="122"/>
      <c r="V24" s="123"/>
      <c r="W24" s="123"/>
      <c r="X24" s="123"/>
      <c r="Y24" s="138"/>
      <c r="Z24" s="138"/>
      <c r="AA24" s="139"/>
      <c r="AB24" s="122"/>
      <c r="AC24" s="123"/>
      <c r="AD24" s="123"/>
      <c r="AE24" s="123"/>
      <c r="AF24" s="124"/>
      <c r="AG24" s="122">
        <f t="shared" si="0"/>
        <v>0</v>
      </c>
      <c r="AH24" s="123"/>
      <c r="AI24" s="123"/>
      <c r="AJ24" s="123"/>
      <c r="AK24" s="123"/>
      <c r="AL24" s="123"/>
      <c r="AM24" s="124"/>
      <c r="AN24" s="214"/>
      <c r="AO24" s="215"/>
      <c r="AP24" s="215"/>
      <c r="AQ24" s="215"/>
      <c r="AR24" s="215"/>
      <c r="AS24" s="215"/>
      <c r="AT24" s="216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5" customHeight="1" x14ac:dyDescent="0.2">
      <c r="A25" s="1"/>
      <c r="B25" s="2"/>
      <c r="C25" s="198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200"/>
      <c r="U25" s="122"/>
      <c r="V25" s="123"/>
      <c r="W25" s="123"/>
      <c r="X25" s="123"/>
      <c r="Y25" s="138"/>
      <c r="Z25" s="138"/>
      <c r="AA25" s="139"/>
      <c r="AB25" s="122"/>
      <c r="AC25" s="123"/>
      <c r="AD25" s="123"/>
      <c r="AE25" s="123"/>
      <c r="AF25" s="124"/>
      <c r="AG25" s="122">
        <f t="shared" si="0"/>
        <v>0</v>
      </c>
      <c r="AH25" s="123"/>
      <c r="AI25" s="123"/>
      <c r="AJ25" s="123"/>
      <c r="AK25" s="123"/>
      <c r="AL25" s="123"/>
      <c r="AM25" s="124"/>
      <c r="AN25" s="214"/>
      <c r="AO25" s="215"/>
      <c r="AP25" s="215"/>
      <c r="AQ25" s="215"/>
      <c r="AR25" s="215"/>
      <c r="AS25" s="215"/>
      <c r="AT25" s="216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5" customHeight="1" x14ac:dyDescent="0.2">
      <c r="A26" s="1"/>
      <c r="B26" s="2"/>
      <c r="C26" s="198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200"/>
      <c r="U26" s="122"/>
      <c r="V26" s="123"/>
      <c r="W26" s="123"/>
      <c r="X26" s="123"/>
      <c r="Y26" s="138"/>
      <c r="Z26" s="138"/>
      <c r="AA26" s="139"/>
      <c r="AB26" s="122"/>
      <c r="AC26" s="123"/>
      <c r="AD26" s="123"/>
      <c r="AE26" s="123"/>
      <c r="AF26" s="124"/>
      <c r="AG26" s="122">
        <f t="shared" si="0"/>
        <v>0</v>
      </c>
      <c r="AH26" s="123"/>
      <c r="AI26" s="123"/>
      <c r="AJ26" s="123"/>
      <c r="AK26" s="123"/>
      <c r="AL26" s="123"/>
      <c r="AM26" s="124"/>
      <c r="AN26" s="214"/>
      <c r="AO26" s="215"/>
      <c r="AP26" s="215"/>
      <c r="AQ26" s="215"/>
      <c r="AR26" s="215"/>
      <c r="AS26" s="215"/>
      <c r="AT26" s="216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5" customHeight="1" x14ac:dyDescent="0.2">
      <c r="A27" s="1"/>
      <c r="B27" s="2"/>
      <c r="C27" s="198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200"/>
      <c r="U27" s="122"/>
      <c r="V27" s="123"/>
      <c r="W27" s="123"/>
      <c r="X27" s="123"/>
      <c r="Y27" s="138"/>
      <c r="Z27" s="138"/>
      <c r="AA27" s="139"/>
      <c r="AB27" s="122"/>
      <c r="AC27" s="123"/>
      <c r="AD27" s="123"/>
      <c r="AE27" s="123"/>
      <c r="AF27" s="124"/>
      <c r="AG27" s="122">
        <f t="shared" si="0"/>
        <v>0</v>
      </c>
      <c r="AH27" s="123"/>
      <c r="AI27" s="123"/>
      <c r="AJ27" s="123"/>
      <c r="AK27" s="123"/>
      <c r="AL27" s="123"/>
      <c r="AM27" s="124"/>
      <c r="AN27" s="214"/>
      <c r="AO27" s="215"/>
      <c r="AP27" s="215"/>
      <c r="AQ27" s="215"/>
      <c r="AR27" s="215"/>
      <c r="AS27" s="215"/>
      <c r="AT27" s="216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5" customHeight="1" x14ac:dyDescent="0.2">
      <c r="A28" s="1"/>
      <c r="B28" s="2"/>
      <c r="C28" s="198"/>
      <c r="D28" s="199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200"/>
      <c r="U28" s="122"/>
      <c r="V28" s="123"/>
      <c r="W28" s="123"/>
      <c r="X28" s="123"/>
      <c r="Y28" s="138"/>
      <c r="Z28" s="138"/>
      <c r="AA28" s="139"/>
      <c r="AB28" s="122"/>
      <c r="AC28" s="123"/>
      <c r="AD28" s="123"/>
      <c r="AE28" s="123"/>
      <c r="AF28" s="124"/>
      <c r="AG28" s="122">
        <f t="shared" si="0"/>
        <v>0</v>
      </c>
      <c r="AH28" s="123"/>
      <c r="AI28" s="123"/>
      <c r="AJ28" s="123"/>
      <c r="AK28" s="123"/>
      <c r="AL28" s="123"/>
      <c r="AM28" s="124"/>
      <c r="AN28" s="214"/>
      <c r="AO28" s="215"/>
      <c r="AP28" s="215"/>
      <c r="AQ28" s="215"/>
      <c r="AR28" s="215"/>
      <c r="AS28" s="215"/>
      <c r="AT28" s="216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5" customHeight="1" x14ac:dyDescent="0.2">
      <c r="A29" s="1"/>
      <c r="B29" s="2" t="s">
        <v>92</v>
      </c>
      <c r="C29" s="198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200"/>
      <c r="U29" s="122"/>
      <c r="V29" s="123"/>
      <c r="W29" s="123"/>
      <c r="X29" s="123"/>
      <c r="Y29" s="138"/>
      <c r="Z29" s="138"/>
      <c r="AA29" s="139"/>
      <c r="AB29" s="211"/>
      <c r="AC29" s="212"/>
      <c r="AD29" s="212"/>
      <c r="AE29" s="212"/>
      <c r="AF29" s="213"/>
      <c r="AG29" s="211">
        <f t="shared" si="0"/>
        <v>0</v>
      </c>
      <c r="AH29" s="212"/>
      <c r="AI29" s="212"/>
      <c r="AJ29" s="212"/>
      <c r="AK29" s="212"/>
      <c r="AL29" s="212"/>
      <c r="AM29" s="213"/>
      <c r="AN29" s="214"/>
      <c r="AO29" s="215"/>
      <c r="AP29" s="215"/>
      <c r="AQ29" s="215"/>
      <c r="AR29" s="215"/>
      <c r="AS29" s="215"/>
      <c r="AT29" s="216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5" customHeight="1" thickBot="1" x14ac:dyDescent="0.25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1" t="s">
        <v>44</v>
      </c>
      <c r="V30" s="152"/>
      <c r="W30" s="152"/>
      <c r="X30" s="152"/>
      <c r="Y30" s="152"/>
      <c r="Z30" s="152"/>
      <c r="AA30" s="153"/>
      <c r="AB30" s="204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6"/>
      <c r="AO30" s="207"/>
      <c r="AP30" s="207"/>
      <c r="AQ30" s="207"/>
      <c r="AR30" s="207"/>
      <c r="AS30" s="207"/>
      <c r="AT30" s="208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2">
      <c r="CS103" s="27" t="s">
        <v>18</v>
      </c>
      <c r="CT103" s="14"/>
    </row>
    <row r="104" spans="97:98" ht="13.5" customHeight="1" x14ac:dyDescent="0.2">
      <c r="CS104" s="58" t="str">
        <f>見積書A4!CS104</f>
        <v>台</v>
      </c>
      <c r="CT104" s="18"/>
    </row>
    <row r="105" spans="97:98" ht="13.5" customHeight="1" x14ac:dyDescent="0.2">
      <c r="CS105" s="58" t="str">
        <f>見積書A4!CS105</f>
        <v>個</v>
      </c>
      <c r="CT105" s="18"/>
    </row>
    <row r="106" spans="97:98" ht="13.5" customHeight="1" x14ac:dyDescent="0.2">
      <c r="CS106" s="58" t="str">
        <f>見積書A4!CS106</f>
        <v>一式</v>
      </c>
      <c r="CT106" s="21"/>
    </row>
    <row r="107" spans="97:98" ht="13.5" customHeight="1" x14ac:dyDescent="0.2">
      <c r="CS107" s="58" t="str">
        <f>見積書A4!CS107</f>
        <v>冊</v>
      </c>
      <c r="CT107" s="18"/>
    </row>
    <row r="108" spans="97:98" ht="13.5" customHeight="1" x14ac:dyDescent="0.2">
      <c r="CS108" s="58" t="str">
        <f>見積書A4!CS108</f>
        <v>箱</v>
      </c>
      <c r="CT108" s="18"/>
    </row>
    <row r="109" spans="97:98" ht="13.5" customHeight="1" x14ac:dyDescent="0.2">
      <c r="CS109" s="58" t="str">
        <f>見積書A4!CS109</f>
        <v>C/S</v>
      </c>
      <c r="CT109" s="20"/>
    </row>
    <row r="110" spans="97:98" ht="13.5" customHeight="1" x14ac:dyDescent="0.2">
      <c r="CS110" s="58" t="str">
        <f>見積書A4!CS110</f>
        <v>SET</v>
      </c>
      <c r="CT110" s="20"/>
    </row>
    <row r="111" spans="97:98" ht="13.5" customHeight="1" x14ac:dyDescent="0.2">
      <c r="CS111" s="58" t="str">
        <f>見積書A4!CS111</f>
        <v>本</v>
      </c>
      <c r="CT111" s="18"/>
    </row>
    <row r="112" spans="97:98" ht="13.5" customHeight="1" x14ac:dyDescent="0.2">
      <c r="CS112" s="58" t="str">
        <f>見積書A4!CS112</f>
        <v>束</v>
      </c>
      <c r="CT112" s="18"/>
    </row>
    <row r="113" spans="87:125" ht="13.5" customHeight="1" x14ac:dyDescent="0.2">
      <c r="CS113" s="58" t="str">
        <f>見積書A4!CS113</f>
        <v>枚</v>
      </c>
      <c r="CT113" s="18"/>
    </row>
    <row r="114" spans="87:125" ht="13.5" customHeight="1" x14ac:dyDescent="0.2">
      <c r="CS114" s="58" t="str">
        <f>見積書A4!CS114</f>
        <v>ﾊﾟｯｸ</v>
      </c>
      <c r="CT114" s="21"/>
    </row>
    <row r="115" spans="87:125" ht="13.5" customHeight="1" x14ac:dyDescent="0.2">
      <c r="CS115" s="58" t="str">
        <f>見積書A4!CS115</f>
        <v>ｷｯﾄ</v>
      </c>
      <c r="CT115" s="18"/>
    </row>
    <row r="116" spans="87:125" ht="13.5" customHeight="1" x14ac:dyDescent="0.2">
      <c r="CS116" s="58">
        <f>見積書A4!CS116</f>
        <v>0</v>
      </c>
      <c r="CT116" s="18"/>
    </row>
    <row r="119" spans="87:125" ht="13.5" customHeight="1" x14ac:dyDescent="0.2">
      <c r="CI119" s="134" t="s">
        <v>43</v>
      </c>
      <c r="CJ119" s="134"/>
      <c r="CK119" s="134"/>
      <c r="CL119" s="134"/>
      <c r="CM119" s="209" t="str">
        <f>見積書A4!CM119</f>
        <v>C:\Documents and Settings\sato\My Documents\シンプル見積書\</v>
      </c>
      <c r="CN119" s="210"/>
      <c r="CO119" s="210"/>
      <c r="CP119" s="210"/>
      <c r="CQ119" s="210"/>
      <c r="CR119" s="210"/>
      <c r="CS119" s="210"/>
      <c r="CT119" s="210"/>
      <c r="CU119" s="210"/>
      <c r="CV119" s="210"/>
      <c r="CW119" s="210"/>
      <c r="CX119" s="210"/>
      <c r="CY119" s="210"/>
      <c r="CZ119" s="210"/>
      <c r="DA119" s="210"/>
      <c r="DB119" s="210"/>
      <c r="DC119" s="210"/>
      <c r="DD119" s="210"/>
      <c r="DE119" s="210"/>
      <c r="DF119" s="210"/>
      <c r="DG119" s="210"/>
      <c r="DH119" s="210"/>
      <c r="DI119" s="210"/>
      <c r="DJ119" s="210"/>
      <c r="DK119" s="210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2">
      <c r="CI120" s="134" t="s">
        <v>74</v>
      </c>
      <c r="CJ120" s="134"/>
      <c r="CK120" s="134"/>
      <c r="CL120" s="134"/>
      <c r="CM120" s="209">
        <f>見積書A4!CM120</f>
        <v>0</v>
      </c>
      <c r="CN120" s="210"/>
      <c r="CO120" s="210"/>
      <c r="CP120" s="210"/>
      <c r="CQ120" s="210"/>
      <c r="CR120" s="210"/>
      <c r="CS120" s="210"/>
      <c r="CT120" s="210"/>
      <c r="CU120" s="210"/>
      <c r="CV120" s="210"/>
      <c r="CW120" s="210"/>
      <c r="CX120" s="210"/>
      <c r="CY120" s="210"/>
      <c r="CZ120" s="210"/>
      <c r="DA120" s="210"/>
      <c r="DB120" s="210"/>
      <c r="DC120" s="210"/>
      <c r="DD120" s="210"/>
      <c r="DE120" s="210"/>
      <c r="DF120" s="210"/>
      <c r="DG120" s="210"/>
      <c r="DH120" s="210"/>
      <c r="DI120" s="210"/>
      <c r="DJ120" s="210"/>
      <c r="DK120" s="210"/>
    </row>
    <row r="178" spans="16:16" ht="13.5" customHeight="1" x14ac:dyDescent="0.2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00000000-0002-0000-0300-000000000000}">
      <formula1>$CS$104:$CS$116</formula1>
    </dataValidation>
    <dataValidation imeMode="hiragana" allowBlank="1" showInputMessage="1" showErrorMessage="1" prompt="備考があれば入力" sqref="AN7:AT29" xr:uid="{00000000-0002-0000-0300-000001000000}"/>
    <dataValidation imeMode="off" allowBlank="1" showInputMessage="1" showErrorMessage="1" prompt="単価を入力" sqref="AB7:AF29" xr:uid="{00000000-0002-0000-0300-000002000000}"/>
    <dataValidation imeMode="off" allowBlank="1" showInputMessage="1" showErrorMessage="1" prompt="数量を入力" sqref="U7:X29" xr:uid="{00000000-0002-0000-0300-000003000000}"/>
    <dataValidation imeMode="hiragana" allowBlank="1" showInputMessage="1" showErrorMessage="1" prompt="品名を入力" sqref="D15:T29 C7:C29" xr:uid="{00000000-0002-0000-03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88900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107950</xdr:colOff>
                    <xdr:row>0</xdr:row>
                    <xdr:rowOff>88900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Button 3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88900</xdr:rowOff>
                  </from>
                  <to>
                    <xdr:col>10</xdr:col>
                    <xdr:colOff>127000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Button 4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88900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Button 5">
              <controlPr defaultSize="0" print="0" autoFill="0" autoPict="0" macro="[0]!ThisWorkbook.ヘルプ">
                <anchor moveWithCells="1" sizeWithCells="1">
                  <from>
                    <xdr:col>38</xdr:col>
                    <xdr:colOff>88900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6</xdr:row>
                    <xdr:rowOff>107950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7</xdr:row>
                    <xdr:rowOff>69850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10</xdr:row>
                    <xdr:rowOff>88900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13</xdr:row>
                    <xdr:rowOff>88900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17</xdr:row>
                    <xdr:rowOff>88900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19</xdr:row>
                    <xdr:rowOff>88900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20</xdr:row>
                    <xdr:rowOff>88900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21</xdr:row>
                    <xdr:rowOff>88900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23</xdr:row>
                    <xdr:rowOff>88900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24</xdr:row>
                    <xdr:rowOff>88900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25</xdr:row>
                    <xdr:rowOff>88900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27</xdr:row>
                    <xdr:rowOff>88900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69850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Button 30">
              <controlPr defaultSize="0" print="0" autoFill="0" autoPict="0" macro="[0]!ThisWorkbook.表示11">
                <anchor moveWithCells="1" sizeWithCells="1">
                  <from>
                    <xdr:col>25</xdr:col>
                    <xdr:colOff>88900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127000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88900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146050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8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U12" sqref="U12:X12"/>
    </sheetView>
  </sheetViews>
  <sheetFormatPr defaultColWidth="2.08984375" defaultRowHeight="13.5" customHeight="1" x14ac:dyDescent="0.2"/>
  <cols>
    <col min="1" max="1" width="7" customWidth="1"/>
    <col min="2" max="2" width="0.6328125" customWidth="1"/>
  </cols>
  <sheetData>
    <row r="1" spans="1:78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2">
      <c r="A3" s="1"/>
      <c r="D3" s="194" t="s">
        <v>166</v>
      </c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AL3" s="5" t="s">
        <v>0</v>
      </c>
      <c r="AM3" s="5"/>
      <c r="AN3" s="197"/>
      <c r="AO3" s="197"/>
      <c r="AP3" s="197"/>
      <c r="AQ3" s="197"/>
      <c r="AR3" s="197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5">
      <c r="A4" s="1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2">
      <c r="A5" s="1"/>
      <c r="B5" s="2"/>
      <c r="C5" s="145" t="s">
        <v>90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7"/>
      <c r="U5" s="84" t="s">
        <v>10</v>
      </c>
      <c r="V5" s="85"/>
      <c r="W5" s="85"/>
      <c r="X5" s="85"/>
      <c r="Y5" s="85"/>
      <c r="Z5" s="85"/>
      <c r="AA5" s="86"/>
      <c r="AB5" s="84" t="s">
        <v>11</v>
      </c>
      <c r="AC5" s="85"/>
      <c r="AD5" s="85"/>
      <c r="AE5" s="85"/>
      <c r="AF5" s="85"/>
      <c r="AG5" s="84" t="s">
        <v>12</v>
      </c>
      <c r="AH5" s="85"/>
      <c r="AI5" s="85"/>
      <c r="AJ5" s="85"/>
      <c r="AK5" s="85"/>
      <c r="AL5" s="85"/>
      <c r="AM5" s="86"/>
      <c r="AN5" s="84" t="s">
        <v>13</v>
      </c>
      <c r="AO5" s="85"/>
      <c r="AP5" s="85"/>
      <c r="AQ5" s="85"/>
      <c r="AR5" s="85"/>
      <c r="AS5" s="85"/>
      <c r="AT5" s="143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2">
      <c r="A6" s="1"/>
      <c r="B6" s="2"/>
      <c r="C6" s="148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50"/>
      <c r="U6" s="87"/>
      <c r="V6" s="88"/>
      <c r="W6" s="88"/>
      <c r="X6" s="88"/>
      <c r="Y6" s="88"/>
      <c r="Z6" s="88"/>
      <c r="AA6" s="89"/>
      <c r="AB6" s="87"/>
      <c r="AC6" s="88"/>
      <c r="AD6" s="88"/>
      <c r="AE6" s="88"/>
      <c r="AF6" s="88"/>
      <c r="AG6" s="87"/>
      <c r="AH6" s="88"/>
      <c r="AI6" s="88"/>
      <c r="AJ6" s="88"/>
      <c r="AK6" s="88"/>
      <c r="AL6" s="88"/>
      <c r="AM6" s="89"/>
      <c r="AN6" s="87"/>
      <c r="AO6" s="88"/>
      <c r="AP6" s="88"/>
      <c r="AQ6" s="88"/>
      <c r="AR6" s="88"/>
      <c r="AS6" s="88"/>
      <c r="AT6" s="144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5" customHeight="1" x14ac:dyDescent="0.2">
      <c r="A7" s="1"/>
      <c r="B7" s="2"/>
      <c r="C7" s="198" t="s">
        <v>137</v>
      </c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/>
      <c r="U7" s="122">
        <v>1</v>
      </c>
      <c r="V7" s="123"/>
      <c r="W7" s="123"/>
      <c r="X7" s="123"/>
      <c r="Y7" s="138" t="s">
        <v>160</v>
      </c>
      <c r="Z7" s="138"/>
      <c r="AA7" s="139"/>
      <c r="AB7" s="122"/>
      <c r="AC7" s="123"/>
      <c r="AD7" s="123"/>
      <c r="AE7" s="123"/>
      <c r="AF7" s="124"/>
      <c r="AG7" s="122">
        <f>IF(U7="",1*AB7,U7*AB7)</f>
        <v>0</v>
      </c>
      <c r="AH7" s="123"/>
      <c r="AI7" s="123"/>
      <c r="AJ7" s="123"/>
      <c r="AK7" s="123"/>
      <c r="AL7" s="123"/>
      <c r="AM7" s="124"/>
      <c r="AN7" s="201"/>
      <c r="AO7" s="202"/>
      <c r="AP7" s="202"/>
      <c r="AQ7" s="202"/>
      <c r="AR7" s="202"/>
      <c r="AS7" s="202"/>
      <c r="AT7" s="203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5" customHeight="1" x14ac:dyDescent="0.2">
      <c r="A8" s="1"/>
      <c r="B8" s="2"/>
      <c r="C8" s="198" t="s">
        <v>138</v>
      </c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122">
        <v>1</v>
      </c>
      <c r="V8" s="123"/>
      <c r="W8" s="123"/>
      <c r="X8" s="123"/>
      <c r="Y8" s="138" t="s">
        <v>82</v>
      </c>
      <c r="Z8" s="138"/>
      <c r="AA8" s="139"/>
      <c r="AB8" s="122"/>
      <c r="AC8" s="123"/>
      <c r="AD8" s="123"/>
      <c r="AE8" s="123"/>
      <c r="AF8" s="124"/>
      <c r="AG8" s="122">
        <f t="shared" ref="AG8:AG29" si="0">IF(U8="",1*AB8,U8*AB8)</f>
        <v>0</v>
      </c>
      <c r="AH8" s="123"/>
      <c r="AI8" s="123"/>
      <c r="AJ8" s="123"/>
      <c r="AK8" s="123"/>
      <c r="AL8" s="123"/>
      <c r="AM8" s="124"/>
      <c r="AN8" s="201"/>
      <c r="AO8" s="202"/>
      <c r="AP8" s="202"/>
      <c r="AQ8" s="202"/>
      <c r="AR8" s="202"/>
      <c r="AS8" s="202"/>
      <c r="AT8" s="203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5" customHeight="1" x14ac:dyDescent="0.2">
      <c r="A9" s="1"/>
      <c r="B9" s="2"/>
      <c r="C9" s="198" t="s">
        <v>139</v>
      </c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200"/>
      <c r="U9" s="122">
        <v>1</v>
      </c>
      <c r="V9" s="123"/>
      <c r="W9" s="123"/>
      <c r="X9" s="123"/>
      <c r="Y9" s="138" t="s">
        <v>82</v>
      </c>
      <c r="Z9" s="138"/>
      <c r="AA9" s="139"/>
      <c r="AB9" s="122"/>
      <c r="AC9" s="123"/>
      <c r="AD9" s="123"/>
      <c r="AE9" s="123"/>
      <c r="AF9" s="124"/>
      <c r="AG9" s="122">
        <f t="shared" si="0"/>
        <v>0</v>
      </c>
      <c r="AH9" s="123"/>
      <c r="AI9" s="123"/>
      <c r="AJ9" s="123"/>
      <c r="AK9" s="123"/>
      <c r="AL9" s="123"/>
      <c r="AM9" s="124"/>
      <c r="AN9" s="201"/>
      <c r="AO9" s="202"/>
      <c r="AP9" s="202"/>
      <c r="AQ9" s="202"/>
      <c r="AR9" s="202"/>
      <c r="AS9" s="202"/>
      <c r="AT9" s="203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5" customHeight="1" x14ac:dyDescent="0.2">
      <c r="A10" s="1"/>
      <c r="B10" s="2"/>
      <c r="C10" s="198" t="s">
        <v>140</v>
      </c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200"/>
      <c r="U10" s="122">
        <v>1</v>
      </c>
      <c r="V10" s="123"/>
      <c r="W10" s="123"/>
      <c r="X10" s="123"/>
      <c r="Y10" s="138" t="s">
        <v>82</v>
      </c>
      <c r="Z10" s="138"/>
      <c r="AA10" s="139"/>
      <c r="AB10" s="122"/>
      <c r="AC10" s="123"/>
      <c r="AD10" s="123"/>
      <c r="AE10" s="123"/>
      <c r="AF10" s="124"/>
      <c r="AG10" s="122">
        <f t="shared" si="0"/>
        <v>0</v>
      </c>
      <c r="AH10" s="123"/>
      <c r="AI10" s="123"/>
      <c r="AJ10" s="123"/>
      <c r="AK10" s="123"/>
      <c r="AL10" s="123"/>
      <c r="AM10" s="124"/>
      <c r="AN10" s="201"/>
      <c r="AO10" s="202"/>
      <c r="AP10" s="202"/>
      <c r="AQ10" s="202"/>
      <c r="AR10" s="202"/>
      <c r="AS10" s="202"/>
      <c r="AT10" s="203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5" customHeight="1" x14ac:dyDescent="0.2">
      <c r="A11" s="1"/>
      <c r="B11" s="2"/>
      <c r="C11" s="198" t="s">
        <v>141</v>
      </c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200"/>
      <c r="U11" s="122">
        <v>1</v>
      </c>
      <c r="V11" s="123"/>
      <c r="W11" s="123"/>
      <c r="X11" s="123"/>
      <c r="Y11" s="138" t="s">
        <v>82</v>
      </c>
      <c r="Z11" s="138"/>
      <c r="AA11" s="139"/>
      <c r="AB11" s="122"/>
      <c r="AC11" s="123"/>
      <c r="AD11" s="123"/>
      <c r="AE11" s="123"/>
      <c r="AF11" s="124"/>
      <c r="AG11" s="122">
        <f t="shared" si="0"/>
        <v>0</v>
      </c>
      <c r="AH11" s="123"/>
      <c r="AI11" s="123"/>
      <c r="AJ11" s="123"/>
      <c r="AK11" s="123"/>
      <c r="AL11" s="123"/>
      <c r="AM11" s="124"/>
      <c r="AN11" s="201"/>
      <c r="AO11" s="202"/>
      <c r="AP11" s="202"/>
      <c r="AQ11" s="202"/>
      <c r="AR11" s="202"/>
      <c r="AS11" s="202"/>
      <c r="AT11" s="203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5" customHeight="1" x14ac:dyDescent="0.2">
      <c r="A12" s="1"/>
      <c r="B12" s="2"/>
      <c r="C12" s="198" t="s">
        <v>142</v>
      </c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200"/>
      <c r="U12" s="122">
        <v>1</v>
      </c>
      <c r="V12" s="123"/>
      <c r="W12" s="123"/>
      <c r="X12" s="123"/>
      <c r="Y12" s="138" t="s">
        <v>82</v>
      </c>
      <c r="Z12" s="138"/>
      <c r="AA12" s="139"/>
      <c r="AB12" s="122"/>
      <c r="AC12" s="123"/>
      <c r="AD12" s="123"/>
      <c r="AE12" s="123"/>
      <c r="AF12" s="124"/>
      <c r="AG12" s="122">
        <f t="shared" si="0"/>
        <v>0</v>
      </c>
      <c r="AH12" s="123"/>
      <c r="AI12" s="123"/>
      <c r="AJ12" s="123"/>
      <c r="AK12" s="123"/>
      <c r="AL12" s="123"/>
      <c r="AM12" s="124"/>
      <c r="AN12" s="201"/>
      <c r="AO12" s="202"/>
      <c r="AP12" s="202"/>
      <c r="AQ12" s="202"/>
      <c r="AR12" s="202"/>
      <c r="AS12" s="202"/>
      <c r="AT12" s="203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5" customHeight="1" x14ac:dyDescent="0.2">
      <c r="A13" s="1"/>
      <c r="B13" s="2"/>
      <c r="C13" s="198" t="s">
        <v>143</v>
      </c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200"/>
      <c r="U13" s="122">
        <v>1</v>
      </c>
      <c r="V13" s="123"/>
      <c r="W13" s="123"/>
      <c r="X13" s="123"/>
      <c r="Y13" s="138" t="s">
        <v>82</v>
      </c>
      <c r="Z13" s="138"/>
      <c r="AA13" s="139"/>
      <c r="AB13" s="122"/>
      <c r="AC13" s="123"/>
      <c r="AD13" s="123"/>
      <c r="AE13" s="123"/>
      <c r="AF13" s="124"/>
      <c r="AG13" s="122">
        <f t="shared" si="0"/>
        <v>0</v>
      </c>
      <c r="AH13" s="123"/>
      <c r="AI13" s="123"/>
      <c r="AJ13" s="123"/>
      <c r="AK13" s="123"/>
      <c r="AL13" s="123"/>
      <c r="AM13" s="124"/>
      <c r="AN13" s="201"/>
      <c r="AO13" s="202"/>
      <c r="AP13" s="202"/>
      <c r="AQ13" s="202"/>
      <c r="AR13" s="202"/>
      <c r="AS13" s="202"/>
      <c r="AT13" s="203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5" customHeight="1" x14ac:dyDescent="0.2">
      <c r="A14" s="1"/>
      <c r="B14" s="2"/>
      <c r="C14" s="198" t="s">
        <v>144</v>
      </c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200"/>
      <c r="U14" s="122">
        <v>1</v>
      </c>
      <c r="V14" s="123"/>
      <c r="W14" s="123"/>
      <c r="X14" s="123"/>
      <c r="Y14" s="138" t="s">
        <v>82</v>
      </c>
      <c r="Z14" s="138"/>
      <c r="AA14" s="139"/>
      <c r="AB14" s="122"/>
      <c r="AC14" s="123"/>
      <c r="AD14" s="123"/>
      <c r="AE14" s="123"/>
      <c r="AF14" s="124"/>
      <c r="AG14" s="122">
        <f t="shared" si="0"/>
        <v>0</v>
      </c>
      <c r="AH14" s="123"/>
      <c r="AI14" s="123"/>
      <c r="AJ14" s="123"/>
      <c r="AK14" s="123"/>
      <c r="AL14" s="123"/>
      <c r="AM14" s="124"/>
      <c r="AN14" s="201"/>
      <c r="AO14" s="202"/>
      <c r="AP14" s="202"/>
      <c r="AQ14" s="202"/>
      <c r="AR14" s="202"/>
      <c r="AS14" s="202"/>
      <c r="AT14" s="203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5" customHeight="1" x14ac:dyDescent="0.2">
      <c r="A15" s="1"/>
      <c r="B15" s="2"/>
      <c r="C15" s="198" t="s">
        <v>145</v>
      </c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200"/>
      <c r="U15" s="122">
        <v>1</v>
      </c>
      <c r="V15" s="123"/>
      <c r="W15" s="123"/>
      <c r="X15" s="123"/>
      <c r="Y15" s="138" t="s">
        <v>82</v>
      </c>
      <c r="Z15" s="138"/>
      <c r="AA15" s="139"/>
      <c r="AB15" s="122"/>
      <c r="AC15" s="123"/>
      <c r="AD15" s="123"/>
      <c r="AE15" s="123"/>
      <c r="AF15" s="124"/>
      <c r="AG15" s="122">
        <f t="shared" si="0"/>
        <v>0</v>
      </c>
      <c r="AH15" s="123"/>
      <c r="AI15" s="123"/>
      <c r="AJ15" s="123"/>
      <c r="AK15" s="123"/>
      <c r="AL15" s="123"/>
      <c r="AM15" s="124"/>
      <c r="AN15" s="201"/>
      <c r="AO15" s="202"/>
      <c r="AP15" s="202"/>
      <c r="AQ15" s="202"/>
      <c r="AR15" s="202"/>
      <c r="AS15" s="202"/>
      <c r="AT15" s="203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5" customHeight="1" x14ac:dyDescent="0.2">
      <c r="A16" s="1"/>
      <c r="B16" s="2"/>
      <c r="C16" s="198" t="s">
        <v>146</v>
      </c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200"/>
      <c r="U16" s="122">
        <v>1</v>
      </c>
      <c r="V16" s="123"/>
      <c r="W16" s="123"/>
      <c r="X16" s="123"/>
      <c r="Y16" s="138" t="s">
        <v>82</v>
      </c>
      <c r="Z16" s="138"/>
      <c r="AA16" s="139"/>
      <c r="AB16" s="122"/>
      <c r="AC16" s="123"/>
      <c r="AD16" s="123"/>
      <c r="AE16" s="123"/>
      <c r="AF16" s="124"/>
      <c r="AG16" s="122">
        <f t="shared" si="0"/>
        <v>0</v>
      </c>
      <c r="AH16" s="123"/>
      <c r="AI16" s="123"/>
      <c r="AJ16" s="123"/>
      <c r="AK16" s="123"/>
      <c r="AL16" s="123"/>
      <c r="AM16" s="124"/>
      <c r="AN16" s="201"/>
      <c r="AO16" s="202"/>
      <c r="AP16" s="202"/>
      <c r="AQ16" s="202"/>
      <c r="AR16" s="202"/>
      <c r="AS16" s="202"/>
      <c r="AT16" s="203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5" customHeight="1" x14ac:dyDescent="0.2">
      <c r="A17" s="1"/>
      <c r="B17" s="2"/>
      <c r="C17" s="198" t="s">
        <v>147</v>
      </c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200"/>
      <c r="U17" s="122">
        <v>1</v>
      </c>
      <c r="V17" s="123"/>
      <c r="W17" s="123"/>
      <c r="X17" s="123"/>
      <c r="Y17" s="138" t="s">
        <v>82</v>
      </c>
      <c r="Z17" s="138"/>
      <c r="AA17" s="139"/>
      <c r="AB17" s="122"/>
      <c r="AC17" s="123"/>
      <c r="AD17" s="123"/>
      <c r="AE17" s="123"/>
      <c r="AF17" s="124"/>
      <c r="AG17" s="122">
        <f t="shared" si="0"/>
        <v>0</v>
      </c>
      <c r="AH17" s="123"/>
      <c r="AI17" s="123"/>
      <c r="AJ17" s="123"/>
      <c r="AK17" s="123"/>
      <c r="AL17" s="123"/>
      <c r="AM17" s="124"/>
      <c r="AN17" s="201"/>
      <c r="AO17" s="202"/>
      <c r="AP17" s="202"/>
      <c r="AQ17" s="202"/>
      <c r="AR17" s="202"/>
      <c r="AS17" s="202"/>
      <c r="AT17" s="203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5" customHeight="1" x14ac:dyDescent="0.2">
      <c r="A18" s="1"/>
      <c r="B18" s="2"/>
      <c r="C18" s="198" t="s">
        <v>148</v>
      </c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200"/>
      <c r="U18" s="122">
        <v>5</v>
      </c>
      <c r="V18" s="123"/>
      <c r="W18" s="123"/>
      <c r="X18" s="123"/>
      <c r="Y18" s="138" t="s">
        <v>82</v>
      </c>
      <c r="Z18" s="138"/>
      <c r="AA18" s="139"/>
      <c r="AB18" s="122"/>
      <c r="AC18" s="123"/>
      <c r="AD18" s="123"/>
      <c r="AE18" s="123"/>
      <c r="AF18" s="124"/>
      <c r="AG18" s="122">
        <f t="shared" si="0"/>
        <v>0</v>
      </c>
      <c r="AH18" s="123"/>
      <c r="AI18" s="123"/>
      <c r="AJ18" s="123"/>
      <c r="AK18" s="123"/>
      <c r="AL18" s="123"/>
      <c r="AM18" s="124"/>
      <c r="AN18" s="201"/>
      <c r="AO18" s="202"/>
      <c r="AP18" s="202"/>
      <c r="AQ18" s="202"/>
      <c r="AR18" s="202"/>
      <c r="AS18" s="202"/>
      <c r="AT18" s="203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5" customHeight="1" x14ac:dyDescent="0.2">
      <c r="A19" s="1"/>
      <c r="B19" s="2"/>
      <c r="C19" s="198" t="s">
        <v>149</v>
      </c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200"/>
      <c r="U19" s="122">
        <v>1</v>
      </c>
      <c r="V19" s="123"/>
      <c r="W19" s="123"/>
      <c r="X19" s="123"/>
      <c r="Y19" s="138" t="s">
        <v>82</v>
      </c>
      <c r="Z19" s="138"/>
      <c r="AA19" s="139"/>
      <c r="AB19" s="122"/>
      <c r="AC19" s="123"/>
      <c r="AD19" s="123"/>
      <c r="AE19" s="123"/>
      <c r="AF19" s="124"/>
      <c r="AG19" s="122">
        <f t="shared" si="0"/>
        <v>0</v>
      </c>
      <c r="AH19" s="123"/>
      <c r="AI19" s="123"/>
      <c r="AJ19" s="123"/>
      <c r="AK19" s="123"/>
      <c r="AL19" s="123"/>
      <c r="AM19" s="124"/>
      <c r="AN19" s="201"/>
      <c r="AO19" s="202"/>
      <c r="AP19" s="202"/>
      <c r="AQ19" s="202"/>
      <c r="AR19" s="202"/>
      <c r="AS19" s="202"/>
      <c r="AT19" s="203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5" customHeight="1" x14ac:dyDescent="0.2">
      <c r="A20" s="1"/>
      <c r="B20" s="2"/>
      <c r="C20" s="198" t="s">
        <v>150</v>
      </c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200"/>
      <c r="U20" s="122">
        <v>8</v>
      </c>
      <c r="V20" s="123"/>
      <c r="W20" s="123"/>
      <c r="X20" s="123"/>
      <c r="Y20" s="138" t="s">
        <v>82</v>
      </c>
      <c r="Z20" s="138"/>
      <c r="AA20" s="139"/>
      <c r="AB20" s="122"/>
      <c r="AC20" s="123"/>
      <c r="AD20" s="123"/>
      <c r="AE20" s="123"/>
      <c r="AF20" s="124"/>
      <c r="AG20" s="122">
        <f t="shared" si="0"/>
        <v>0</v>
      </c>
      <c r="AH20" s="123"/>
      <c r="AI20" s="123"/>
      <c r="AJ20" s="123"/>
      <c r="AK20" s="123"/>
      <c r="AL20" s="123"/>
      <c r="AM20" s="124"/>
      <c r="AN20" s="201"/>
      <c r="AO20" s="202"/>
      <c r="AP20" s="202"/>
      <c r="AQ20" s="202"/>
      <c r="AR20" s="202"/>
      <c r="AS20" s="202"/>
      <c r="AT20" s="203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5" customHeight="1" x14ac:dyDescent="0.2">
      <c r="A21" s="1"/>
      <c r="B21" s="2"/>
      <c r="C21" s="198" t="s">
        <v>151</v>
      </c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200"/>
      <c r="U21" s="122">
        <v>1</v>
      </c>
      <c r="V21" s="123"/>
      <c r="W21" s="123"/>
      <c r="X21" s="123"/>
      <c r="Y21" s="138" t="s">
        <v>82</v>
      </c>
      <c r="Z21" s="138"/>
      <c r="AA21" s="139"/>
      <c r="AB21" s="122"/>
      <c r="AC21" s="123"/>
      <c r="AD21" s="123"/>
      <c r="AE21" s="123"/>
      <c r="AF21" s="124"/>
      <c r="AG21" s="122">
        <f t="shared" si="0"/>
        <v>0</v>
      </c>
      <c r="AH21" s="123"/>
      <c r="AI21" s="123"/>
      <c r="AJ21" s="123"/>
      <c r="AK21" s="123"/>
      <c r="AL21" s="123"/>
      <c r="AM21" s="124"/>
      <c r="AN21" s="201"/>
      <c r="AO21" s="202"/>
      <c r="AP21" s="202"/>
      <c r="AQ21" s="202"/>
      <c r="AR21" s="202"/>
      <c r="AS21" s="202"/>
      <c r="AT21" s="203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5" customHeight="1" x14ac:dyDescent="0.2">
      <c r="A22" s="1"/>
      <c r="B22" s="2"/>
      <c r="C22" s="198" t="s">
        <v>152</v>
      </c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200"/>
      <c r="U22" s="122">
        <v>2</v>
      </c>
      <c r="V22" s="123"/>
      <c r="W22" s="123"/>
      <c r="X22" s="123"/>
      <c r="Y22" s="138" t="s">
        <v>82</v>
      </c>
      <c r="Z22" s="138"/>
      <c r="AA22" s="139"/>
      <c r="AB22" s="122"/>
      <c r="AC22" s="123"/>
      <c r="AD22" s="123"/>
      <c r="AE22" s="123"/>
      <c r="AF22" s="124"/>
      <c r="AG22" s="122">
        <f t="shared" si="0"/>
        <v>0</v>
      </c>
      <c r="AH22" s="123"/>
      <c r="AI22" s="123"/>
      <c r="AJ22" s="123"/>
      <c r="AK22" s="123"/>
      <c r="AL22" s="123"/>
      <c r="AM22" s="124"/>
      <c r="AN22" s="201"/>
      <c r="AO22" s="202"/>
      <c r="AP22" s="202"/>
      <c r="AQ22" s="202"/>
      <c r="AR22" s="202"/>
      <c r="AS22" s="202"/>
      <c r="AT22" s="203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5" customHeight="1" x14ac:dyDescent="0.2">
      <c r="A23" s="1"/>
      <c r="B23" s="2"/>
      <c r="C23" s="198" t="s">
        <v>153</v>
      </c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200"/>
      <c r="U23" s="122">
        <v>1</v>
      </c>
      <c r="V23" s="123"/>
      <c r="W23" s="123"/>
      <c r="X23" s="123"/>
      <c r="Y23" s="138" t="s">
        <v>82</v>
      </c>
      <c r="Z23" s="138"/>
      <c r="AA23" s="139"/>
      <c r="AB23" s="122"/>
      <c r="AC23" s="123"/>
      <c r="AD23" s="123"/>
      <c r="AE23" s="123"/>
      <c r="AF23" s="124"/>
      <c r="AG23" s="122">
        <f t="shared" si="0"/>
        <v>0</v>
      </c>
      <c r="AH23" s="123"/>
      <c r="AI23" s="123"/>
      <c r="AJ23" s="123"/>
      <c r="AK23" s="123"/>
      <c r="AL23" s="123"/>
      <c r="AM23" s="124"/>
      <c r="AN23" s="201"/>
      <c r="AO23" s="202"/>
      <c r="AP23" s="202"/>
      <c r="AQ23" s="202"/>
      <c r="AR23" s="202"/>
      <c r="AS23" s="202"/>
      <c r="AT23" s="203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5" customHeight="1" x14ac:dyDescent="0.2">
      <c r="A24" s="1"/>
      <c r="B24" s="2"/>
      <c r="C24" s="198" t="s">
        <v>154</v>
      </c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200"/>
      <c r="U24" s="122">
        <v>1</v>
      </c>
      <c r="V24" s="123"/>
      <c r="W24" s="123"/>
      <c r="X24" s="123"/>
      <c r="Y24" s="138" t="s">
        <v>82</v>
      </c>
      <c r="Z24" s="138"/>
      <c r="AA24" s="139"/>
      <c r="AB24" s="122"/>
      <c r="AC24" s="123"/>
      <c r="AD24" s="123"/>
      <c r="AE24" s="123"/>
      <c r="AF24" s="124"/>
      <c r="AG24" s="122">
        <f t="shared" si="0"/>
        <v>0</v>
      </c>
      <c r="AH24" s="123"/>
      <c r="AI24" s="123"/>
      <c r="AJ24" s="123"/>
      <c r="AK24" s="123"/>
      <c r="AL24" s="123"/>
      <c r="AM24" s="124"/>
      <c r="AN24" s="201"/>
      <c r="AO24" s="202"/>
      <c r="AP24" s="202"/>
      <c r="AQ24" s="202"/>
      <c r="AR24" s="202"/>
      <c r="AS24" s="202"/>
      <c r="AT24" s="203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5" customHeight="1" x14ac:dyDescent="0.2">
      <c r="A25" s="1"/>
      <c r="B25" s="2"/>
      <c r="C25" s="198" t="s">
        <v>155</v>
      </c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200"/>
      <c r="U25" s="122">
        <v>1</v>
      </c>
      <c r="V25" s="123"/>
      <c r="W25" s="123"/>
      <c r="X25" s="123"/>
      <c r="Y25" s="138" t="s">
        <v>82</v>
      </c>
      <c r="Z25" s="138"/>
      <c r="AA25" s="139"/>
      <c r="AB25" s="122"/>
      <c r="AC25" s="123"/>
      <c r="AD25" s="123"/>
      <c r="AE25" s="123"/>
      <c r="AF25" s="124"/>
      <c r="AG25" s="122">
        <f t="shared" si="0"/>
        <v>0</v>
      </c>
      <c r="AH25" s="123"/>
      <c r="AI25" s="123"/>
      <c r="AJ25" s="123"/>
      <c r="AK25" s="123"/>
      <c r="AL25" s="123"/>
      <c r="AM25" s="124"/>
      <c r="AN25" s="201"/>
      <c r="AO25" s="202"/>
      <c r="AP25" s="202"/>
      <c r="AQ25" s="202"/>
      <c r="AR25" s="202"/>
      <c r="AS25" s="202"/>
      <c r="AT25" s="203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5" customHeight="1" x14ac:dyDescent="0.2">
      <c r="A26" s="1"/>
      <c r="B26" s="2"/>
      <c r="C26" s="198" t="s">
        <v>156</v>
      </c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200"/>
      <c r="U26" s="122">
        <v>3</v>
      </c>
      <c r="V26" s="123"/>
      <c r="W26" s="123"/>
      <c r="X26" s="123"/>
      <c r="Y26" s="138" t="s">
        <v>82</v>
      </c>
      <c r="Z26" s="138"/>
      <c r="AA26" s="139"/>
      <c r="AB26" s="122"/>
      <c r="AC26" s="123"/>
      <c r="AD26" s="123"/>
      <c r="AE26" s="123"/>
      <c r="AF26" s="124"/>
      <c r="AG26" s="122">
        <f t="shared" si="0"/>
        <v>0</v>
      </c>
      <c r="AH26" s="123"/>
      <c r="AI26" s="123"/>
      <c r="AJ26" s="123"/>
      <c r="AK26" s="123"/>
      <c r="AL26" s="123"/>
      <c r="AM26" s="124"/>
      <c r="AN26" s="201"/>
      <c r="AO26" s="202"/>
      <c r="AP26" s="202"/>
      <c r="AQ26" s="202"/>
      <c r="AR26" s="202"/>
      <c r="AS26" s="202"/>
      <c r="AT26" s="203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5" customHeight="1" x14ac:dyDescent="0.2">
      <c r="A27" s="1"/>
      <c r="B27" s="2"/>
      <c r="C27" s="198" t="s">
        <v>157</v>
      </c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200"/>
      <c r="U27" s="122">
        <v>1</v>
      </c>
      <c r="V27" s="123"/>
      <c r="W27" s="123"/>
      <c r="X27" s="123"/>
      <c r="Y27" s="138" t="s">
        <v>82</v>
      </c>
      <c r="Z27" s="138"/>
      <c r="AA27" s="139"/>
      <c r="AB27" s="122"/>
      <c r="AC27" s="123"/>
      <c r="AD27" s="123"/>
      <c r="AE27" s="123"/>
      <c r="AF27" s="124"/>
      <c r="AG27" s="122">
        <f t="shared" si="0"/>
        <v>0</v>
      </c>
      <c r="AH27" s="123"/>
      <c r="AI27" s="123"/>
      <c r="AJ27" s="123"/>
      <c r="AK27" s="123"/>
      <c r="AL27" s="123"/>
      <c r="AM27" s="124"/>
      <c r="AN27" s="201"/>
      <c r="AO27" s="202"/>
      <c r="AP27" s="202"/>
      <c r="AQ27" s="202"/>
      <c r="AR27" s="202"/>
      <c r="AS27" s="202"/>
      <c r="AT27" s="203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5" customHeight="1" x14ac:dyDescent="0.2">
      <c r="A28" s="1"/>
      <c r="B28" s="2"/>
      <c r="C28" s="198" t="s">
        <v>158</v>
      </c>
      <c r="D28" s="199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200"/>
      <c r="U28" s="122">
        <v>1</v>
      </c>
      <c r="V28" s="123"/>
      <c r="W28" s="123"/>
      <c r="X28" s="123"/>
      <c r="Y28" s="138" t="s">
        <v>82</v>
      </c>
      <c r="Z28" s="138"/>
      <c r="AA28" s="139"/>
      <c r="AB28" s="122"/>
      <c r="AC28" s="123"/>
      <c r="AD28" s="123"/>
      <c r="AE28" s="123"/>
      <c r="AF28" s="124"/>
      <c r="AG28" s="122">
        <f t="shared" si="0"/>
        <v>0</v>
      </c>
      <c r="AH28" s="123"/>
      <c r="AI28" s="123"/>
      <c r="AJ28" s="123"/>
      <c r="AK28" s="123"/>
      <c r="AL28" s="123"/>
      <c r="AM28" s="124"/>
      <c r="AN28" s="201"/>
      <c r="AO28" s="202"/>
      <c r="AP28" s="202"/>
      <c r="AQ28" s="202"/>
      <c r="AR28" s="202"/>
      <c r="AS28" s="202"/>
      <c r="AT28" s="203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5" customHeight="1" x14ac:dyDescent="0.2">
      <c r="A29" s="1"/>
      <c r="B29" s="2" t="s">
        <v>92</v>
      </c>
      <c r="C29" s="198" t="s">
        <v>159</v>
      </c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200"/>
      <c r="U29" s="122">
        <v>1</v>
      </c>
      <c r="V29" s="123"/>
      <c r="W29" s="123"/>
      <c r="X29" s="123"/>
      <c r="Y29" s="138" t="s">
        <v>82</v>
      </c>
      <c r="Z29" s="138"/>
      <c r="AA29" s="139"/>
      <c r="AB29" s="211"/>
      <c r="AC29" s="212"/>
      <c r="AD29" s="212"/>
      <c r="AE29" s="212"/>
      <c r="AF29" s="213"/>
      <c r="AG29" s="211">
        <f t="shared" si="0"/>
        <v>0</v>
      </c>
      <c r="AH29" s="212"/>
      <c r="AI29" s="212"/>
      <c r="AJ29" s="212"/>
      <c r="AK29" s="212"/>
      <c r="AL29" s="212"/>
      <c r="AM29" s="213"/>
      <c r="AN29" s="214"/>
      <c r="AO29" s="215"/>
      <c r="AP29" s="215"/>
      <c r="AQ29" s="215"/>
      <c r="AR29" s="215"/>
      <c r="AS29" s="215"/>
      <c r="AT29" s="216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5" customHeight="1" thickBot="1" x14ac:dyDescent="0.25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1" t="s">
        <v>44</v>
      </c>
      <c r="V30" s="152"/>
      <c r="W30" s="152"/>
      <c r="X30" s="152"/>
      <c r="Y30" s="152"/>
      <c r="Z30" s="152"/>
      <c r="AA30" s="153"/>
      <c r="AB30" s="204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6"/>
      <c r="AO30" s="207"/>
      <c r="AP30" s="207"/>
      <c r="AQ30" s="207"/>
      <c r="AR30" s="207"/>
      <c r="AS30" s="207"/>
      <c r="AT30" s="208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2">
      <c r="CS103" s="27" t="s">
        <v>18</v>
      </c>
      <c r="CT103" s="14"/>
    </row>
    <row r="104" spans="97:98" ht="13.5" customHeight="1" x14ac:dyDescent="0.2">
      <c r="CS104" s="58" t="str">
        <f>見積書A4!CS104</f>
        <v>台</v>
      </c>
      <c r="CT104" s="18"/>
    </row>
    <row r="105" spans="97:98" ht="13.5" customHeight="1" x14ac:dyDescent="0.2">
      <c r="CS105" s="58" t="str">
        <f>見積書A4!CS105</f>
        <v>個</v>
      </c>
      <c r="CT105" s="18"/>
    </row>
    <row r="106" spans="97:98" ht="13.5" customHeight="1" x14ac:dyDescent="0.2">
      <c r="CS106" s="58" t="str">
        <f>見積書A4!CS106</f>
        <v>一式</v>
      </c>
      <c r="CT106" s="21"/>
    </row>
    <row r="107" spans="97:98" ht="13.5" customHeight="1" x14ac:dyDescent="0.2">
      <c r="CS107" s="58" t="str">
        <f>見積書A4!CS107</f>
        <v>冊</v>
      </c>
      <c r="CT107" s="18"/>
    </row>
    <row r="108" spans="97:98" ht="13.5" customHeight="1" x14ac:dyDescent="0.2">
      <c r="CS108" s="58" t="str">
        <f>見積書A4!CS108</f>
        <v>箱</v>
      </c>
      <c r="CT108" s="18"/>
    </row>
    <row r="109" spans="97:98" ht="13.5" customHeight="1" x14ac:dyDescent="0.2">
      <c r="CS109" s="58" t="str">
        <f>見積書A4!CS109</f>
        <v>C/S</v>
      </c>
      <c r="CT109" s="20"/>
    </row>
    <row r="110" spans="97:98" ht="13.5" customHeight="1" x14ac:dyDescent="0.2">
      <c r="CS110" s="58" t="str">
        <f>見積書A4!CS110</f>
        <v>SET</v>
      </c>
      <c r="CT110" s="20"/>
    </row>
    <row r="111" spans="97:98" ht="13.5" customHeight="1" x14ac:dyDescent="0.2">
      <c r="CS111" s="58" t="str">
        <f>見積書A4!CS111</f>
        <v>本</v>
      </c>
      <c r="CT111" s="18"/>
    </row>
    <row r="112" spans="97:98" ht="13.5" customHeight="1" x14ac:dyDescent="0.2">
      <c r="CS112" s="58" t="str">
        <f>見積書A4!CS112</f>
        <v>束</v>
      </c>
      <c r="CT112" s="18"/>
    </row>
    <row r="113" spans="87:125" ht="13.5" customHeight="1" x14ac:dyDescent="0.2">
      <c r="CS113" s="58" t="str">
        <f>見積書A4!CS113</f>
        <v>枚</v>
      </c>
      <c r="CT113" s="18"/>
    </row>
    <row r="114" spans="87:125" ht="13.5" customHeight="1" x14ac:dyDescent="0.2">
      <c r="CS114" s="58" t="str">
        <f>見積書A4!CS114</f>
        <v>ﾊﾟｯｸ</v>
      </c>
      <c r="CT114" s="21"/>
    </row>
    <row r="115" spans="87:125" ht="13.5" customHeight="1" x14ac:dyDescent="0.2">
      <c r="CS115" s="58" t="str">
        <f>見積書A4!CS115</f>
        <v>ｷｯﾄ</v>
      </c>
      <c r="CT115" s="18"/>
    </row>
    <row r="116" spans="87:125" ht="13.5" customHeight="1" x14ac:dyDescent="0.2">
      <c r="CS116" s="58">
        <f>見積書A4!CS116</f>
        <v>0</v>
      </c>
      <c r="CT116" s="18"/>
    </row>
    <row r="119" spans="87:125" ht="13.5" customHeight="1" x14ac:dyDescent="0.2">
      <c r="CI119" s="134" t="s">
        <v>43</v>
      </c>
      <c r="CJ119" s="134"/>
      <c r="CK119" s="134"/>
      <c r="CL119" s="134"/>
      <c r="CM119" s="209" t="str">
        <f>見積書A4!CM119</f>
        <v>C:\Documents and Settings\sato\My Documents\シンプル見積書\</v>
      </c>
      <c r="CN119" s="210"/>
      <c r="CO119" s="210"/>
      <c r="CP119" s="210"/>
      <c r="CQ119" s="210"/>
      <c r="CR119" s="210"/>
      <c r="CS119" s="210"/>
      <c r="CT119" s="210"/>
      <c r="CU119" s="210"/>
      <c r="CV119" s="210"/>
      <c r="CW119" s="210"/>
      <c r="CX119" s="210"/>
      <c r="CY119" s="210"/>
      <c r="CZ119" s="210"/>
      <c r="DA119" s="210"/>
      <c r="DB119" s="210"/>
      <c r="DC119" s="210"/>
      <c r="DD119" s="210"/>
      <c r="DE119" s="210"/>
      <c r="DF119" s="210"/>
      <c r="DG119" s="210"/>
      <c r="DH119" s="210"/>
      <c r="DI119" s="210"/>
      <c r="DJ119" s="210"/>
      <c r="DK119" s="210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2">
      <c r="CI120" s="134" t="s">
        <v>74</v>
      </c>
      <c r="CJ120" s="134"/>
      <c r="CK120" s="134"/>
      <c r="CL120" s="134"/>
      <c r="CM120" s="209">
        <f>見積書A4!CM120</f>
        <v>0</v>
      </c>
      <c r="CN120" s="210"/>
      <c r="CO120" s="210"/>
      <c r="CP120" s="210"/>
      <c r="CQ120" s="210"/>
      <c r="CR120" s="210"/>
      <c r="CS120" s="210"/>
      <c r="CT120" s="210"/>
      <c r="CU120" s="210"/>
      <c r="CV120" s="210"/>
      <c r="CW120" s="210"/>
      <c r="CX120" s="210"/>
      <c r="CY120" s="210"/>
      <c r="CZ120" s="210"/>
      <c r="DA120" s="210"/>
      <c r="DB120" s="210"/>
      <c r="DC120" s="210"/>
      <c r="DD120" s="210"/>
      <c r="DE120" s="210"/>
      <c r="DF120" s="210"/>
      <c r="DG120" s="210"/>
      <c r="DH120" s="210"/>
      <c r="DI120" s="210"/>
      <c r="DJ120" s="210"/>
      <c r="DK120" s="210"/>
    </row>
    <row r="178" spans="16:16" ht="13.5" customHeight="1" x14ac:dyDescent="0.2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xWindow="623" yWindow="1322" count="5">
    <dataValidation imeMode="hiragana" allowBlank="1" showInputMessage="1" showErrorMessage="1" prompt="品名を入力" sqref="D7:T7 C7:C29 D20:T29" xr:uid="{00000000-0002-0000-0400-000000000000}"/>
    <dataValidation imeMode="off" allowBlank="1" showInputMessage="1" showErrorMessage="1" prompt="数量を入力" sqref="U7:X29" xr:uid="{00000000-0002-0000-0400-000001000000}"/>
    <dataValidation imeMode="off" allowBlank="1" showInputMessage="1" showErrorMessage="1" prompt="単価を入力" sqref="AB7:AF29" xr:uid="{00000000-0002-0000-0400-000002000000}"/>
    <dataValidation imeMode="hiragana" allowBlank="1" showInputMessage="1" showErrorMessage="1" prompt="備考があれば入力" sqref="AN7:AT29" xr:uid="{00000000-0002-0000-0400-000003000000}"/>
    <dataValidation type="list" imeMode="hiragana" allowBlank="1" showInputMessage="1" showErrorMessage="1" prompt="ボタンを押し単位を入力" sqref="Y7:AA29" xr:uid="{00000000-0002-0000-04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88900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107950</xdr:colOff>
                    <xdr:row>0</xdr:row>
                    <xdr:rowOff>88900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Button 3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88900</xdr:rowOff>
                  </from>
                  <to>
                    <xdr:col>10</xdr:col>
                    <xdr:colOff>127000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Button 4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88900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Button 5">
              <controlPr defaultSize="0" print="0" autoFill="0" autoPict="0" macro="[0]!ThisWorkbook.ヘルプ">
                <anchor moveWithCells="1" sizeWithCells="1">
                  <from>
                    <xdr:col>38</xdr:col>
                    <xdr:colOff>88900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6</xdr:row>
                    <xdr:rowOff>107950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7</xdr:row>
                    <xdr:rowOff>69850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10</xdr:row>
                    <xdr:rowOff>88900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13</xdr:row>
                    <xdr:rowOff>88900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17</xdr:row>
                    <xdr:rowOff>88900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19</xdr:row>
                    <xdr:rowOff>88900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20</xdr:row>
                    <xdr:rowOff>88900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21</xdr:row>
                    <xdr:rowOff>88900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23</xdr:row>
                    <xdr:rowOff>88900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24</xdr:row>
                    <xdr:rowOff>88900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25</xdr:row>
                    <xdr:rowOff>88900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27</xdr:row>
                    <xdr:rowOff>88900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69850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Button 30">
              <controlPr defaultSize="0" print="0" autoFill="0" autoPict="0" macro="[0]!ThisWorkbook.表示11">
                <anchor moveWithCells="1" sizeWithCells="1">
                  <from>
                    <xdr:col>25</xdr:col>
                    <xdr:colOff>88900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127000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88900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146050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08984375" defaultRowHeight="13.5" customHeight="1" x14ac:dyDescent="0.2"/>
  <cols>
    <col min="1" max="1" width="7" customWidth="1"/>
    <col min="2" max="2" width="0.6328125" customWidth="1"/>
  </cols>
  <sheetData>
    <row r="1" spans="1:78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2">
      <c r="A3" s="1"/>
      <c r="D3" s="194" t="s">
        <v>95</v>
      </c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AL3" s="5" t="s">
        <v>91</v>
      </c>
      <c r="AM3" s="5"/>
      <c r="AN3" s="197"/>
      <c r="AO3" s="197"/>
      <c r="AP3" s="197"/>
      <c r="AQ3" s="197"/>
      <c r="AR3" s="197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5">
      <c r="A4" s="1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2">
      <c r="A5" s="1"/>
      <c r="B5" s="2"/>
      <c r="C5" s="145" t="s">
        <v>90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7"/>
      <c r="U5" s="84" t="s">
        <v>10</v>
      </c>
      <c r="V5" s="85"/>
      <c r="W5" s="85"/>
      <c r="X5" s="85"/>
      <c r="Y5" s="85"/>
      <c r="Z5" s="85"/>
      <c r="AA5" s="86"/>
      <c r="AB5" s="84" t="s">
        <v>11</v>
      </c>
      <c r="AC5" s="85"/>
      <c r="AD5" s="85"/>
      <c r="AE5" s="85"/>
      <c r="AF5" s="85"/>
      <c r="AG5" s="84" t="s">
        <v>12</v>
      </c>
      <c r="AH5" s="85"/>
      <c r="AI5" s="85"/>
      <c r="AJ5" s="85"/>
      <c r="AK5" s="85"/>
      <c r="AL5" s="85"/>
      <c r="AM5" s="86"/>
      <c r="AN5" s="84" t="s">
        <v>13</v>
      </c>
      <c r="AO5" s="85"/>
      <c r="AP5" s="85"/>
      <c r="AQ5" s="85"/>
      <c r="AR5" s="85"/>
      <c r="AS5" s="85"/>
      <c r="AT5" s="143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2">
      <c r="A6" s="1"/>
      <c r="B6" s="2"/>
      <c r="C6" s="148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50"/>
      <c r="U6" s="87"/>
      <c r="V6" s="88"/>
      <c r="W6" s="88"/>
      <c r="X6" s="88"/>
      <c r="Y6" s="88"/>
      <c r="Z6" s="88"/>
      <c r="AA6" s="89"/>
      <c r="AB6" s="87"/>
      <c r="AC6" s="88"/>
      <c r="AD6" s="88"/>
      <c r="AE6" s="88"/>
      <c r="AF6" s="88"/>
      <c r="AG6" s="87"/>
      <c r="AH6" s="88"/>
      <c r="AI6" s="88"/>
      <c r="AJ6" s="88"/>
      <c r="AK6" s="88"/>
      <c r="AL6" s="88"/>
      <c r="AM6" s="89"/>
      <c r="AN6" s="87"/>
      <c r="AO6" s="88"/>
      <c r="AP6" s="88"/>
      <c r="AQ6" s="88"/>
      <c r="AR6" s="88"/>
      <c r="AS6" s="88"/>
      <c r="AT6" s="144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5" customHeight="1" x14ac:dyDescent="0.2">
      <c r="A7" s="1"/>
      <c r="B7" s="2"/>
      <c r="C7" s="198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/>
      <c r="U7" s="122"/>
      <c r="V7" s="123"/>
      <c r="W7" s="123"/>
      <c r="X7" s="123"/>
      <c r="Y7" s="138"/>
      <c r="Z7" s="138"/>
      <c r="AA7" s="139"/>
      <c r="AB7" s="122">
        <f>SUM(Y19)</f>
        <v>0</v>
      </c>
      <c r="AC7" s="123"/>
      <c r="AD7" s="123"/>
      <c r="AE7" s="123"/>
      <c r="AF7" s="124"/>
      <c r="AG7" s="122">
        <f>IF(U7="",1*AB7,U7*AB7)</f>
        <v>0</v>
      </c>
      <c r="AH7" s="123"/>
      <c r="AI7" s="123"/>
      <c r="AJ7" s="123"/>
      <c r="AK7" s="123"/>
      <c r="AL7" s="123"/>
      <c r="AM7" s="124"/>
      <c r="AN7" s="201"/>
      <c r="AO7" s="202"/>
      <c r="AP7" s="202"/>
      <c r="AQ7" s="202"/>
      <c r="AR7" s="202"/>
      <c r="AS7" s="202"/>
      <c r="AT7" s="203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5" customHeight="1" x14ac:dyDescent="0.2">
      <c r="A8" s="1"/>
      <c r="B8" s="2"/>
      <c r="C8" s="198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122"/>
      <c r="V8" s="123"/>
      <c r="W8" s="123"/>
      <c r="X8" s="123"/>
      <c r="Y8" s="138"/>
      <c r="Z8" s="138"/>
      <c r="AA8" s="139"/>
      <c r="AB8" s="122"/>
      <c r="AC8" s="123"/>
      <c r="AD8" s="123"/>
      <c r="AE8" s="123"/>
      <c r="AF8" s="124"/>
      <c r="AG8" s="122">
        <f t="shared" ref="AG8:AG29" si="0">IF(U8="",1*AB8,U8*AB8)</f>
        <v>0</v>
      </c>
      <c r="AH8" s="123"/>
      <c r="AI8" s="123"/>
      <c r="AJ8" s="123"/>
      <c r="AK8" s="123"/>
      <c r="AL8" s="123"/>
      <c r="AM8" s="124"/>
      <c r="AN8" s="201"/>
      <c r="AO8" s="202"/>
      <c r="AP8" s="202"/>
      <c r="AQ8" s="202"/>
      <c r="AR8" s="202"/>
      <c r="AS8" s="202"/>
      <c r="AT8" s="203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5" customHeight="1" x14ac:dyDescent="0.2">
      <c r="A9" s="1"/>
      <c r="B9" s="2"/>
      <c r="C9" s="198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200"/>
      <c r="U9" s="122"/>
      <c r="V9" s="123"/>
      <c r="W9" s="123"/>
      <c r="X9" s="123"/>
      <c r="Y9" s="138"/>
      <c r="Z9" s="138"/>
      <c r="AA9" s="139"/>
      <c r="AB9" s="122"/>
      <c r="AC9" s="123"/>
      <c r="AD9" s="123"/>
      <c r="AE9" s="123"/>
      <c r="AF9" s="124"/>
      <c r="AG9" s="122">
        <f t="shared" si="0"/>
        <v>0</v>
      </c>
      <c r="AH9" s="123"/>
      <c r="AI9" s="123"/>
      <c r="AJ9" s="123"/>
      <c r="AK9" s="123"/>
      <c r="AL9" s="123"/>
      <c r="AM9" s="124"/>
      <c r="AN9" s="201"/>
      <c r="AO9" s="202"/>
      <c r="AP9" s="202"/>
      <c r="AQ9" s="202"/>
      <c r="AR9" s="202"/>
      <c r="AS9" s="202"/>
      <c r="AT9" s="203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5" customHeight="1" x14ac:dyDescent="0.2">
      <c r="A10" s="1"/>
      <c r="B10" s="2"/>
      <c r="C10" s="198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200"/>
      <c r="U10" s="122"/>
      <c r="V10" s="123"/>
      <c r="W10" s="123"/>
      <c r="X10" s="123"/>
      <c r="Y10" s="138"/>
      <c r="Z10" s="138"/>
      <c r="AA10" s="139"/>
      <c r="AB10" s="122"/>
      <c r="AC10" s="123"/>
      <c r="AD10" s="123"/>
      <c r="AE10" s="123"/>
      <c r="AF10" s="124"/>
      <c r="AG10" s="122">
        <f t="shared" si="0"/>
        <v>0</v>
      </c>
      <c r="AH10" s="123"/>
      <c r="AI10" s="123"/>
      <c r="AJ10" s="123"/>
      <c r="AK10" s="123"/>
      <c r="AL10" s="123"/>
      <c r="AM10" s="124"/>
      <c r="AN10" s="201"/>
      <c r="AO10" s="202"/>
      <c r="AP10" s="202"/>
      <c r="AQ10" s="202"/>
      <c r="AR10" s="202"/>
      <c r="AS10" s="202"/>
      <c r="AT10" s="203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5" customHeight="1" x14ac:dyDescent="0.2">
      <c r="A11" s="1"/>
      <c r="B11" s="2"/>
      <c r="C11" s="198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199"/>
      <c r="S11" s="199"/>
      <c r="T11" s="200"/>
      <c r="U11" s="122"/>
      <c r="V11" s="123"/>
      <c r="W11" s="123"/>
      <c r="X11" s="123"/>
      <c r="Y11" s="138"/>
      <c r="Z11" s="138"/>
      <c r="AA11" s="139"/>
      <c r="AB11" s="122"/>
      <c r="AC11" s="123"/>
      <c r="AD11" s="123"/>
      <c r="AE11" s="123"/>
      <c r="AF11" s="124"/>
      <c r="AG11" s="122">
        <f t="shared" si="0"/>
        <v>0</v>
      </c>
      <c r="AH11" s="123"/>
      <c r="AI11" s="123"/>
      <c r="AJ11" s="123"/>
      <c r="AK11" s="123"/>
      <c r="AL11" s="123"/>
      <c r="AM11" s="124"/>
      <c r="AN11" s="201"/>
      <c r="AO11" s="202"/>
      <c r="AP11" s="202"/>
      <c r="AQ11" s="202"/>
      <c r="AR11" s="202"/>
      <c r="AS11" s="202"/>
      <c r="AT11" s="203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5" customHeight="1" x14ac:dyDescent="0.2">
      <c r="A12" s="1"/>
      <c r="B12" s="2"/>
      <c r="C12" s="198"/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200"/>
      <c r="U12" s="122"/>
      <c r="V12" s="123"/>
      <c r="W12" s="123"/>
      <c r="X12" s="123"/>
      <c r="Y12" s="138"/>
      <c r="Z12" s="138"/>
      <c r="AA12" s="139"/>
      <c r="AB12" s="122"/>
      <c r="AC12" s="123"/>
      <c r="AD12" s="123"/>
      <c r="AE12" s="123"/>
      <c r="AF12" s="124"/>
      <c r="AG12" s="122">
        <f t="shared" si="0"/>
        <v>0</v>
      </c>
      <c r="AH12" s="123"/>
      <c r="AI12" s="123"/>
      <c r="AJ12" s="123"/>
      <c r="AK12" s="123"/>
      <c r="AL12" s="123"/>
      <c r="AM12" s="124"/>
      <c r="AN12" s="201"/>
      <c r="AO12" s="202"/>
      <c r="AP12" s="202"/>
      <c r="AQ12" s="202"/>
      <c r="AR12" s="202"/>
      <c r="AS12" s="202"/>
      <c r="AT12" s="203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5" customHeight="1" x14ac:dyDescent="0.2">
      <c r="A13" s="1"/>
      <c r="B13" s="2"/>
      <c r="C13" s="198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200"/>
      <c r="U13" s="122"/>
      <c r="V13" s="123"/>
      <c r="W13" s="123"/>
      <c r="X13" s="123"/>
      <c r="Y13" s="138"/>
      <c r="Z13" s="138"/>
      <c r="AA13" s="139"/>
      <c r="AB13" s="122"/>
      <c r="AC13" s="123"/>
      <c r="AD13" s="123"/>
      <c r="AE13" s="123"/>
      <c r="AF13" s="124"/>
      <c r="AG13" s="122">
        <f t="shared" si="0"/>
        <v>0</v>
      </c>
      <c r="AH13" s="123"/>
      <c r="AI13" s="123"/>
      <c r="AJ13" s="123"/>
      <c r="AK13" s="123"/>
      <c r="AL13" s="123"/>
      <c r="AM13" s="124"/>
      <c r="AN13" s="214"/>
      <c r="AO13" s="215"/>
      <c r="AP13" s="215"/>
      <c r="AQ13" s="215"/>
      <c r="AR13" s="215"/>
      <c r="AS13" s="215"/>
      <c r="AT13" s="216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5" customHeight="1" x14ac:dyDescent="0.2">
      <c r="A14" s="1"/>
      <c r="B14" s="2"/>
      <c r="C14" s="198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200"/>
      <c r="U14" s="122"/>
      <c r="V14" s="123"/>
      <c r="W14" s="123"/>
      <c r="X14" s="123"/>
      <c r="Y14" s="138"/>
      <c r="Z14" s="138"/>
      <c r="AA14" s="139"/>
      <c r="AB14" s="122"/>
      <c r="AC14" s="123"/>
      <c r="AD14" s="123"/>
      <c r="AE14" s="123"/>
      <c r="AF14" s="124"/>
      <c r="AG14" s="122">
        <f t="shared" si="0"/>
        <v>0</v>
      </c>
      <c r="AH14" s="123"/>
      <c r="AI14" s="123"/>
      <c r="AJ14" s="123"/>
      <c r="AK14" s="123"/>
      <c r="AL14" s="123"/>
      <c r="AM14" s="124"/>
      <c r="AN14" s="214"/>
      <c r="AO14" s="215"/>
      <c r="AP14" s="215"/>
      <c r="AQ14" s="215"/>
      <c r="AR14" s="215"/>
      <c r="AS14" s="215"/>
      <c r="AT14" s="216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5" customHeight="1" x14ac:dyDescent="0.2">
      <c r="A15" s="1"/>
      <c r="B15" s="2"/>
      <c r="C15" s="198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200"/>
      <c r="U15" s="122"/>
      <c r="V15" s="123"/>
      <c r="W15" s="123"/>
      <c r="X15" s="123"/>
      <c r="Y15" s="138"/>
      <c r="Z15" s="138"/>
      <c r="AA15" s="139"/>
      <c r="AB15" s="122"/>
      <c r="AC15" s="123"/>
      <c r="AD15" s="123"/>
      <c r="AE15" s="123"/>
      <c r="AF15" s="124"/>
      <c r="AG15" s="122">
        <f t="shared" si="0"/>
        <v>0</v>
      </c>
      <c r="AH15" s="123"/>
      <c r="AI15" s="123"/>
      <c r="AJ15" s="123"/>
      <c r="AK15" s="123"/>
      <c r="AL15" s="123"/>
      <c r="AM15" s="124"/>
      <c r="AN15" s="214"/>
      <c r="AO15" s="215"/>
      <c r="AP15" s="215"/>
      <c r="AQ15" s="215"/>
      <c r="AR15" s="215"/>
      <c r="AS15" s="215"/>
      <c r="AT15" s="216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5" customHeight="1" x14ac:dyDescent="0.2">
      <c r="A16" s="1"/>
      <c r="B16" s="2"/>
      <c r="C16" s="198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200"/>
      <c r="U16" s="122"/>
      <c r="V16" s="123"/>
      <c r="W16" s="123"/>
      <c r="X16" s="123"/>
      <c r="Y16" s="138"/>
      <c r="Z16" s="138"/>
      <c r="AA16" s="139"/>
      <c r="AB16" s="122"/>
      <c r="AC16" s="123"/>
      <c r="AD16" s="123"/>
      <c r="AE16" s="123"/>
      <c r="AF16" s="124"/>
      <c r="AG16" s="122">
        <f t="shared" si="0"/>
        <v>0</v>
      </c>
      <c r="AH16" s="123"/>
      <c r="AI16" s="123"/>
      <c r="AJ16" s="123"/>
      <c r="AK16" s="123"/>
      <c r="AL16" s="123"/>
      <c r="AM16" s="124"/>
      <c r="AN16" s="214"/>
      <c r="AO16" s="215"/>
      <c r="AP16" s="215"/>
      <c r="AQ16" s="215"/>
      <c r="AR16" s="215"/>
      <c r="AS16" s="215"/>
      <c r="AT16" s="216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5" customHeight="1" x14ac:dyDescent="0.2">
      <c r="A17" s="1"/>
      <c r="B17" s="2"/>
      <c r="C17" s="198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200"/>
      <c r="U17" s="122"/>
      <c r="V17" s="123"/>
      <c r="W17" s="123"/>
      <c r="X17" s="123"/>
      <c r="Y17" s="138"/>
      <c r="Z17" s="138"/>
      <c r="AA17" s="139"/>
      <c r="AB17" s="122"/>
      <c r="AC17" s="123"/>
      <c r="AD17" s="123"/>
      <c r="AE17" s="123"/>
      <c r="AF17" s="124"/>
      <c r="AG17" s="122">
        <f t="shared" si="0"/>
        <v>0</v>
      </c>
      <c r="AH17" s="123"/>
      <c r="AI17" s="123"/>
      <c r="AJ17" s="123"/>
      <c r="AK17" s="123"/>
      <c r="AL17" s="123"/>
      <c r="AM17" s="124"/>
      <c r="AN17" s="214"/>
      <c r="AO17" s="215"/>
      <c r="AP17" s="215"/>
      <c r="AQ17" s="215"/>
      <c r="AR17" s="215"/>
      <c r="AS17" s="215"/>
      <c r="AT17" s="216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5" customHeight="1" x14ac:dyDescent="0.2">
      <c r="A18" s="1"/>
      <c r="B18" s="2"/>
      <c r="C18" s="198"/>
      <c r="D18" s="199"/>
      <c r="E18" s="199"/>
      <c r="F18" s="199"/>
      <c r="G18" s="199"/>
      <c r="H18" s="199"/>
      <c r="I18" s="199"/>
      <c r="J18" s="199"/>
      <c r="K18" s="199"/>
      <c r="L18" s="199"/>
      <c r="M18" s="199"/>
      <c r="N18" s="199"/>
      <c r="O18" s="199"/>
      <c r="P18" s="199"/>
      <c r="Q18" s="199"/>
      <c r="R18" s="199"/>
      <c r="S18" s="199"/>
      <c r="T18" s="200"/>
      <c r="U18" s="122"/>
      <c r="V18" s="123"/>
      <c r="W18" s="123"/>
      <c r="X18" s="123"/>
      <c r="Y18" s="138"/>
      <c r="Z18" s="138"/>
      <c r="AA18" s="139"/>
      <c r="AB18" s="122"/>
      <c r="AC18" s="123"/>
      <c r="AD18" s="123"/>
      <c r="AE18" s="123"/>
      <c r="AF18" s="124"/>
      <c r="AG18" s="122">
        <f t="shared" si="0"/>
        <v>0</v>
      </c>
      <c r="AH18" s="123"/>
      <c r="AI18" s="123"/>
      <c r="AJ18" s="123"/>
      <c r="AK18" s="123"/>
      <c r="AL18" s="123"/>
      <c r="AM18" s="124"/>
      <c r="AN18" s="214"/>
      <c r="AO18" s="215"/>
      <c r="AP18" s="215"/>
      <c r="AQ18" s="215"/>
      <c r="AR18" s="215"/>
      <c r="AS18" s="215"/>
      <c r="AT18" s="216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5" customHeight="1" x14ac:dyDescent="0.2">
      <c r="A19" s="1"/>
      <c r="B19" s="2"/>
      <c r="C19" s="198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200"/>
      <c r="U19" s="122"/>
      <c r="V19" s="123"/>
      <c r="W19" s="123"/>
      <c r="X19" s="123"/>
      <c r="Y19" s="138"/>
      <c r="Z19" s="138"/>
      <c r="AA19" s="139"/>
      <c r="AB19" s="122"/>
      <c r="AC19" s="123"/>
      <c r="AD19" s="123"/>
      <c r="AE19" s="123"/>
      <c r="AF19" s="124"/>
      <c r="AG19" s="122">
        <f t="shared" si="0"/>
        <v>0</v>
      </c>
      <c r="AH19" s="123"/>
      <c r="AI19" s="123"/>
      <c r="AJ19" s="123"/>
      <c r="AK19" s="123"/>
      <c r="AL19" s="123"/>
      <c r="AM19" s="124"/>
      <c r="AN19" s="214"/>
      <c r="AO19" s="215"/>
      <c r="AP19" s="215"/>
      <c r="AQ19" s="215"/>
      <c r="AR19" s="215"/>
      <c r="AS19" s="215"/>
      <c r="AT19" s="216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5" customHeight="1" x14ac:dyDescent="0.2">
      <c r="A20" s="1"/>
      <c r="B20" s="2"/>
      <c r="C20" s="198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200"/>
      <c r="U20" s="122"/>
      <c r="V20" s="123"/>
      <c r="W20" s="123"/>
      <c r="X20" s="123"/>
      <c r="Y20" s="138"/>
      <c r="Z20" s="138"/>
      <c r="AA20" s="139"/>
      <c r="AB20" s="122"/>
      <c r="AC20" s="123"/>
      <c r="AD20" s="123"/>
      <c r="AE20" s="123"/>
      <c r="AF20" s="124"/>
      <c r="AG20" s="122">
        <f t="shared" si="0"/>
        <v>0</v>
      </c>
      <c r="AH20" s="123"/>
      <c r="AI20" s="123"/>
      <c r="AJ20" s="123"/>
      <c r="AK20" s="123"/>
      <c r="AL20" s="123"/>
      <c r="AM20" s="124"/>
      <c r="AN20" s="214"/>
      <c r="AO20" s="215"/>
      <c r="AP20" s="215"/>
      <c r="AQ20" s="215"/>
      <c r="AR20" s="215"/>
      <c r="AS20" s="215"/>
      <c r="AT20" s="216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5" customHeight="1" x14ac:dyDescent="0.2">
      <c r="A21" s="1"/>
      <c r="B21" s="2"/>
      <c r="C21" s="198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200"/>
      <c r="U21" s="122"/>
      <c r="V21" s="123"/>
      <c r="W21" s="123"/>
      <c r="X21" s="123"/>
      <c r="Y21" s="138"/>
      <c r="Z21" s="138"/>
      <c r="AA21" s="139"/>
      <c r="AB21" s="122"/>
      <c r="AC21" s="123"/>
      <c r="AD21" s="123"/>
      <c r="AE21" s="123"/>
      <c r="AF21" s="124"/>
      <c r="AG21" s="122">
        <f t="shared" si="0"/>
        <v>0</v>
      </c>
      <c r="AH21" s="123"/>
      <c r="AI21" s="123"/>
      <c r="AJ21" s="123"/>
      <c r="AK21" s="123"/>
      <c r="AL21" s="123"/>
      <c r="AM21" s="124"/>
      <c r="AN21" s="214"/>
      <c r="AO21" s="215"/>
      <c r="AP21" s="215"/>
      <c r="AQ21" s="215"/>
      <c r="AR21" s="215"/>
      <c r="AS21" s="215"/>
      <c r="AT21" s="216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5" customHeight="1" x14ac:dyDescent="0.2">
      <c r="A22" s="1"/>
      <c r="B22" s="2"/>
      <c r="C22" s="198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200"/>
      <c r="U22" s="122"/>
      <c r="V22" s="123"/>
      <c r="W22" s="123"/>
      <c r="X22" s="123"/>
      <c r="Y22" s="138"/>
      <c r="Z22" s="138"/>
      <c r="AA22" s="139"/>
      <c r="AB22" s="122"/>
      <c r="AC22" s="123"/>
      <c r="AD22" s="123"/>
      <c r="AE22" s="123"/>
      <c r="AF22" s="124"/>
      <c r="AG22" s="122">
        <f t="shared" si="0"/>
        <v>0</v>
      </c>
      <c r="AH22" s="123"/>
      <c r="AI22" s="123"/>
      <c r="AJ22" s="123"/>
      <c r="AK22" s="123"/>
      <c r="AL22" s="123"/>
      <c r="AM22" s="124"/>
      <c r="AN22" s="214"/>
      <c r="AO22" s="215"/>
      <c r="AP22" s="215"/>
      <c r="AQ22" s="215"/>
      <c r="AR22" s="215"/>
      <c r="AS22" s="215"/>
      <c r="AT22" s="216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5" customHeight="1" x14ac:dyDescent="0.2">
      <c r="A23" s="1"/>
      <c r="B23" s="2"/>
      <c r="C23" s="198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200"/>
      <c r="U23" s="122"/>
      <c r="V23" s="123"/>
      <c r="W23" s="123"/>
      <c r="X23" s="123"/>
      <c r="Y23" s="138"/>
      <c r="Z23" s="138"/>
      <c r="AA23" s="139"/>
      <c r="AB23" s="122"/>
      <c r="AC23" s="123"/>
      <c r="AD23" s="123"/>
      <c r="AE23" s="123"/>
      <c r="AF23" s="124"/>
      <c r="AG23" s="122">
        <f t="shared" si="0"/>
        <v>0</v>
      </c>
      <c r="AH23" s="123"/>
      <c r="AI23" s="123"/>
      <c r="AJ23" s="123"/>
      <c r="AK23" s="123"/>
      <c r="AL23" s="123"/>
      <c r="AM23" s="124"/>
      <c r="AN23" s="214"/>
      <c r="AO23" s="215"/>
      <c r="AP23" s="215"/>
      <c r="AQ23" s="215"/>
      <c r="AR23" s="215"/>
      <c r="AS23" s="215"/>
      <c r="AT23" s="216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5" customHeight="1" x14ac:dyDescent="0.2">
      <c r="A24" s="1"/>
      <c r="B24" s="2"/>
      <c r="C24" s="198"/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200"/>
      <c r="U24" s="122"/>
      <c r="V24" s="123"/>
      <c r="W24" s="123"/>
      <c r="X24" s="123"/>
      <c r="Y24" s="138"/>
      <c r="Z24" s="138"/>
      <c r="AA24" s="139"/>
      <c r="AB24" s="122"/>
      <c r="AC24" s="123"/>
      <c r="AD24" s="123"/>
      <c r="AE24" s="123"/>
      <c r="AF24" s="124"/>
      <c r="AG24" s="122">
        <f t="shared" si="0"/>
        <v>0</v>
      </c>
      <c r="AH24" s="123"/>
      <c r="AI24" s="123"/>
      <c r="AJ24" s="123"/>
      <c r="AK24" s="123"/>
      <c r="AL24" s="123"/>
      <c r="AM24" s="124"/>
      <c r="AN24" s="214"/>
      <c r="AO24" s="215"/>
      <c r="AP24" s="215"/>
      <c r="AQ24" s="215"/>
      <c r="AR24" s="215"/>
      <c r="AS24" s="215"/>
      <c r="AT24" s="216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5" customHeight="1" x14ac:dyDescent="0.2">
      <c r="A25" s="1"/>
      <c r="B25" s="2"/>
      <c r="C25" s="198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200"/>
      <c r="U25" s="122"/>
      <c r="V25" s="123"/>
      <c r="W25" s="123"/>
      <c r="X25" s="123"/>
      <c r="Y25" s="138"/>
      <c r="Z25" s="138"/>
      <c r="AA25" s="139"/>
      <c r="AB25" s="122"/>
      <c r="AC25" s="123"/>
      <c r="AD25" s="123"/>
      <c r="AE25" s="123"/>
      <c r="AF25" s="124"/>
      <c r="AG25" s="122">
        <f t="shared" si="0"/>
        <v>0</v>
      </c>
      <c r="AH25" s="123"/>
      <c r="AI25" s="123"/>
      <c r="AJ25" s="123"/>
      <c r="AK25" s="123"/>
      <c r="AL25" s="123"/>
      <c r="AM25" s="124"/>
      <c r="AN25" s="214"/>
      <c r="AO25" s="215"/>
      <c r="AP25" s="215"/>
      <c r="AQ25" s="215"/>
      <c r="AR25" s="215"/>
      <c r="AS25" s="215"/>
      <c r="AT25" s="216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5" customHeight="1" x14ac:dyDescent="0.2">
      <c r="A26" s="1"/>
      <c r="B26" s="2"/>
      <c r="C26" s="198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200"/>
      <c r="U26" s="122"/>
      <c r="V26" s="123"/>
      <c r="W26" s="123"/>
      <c r="X26" s="123"/>
      <c r="Y26" s="138"/>
      <c r="Z26" s="138"/>
      <c r="AA26" s="139"/>
      <c r="AB26" s="122"/>
      <c r="AC26" s="123"/>
      <c r="AD26" s="123"/>
      <c r="AE26" s="123"/>
      <c r="AF26" s="124"/>
      <c r="AG26" s="122">
        <f t="shared" si="0"/>
        <v>0</v>
      </c>
      <c r="AH26" s="123"/>
      <c r="AI26" s="123"/>
      <c r="AJ26" s="123"/>
      <c r="AK26" s="123"/>
      <c r="AL26" s="123"/>
      <c r="AM26" s="124"/>
      <c r="AN26" s="214"/>
      <c r="AO26" s="215"/>
      <c r="AP26" s="215"/>
      <c r="AQ26" s="215"/>
      <c r="AR26" s="215"/>
      <c r="AS26" s="215"/>
      <c r="AT26" s="216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5" customHeight="1" x14ac:dyDescent="0.2">
      <c r="A27" s="1"/>
      <c r="B27" s="2"/>
      <c r="C27" s="198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200"/>
      <c r="U27" s="122"/>
      <c r="V27" s="123"/>
      <c r="W27" s="123"/>
      <c r="X27" s="123"/>
      <c r="Y27" s="138"/>
      <c r="Z27" s="138"/>
      <c r="AA27" s="139"/>
      <c r="AB27" s="122"/>
      <c r="AC27" s="123"/>
      <c r="AD27" s="123"/>
      <c r="AE27" s="123"/>
      <c r="AF27" s="124"/>
      <c r="AG27" s="122">
        <f t="shared" si="0"/>
        <v>0</v>
      </c>
      <c r="AH27" s="123"/>
      <c r="AI27" s="123"/>
      <c r="AJ27" s="123"/>
      <c r="AK27" s="123"/>
      <c r="AL27" s="123"/>
      <c r="AM27" s="124"/>
      <c r="AN27" s="214"/>
      <c r="AO27" s="215"/>
      <c r="AP27" s="215"/>
      <c r="AQ27" s="215"/>
      <c r="AR27" s="215"/>
      <c r="AS27" s="215"/>
      <c r="AT27" s="216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5" customHeight="1" x14ac:dyDescent="0.2">
      <c r="A28" s="1"/>
      <c r="B28" s="2"/>
      <c r="C28" s="198"/>
      <c r="D28" s="199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200"/>
      <c r="U28" s="122"/>
      <c r="V28" s="123"/>
      <c r="W28" s="123"/>
      <c r="X28" s="123"/>
      <c r="Y28" s="138"/>
      <c r="Z28" s="138"/>
      <c r="AA28" s="139"/>
      <c r="AB28" s="122"/>
      <c r="AC28" s="123"/>
      <c r="AD28" s="123"/>
      <c r="AE28" s="123"/>
      <c r="AF28" s="124"/>
      <c r="AG28" s="122">
        <f t="shared" si="0"/>
        <v>0</v>
      </c>
      <c r="AH28" s="123"/>
      <c r="AI28" s="123"/>
      <c r="AJ28" s="123"/>
      <c r="AK28" s="123"/>
      <c r="AL28" s="123"/>
      <c r="AM28" s="124"/>
      <c r="AN28" s="214"/>
      <c r="AO28" s="215"/>
      <c r="AP28" s="215"/>
      <c r="AQ28" s="215"/>
      <c r="AR28" s="215"/>
      <c r="AS28" s="215"/>
      <c r="AT28" s="216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5" customHeight="1" x14ac:dyDescent="0.2">
      <c r="A29" s="1"/>
      <c r="B29" s="2" t="s">
        <v>92</v>
      </c>
      <c r="C29" s="198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200"/>
      <c r="U29" s="122"/>
      <c r="V29" s="123"/>
      <c r="W29" s="123"/>
      <c r="X29" s="123"/>
      <c r="Y29" s="138"/>
      <c r="Z29" s="138"/>
      <c r="AA29" s="139"/>
      <c r="AB29" s="211"/>
      <c r="AC29" s="212"/>
      <c r="AD29" s="212"/>
      <c r="AE29" s="212"/>
      <c r="AF29" s="213"/>
      <c r="AG29" s="211">
        <f t="shared" si="0"/>
        <v>0</v>
      </c>
      <c r="AH29" s="212"/>
      <c r="AI29" s="212"/>
      <c r="AJ29" s="212"/>
      <c r="AK29" s="212"/>
      <c r="AL29" s="212"/>
      <c r="AM29" s="213"/>
      <c r="AN29" s="214"/>
      <c r="AO29" s="215"/>
      <c r="AP29" s="215"/>
      <c r="AQ29" s="215"/>
      <c r="AR29" s="215"/>
      <c r="AS29" s="215"/>
      <c r="AT29" s="216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5" customHeight="1" thickBot="1" x14ac:dyDescent="0.25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1" t="s">
        <v>44</v>
      </c>
      <c r="V30" s="152"/>
      <c r="W30" s="152"/>
      <c r="X30" s="152"/>
      <c r="Y30" s="152"/>
      <c r="Z30" s="152"/>
      <c r="AA30" s="153"/>
      <c r="AB30" s="204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6"/>
      <c r="AO30" s="207"/>
      <c r="AP30" s="207"/>
      <c r="AQ30" s="207"/>
      <c r="AR30" s="207"/>
      <c r="AS30" s="207"/>
      <c r="AT30" s="208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2">
      <c r="CS103" s="27" t="s">
        <v>18</v>
      </c>
      <c r="CT103" s="14"/>
    </row>
    <row r="104" spans="97:98" ht="13.5" customHeight="1" x14ac:dyDescent="0.2">
      <c r="CS104" s="58" t="str">
        <f>見積書A4!CS104</f>
        <v>台</v>
      </c>
      <c r="CT104" s="18"/>
    </row>
    <row r="105" spans="97:98" ht="13.5" customHeight="1" x14ac:dyDescent="0.2">
      <c r="CS105" s="58" t="str">
        <f>見積書A4!CS105</f>
        <v>個</v>
      </c>
      <c r="CT105" s="18"/>
    </row>
    <row r="106" spans="97:98" ht="13.5" customHeight="1" x14ac:dyDescent="0.2">
      <c r="CS106" s="58" t="str">
        <f>見積書A4!CS106</f>
        <v>一式</v>
      </c>
      <c r="CT106" s="21"/>
    </row>
    <row r="107" spans="97:98" ht="13.5" customHeight="1" x14ac:dyDescent="0.2">
      <c r="CS107" s="58" t="str">
        <f>見積書A4!CS107</f>
        <v>冊</v>
      </c>
      <c r="CT107" s="18"/>
    </row>
    <row r="108" spans="97:98" ht="13.5" customHeight="1" x14ac:dyDescent="0.2">
      <c r="CS108" s="58" t="str">
        <f>見積書A4!CS108</f>
        <v>箱</v>
      </c>
      <c r="CT108" s="18"/>
    </row>
    <row r="109" spans="97:98" ht="13.5" customHeight="1" x14ac:dyDescent="0.2">
      <c r="CS109" s="58" t="str">
        <f>見積書A4!CS109</f>
        <v>C/S</v>
      </c>
      <c r="CT109" s="20"/>
    </row>
    <row r="110" spans="97:98" ht="13.5" customHeight="1" x14ac:dyDescent="0.2">
      <c r="CS110" s="58" t="str">
        <f>見積書A4!CS110</f>
        <v>SET</v>
      </c>
      <c r="CT110" s="20"/>
    </row>
    <row r="111" spans="97:98" ht="13.5" customHeight="1" x14ac:dyDescent="0.2">
      <c r="CS111" s="58" t="str">
        <f>見積書A4!CS111</f>
        <v>本</v>
      </c>
      <c r="CT111" s="18"/>
    </row>
    <row r="112" spans="97:98" ht="13.5" customHeight="1" x14ac:dyDescent="0.2">
      <c r="CS112" s="58" t="str">
        <f>見積書A4!CS112</f>
        <v>束</v>
      </c>
      <c r="CT112" s="18"/>
    </row>
    <row r="113" spans="87:125" ht="13.5" customHeight="1" x14ac:dyDescent="0.2">
      <c r="CS113" s="58" t="str">
        <f>見積書A4!CS113</f>
        <v>枚</v>
      </c>
      <c r="CT113" s="18"/>
    </row>
    <row r="114" spans="87:125" ht="13.5" customHeight="1" x14ac:dyDescent="0.2">
      <c r="CS114" s="58" t="str">
        <f>見積書A4!CS114</f>
        <v>ﾊﾟｯｸ</v>
      </c>
      <c r="CT114" s="21"/>
    </row>
    <row r="115" spans="87:125" ht="13.5" customHeight="1" x14ac:dyDescent="0.2">
      <c r="CS115" s="58" t="str">
        <f>見積書A4!CS115</f>
        <v>ｷｯﾄ</v>
      </c>
      <c r="CT115" s="18"/>
    </row>
    <row r="116" spans="87:125" ht="13.5" customHeight="1" x14ac:dyDescent="0.2">
      <c r="CS116" s="58">
        <f>見積書A4!CS116</f>
        <v>0</v>
      </c>
      <c r="CT116" s="18"/>
    </row>
    <row r="119" spans="87:125" ht="13.5" customHeight="1" x14ac:dyDescent="0.2">
      <c r="CI119" s="134" t="s">
        <v>43</v>
      </c>
      <c r="CJ119" s="134"/>
      <c r="CK119" s="134"/>
      <c r="CL119" s="134"/>
      <c r="CM119" s="209" t="str">
        <f>見積書A4!CM119</f>
        <v>C:\Documents and Settings\sato\My Documents\シンプル見積書\</v>
      </c>
      <c r="CN119" s="210"/>
      <c r="CO119" s="210"/>
      <c r="CP119" s="210"/>
      <c r="CQ119" s="210"/>
      <c r="CR119" s="210"/>
      <c r="CS119" s="210"/>
      <c r="CT119" s="210"/>
      <c r="CU119" s="210"/>
      <c r="CV119" s="210"/>
      <c r="CW119" s="210"/>
      <c r="CX119" s="210"/>
      <c r="CY119" s="210"/>
      <c r="CZ119" s="210"/>
      <c r="DA119" s="210"/>
      <c r="DB119" s="210"/>
      <c r="DC119" s="210"/>
      <c r="DD119" s="210"/>
      <c r="DE119" s="210"/>
      <c r="DF119" s="210"/>
      <c r="DG119" s="210"/>
      <c r="DH119" s="210"/>
      <c r="DI119" s="210"/>
      <c r="DJ119" s="210"/>
      <c r="DK119" s="210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2">
      <c r="CI120" s="134" t="s">
        <v>74</v>
      </c>
      <c r="CJ120" s="134"/>
      <c r="CK120" s="134"/>
      <c r="CL120" s="134"/>
      <c r="CM120" s="209">
        <f>見積書A4!CM120</f>
        <v>0</v>
      </c>
      <c r="CN120" s="210"/>
      <c r="CO120" s="210"/>
      <c r="CP120" s="210"/>
      <c r="CQ120" s="210"/>
      <c r="CR120" s="210"/>
      <c r="CS120" s="210"/>
      <c r="CT120" s="210"/>
      <c r="CU120" s="210"/>
      <c r="CV120" s="210"/>
      <c r="CW120" s="210"/>
      <c r="CX120" s="210"/>
      <c r="CY120" s="210"/>
      <c r="CZ120" s="210"/>
      <c r="DA120" s="210"/>
      <c r="DB120" s="210"/>
      <c r="DC120" s="210"/>
      <c r="DD120" s="210"/>
      <c r="DE120" s="210"/>
      <c r="DF120" s="210"/>
      <c r="DG120" s="210"/>
      <c r="DH120" s="210"/>
      <c r="DI120" s="210"/>
      <c r="DJ120" s="210"/>
      <c r="DK120" s="210"/>
    </row>
    <row r="178" spans="16:16" ht="13.5" customHeight="1" x14ac:dyDescent="0.2">
      <c r="P178" s="30">
        <f>見積書A4!P177</f>
        <v>0</v>
      </c>
    </row>
  </sheetData>
  <mergeCells count="152"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</mergeCells>
  <phoneticPr fontId="4"/>
  <dataValidations count="5">
    <dataValidation imeMode="hiragana" allowBlank="1" showInputMessage="1" showErrorMessage="1" prompt="品名を入力" sqref="D8:T9 C7:C29 D12:T29" xr:uid="{00000000-0002-0000-0200-000000000000}"/>
    <dataValidation imeMode="off" allowBlank="1" showInputMessage="1" showErrorMessage="1" prompt="数量を入力" sqref="U7:X29" xr:uid="{00000000-0002-0000-0200-000001000000}"/>
    <dataValidation imeMode="off" allowBlank="1" showInputMessage="1" showErrorMessage="1" prompt="単価を入力" sqref="AB7:AF29" xr:uid="{00000000-0002-0000-0200-000002000000}"/>
    <dataValidation imeMode="hiragana" allowBlank="1" showInputMessage="1" showErrorMessage="1" prompt="備考があれば入力" sqref="AN7:AT29" xr:uid="{00000000-0002-0000-0200-000003000000}"/>
    <dataValidation type="list" imeMode="hiragana" allowBlank="1" showInputMessage="1" showErrorMessage="1" prompt="ボタンを押し単位を入力" sqref="Y7:AA29" xr:uid="{00000000-0002-0000-02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88900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107950</xdr:colOff>
                    <xdr:row>0</xdr:row>
                    <xdr:rowOff>88900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Button 4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88900</xdr:rowOff>
                  </from>
                  <to>
                    <xdr:col>10</xdr:col>
                    <xdr:colOff>127000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Button 5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88900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Button 6">
              <controlPr defaultSize="0" print="0" autoFill="0" autoPict="0" macro="[0]!ThisWorkbook.ヘルプ">
                <anchor moveWithCells="1" sizeWithCells="1">
                  <from>
                    <xdr:col>38</xdr:col>
                    <xdr:colOff>88900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6</xdr:row>
                    <xdr:rowOff>107950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7</xdr:row>
                    <xdr:rowOff>69850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10</xdr:row>
                    <xdr:rowOff>88900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13</xdr:row>
                    <xdr:rowOff>88900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17</xdr:row>
                    <xdr:rowOff>88900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19</xdr:row>
                    <xdr:rowOff>88900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20</xdr:row>
                    <xdr:rowOff>88900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21</xdr:row>
                    <xdr:rowOff>88900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23</xdr:row>
                    <xdr:rowOff>88900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24</xdr:row>
                    <xdr:rowOff>88900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25</xdr:row>
                    <xdr:rowOff>88900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298450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27</xdr:row>
                    <xdr:rowOff>88900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69850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69850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Button 34">
              <controlPr defaultSize="0" print="0" autoFill="0" autoPict="0" macro="[0]!ThisWorkbook.表示11">
                <anchor moveWithCells="1" sizeWithCells="1">
                  <from>
                    <xdr:col>25</xdr:col>
                    <xdr:colOff>88900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127000</xdr:colOff>
                    <xdr:row>1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88900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146050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見積書A4</vt:lpstr>
      <vt:lpstr>別紙購入おすすめ品</vt:lpstr>
      <vt:lpstr>USBフラッシュメモリ内一覧</vt:lpstr>
      <vt:lpstr>工具箱内付属一覧</vt:lpstr>
      <vt:lpstr>本体装備品一覧</vt:lpstr>
      <vt:lpstr>USBフラッシュメモリ内一覧!Print_Area</vt:lpstr>
      <vt:lpstr>見積書A4!Print_Area</vt:lpstr>
      <vt:lpstr>工具箱内付属一覧!Print_Area</vt:lpstr>
      <vt:lpstr>別紙購入おすすめ品!Print_Area</vt:lpstr>
      <vt:lpstr>本体装備品一覧!Print_Area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2023-09-15T00:20:14Z</cp:lastPrinted>
  <dcterms:created xsi:type="dcterms:W3CDTF">2001-10-18T00:35:45Z</dcterms:created>
  <dcterms:modified xsi:type="dcterms:W3CDTF">2023-09-15T00:20:24Z</dcterms:modified>
</cp:coreProperties>
</file>