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8_{F9DBD51A-A2E1-4F88-B200-F016E231C499}" xr6:coauthVersionLast="47" xr6:coauthVersionMax="47" xr10:uidLastSave="{00000000-0000-0000-0000-000000000000}"/>
  <bookViews>
    <workbookView xWindow="13065" yWindow="495" windowWidth="23895" windowHeight="2037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<sst xmlns="http://schemas.openxmlformats.org/spreadsheetml/2006/main" count="234" uniqueCount="149">
  <si>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</si>
  <si>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</si>
  <si>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</si>
  <si>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</si>
  <si>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</si>
  <si>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</si>
  <si>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</si>
  <si>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</si>
  <si>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</si>
  <si>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</si>
  <si>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</si>
  <si>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</si>
  <si>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</si>
  <si>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</si>
  <si>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</si>
  <si>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</si>
  <si>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</si>
  <si>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</si>
  <si>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</si>
  <si>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</si>
  <si>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</si>
  <si>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</si>
  <si>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</si>
  <si>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</si>
  <si>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</si>
  <si>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</si>
  <si>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</si>
  <si>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</si>
  <si>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</si>
  <si>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</si>
  <si>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</si>
  <si>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</si>
  <si>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</si>
  <si>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</si>
  <si>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</si>
  <si>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</si>
  <si>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</si>
  <si>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</si>
  <si>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</si>
  <si>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</si>
  <si>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</si>
  <si>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</si>
  <si>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</si>
  <si>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</si>
  <si>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</si>
  <si>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</si>
  <si>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</si>
  <si>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</si>
  <si>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</si>
  <si>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</si>
  <si>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</si>
  <si>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</si>
  <si>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</si>
  <si>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</si>
  <si>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</si>
  <si>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</si>
  <si>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</si>
  <si>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</si>
  <si>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</si>
  <si>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</si>
  <si>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</si>
  <si>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</si>
  <si>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</si>
  <si>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</si>
  <si>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</si>
  <si>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</si>
  <si>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</si>
  <si>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</si>
  <si>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</si>
  <si>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</si>
  <si>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</si>
  <si>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</si>
  <si>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</si>
  <si>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</si>
  <si>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</si>
  <si>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</si>
  <si>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</si>
  <si>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</si>
  <si>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</si>
  <si>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</si>
  <si>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</si>
  <si>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</si>
  <si>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</si>
  <si>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</si>
  <si>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</si>
  <si>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</si>
  <si>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</si>
  <si>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</si>
  <si>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</si>
  <si>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</si>
  <si>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</si>
  <si>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</si>
  <si>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</si>
  <si>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</si>
  <si>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</si>
  <si>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</si>
  <si>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</si>
  <si>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</si>
  <si>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</si>
  <si>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</si>
  <si>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</si>
  <si>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</si>
  <si>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</si>
  <si>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</si>
  <si>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</si>
  <si>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</si>
  <si>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</si>
  <si>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</si>
  <si>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</si>
  <si>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</si>
  <si>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</si>
  <si>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</si>
  <si>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</si>
  <si>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</si>
  <si>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</si>
  <si>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</si>
  <si>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</si>
  <si>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</si>
  <si>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</si>
  <si>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</si>
  <si>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</si>
  <si>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</si>
  <si>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</si>
  <si>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</si>
  <si>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</si>
  <si>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</si>
  <si>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</si>
  <si>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</si>
  <si>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</si>
  <si>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</si>
  <si>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</si>
  <si>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</si>
  <si>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</si>
  <si>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</si>
  <si>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</si>
  <si>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</si>
  <si>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</si>
  <si>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</si>
  <si>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</si>
  <si>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</si>
  <si>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</si>
  <si>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見積書有効期限発効後60日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</si>
  <si>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〒160-8511　東京都新宿区四谷４－１</t>
    <phoneticPr fontId="4"/>
  </si>
  <si>
    <t>大塚刷毛製造株式会社</t>
    <phoneticPr fontId="4"/>
  </si>
  <si>
    <t>　営業本部</t>
    <phoneticPr fontId="4"/>
  </si>
  <si>
    <t>札幌支店</t>
    <phoneticPr fontId="4"/>
  </si>
  <si>
    <t>RSD-SUNMAX　FL-CLC　1500ｗ　剥離専用機</t>
    <rPh sb="24" eb="28">
      <t>ハクリセンヨウ</t>
    </rPh>
    <phoneticPr fontId="4"/>
  </si>
  <si>
    <t>デモ機貸し出し</t>
    <rPh sb="2" eb="3">
      <t>キ</t>
    </rPh>
    <rPh sb="3" eb="4">
      <t>カ</t>
    </rPh>
    <rPh sb="5" eb="6">
      <t>ダ</t>
    </rPh>
    <phoneticPr fontId="4"/>
  </si>
  <si>
    <t>大塚刷毛製造　札幌支店　運賃</t>
    <rPh sb="0" eb="6">
      <t>オオツカハケセイゾウ</t>
    </rPh>
    <rPh sb="7" eb="11">
      <t>サッポロシテン</t>
    </rPh>
    <rPh sb="12" eb="14">
      <t>ウンチン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</si>
</sst>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right" vertical="center"/>
    </xf>
    <xf numFmtId="176" fontId="12" fillId="0" borderId="8" xfId="0" applyNumberFormat="1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12" fillId="0" borderId="7" xfId="0" applyNumberFormat="1" applyFont="1" applyBorder="1" applyAlignment="1">
      <alignment horizontal="right" vertical="center"/>
    </xf>
    <xf numFmtId="181" fontId="12" fillId="0" borderId="8" xfId="0" applyNumberFormat="1" applyFont="1" applyBorder="1" applyAlignment="1">
      <alignment horizontal="right" vertical="center"/>
    </xf>
    <xf numFmtId="181" fontId="12" fillId="0" borderId="9" xfId="0" applyNumberFormat="1" applyFont="1" applyBorder="1" applyAlignment="1">
      <alignment horizontal="right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6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/>
            <a:t>502-0013</a:t>
          </a:r>
          <a:r>
            <a:rPr lang="ja-JP" altLang="en-US" sz="900"/>
            <a:t>岐阜市中川原４－４７サンマックスビル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B27" sqref="B27:S27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201" t="s">
        <v>77</v>
      </c>
      <c r="N2" s="201"/>
      <c r="O2" s="201"/>
      <c r="P2" s="201"/>
      <c r="Q2" s="201"/>
      <c r="R2" s="201"/>
      <c r="W2" s="4"/>
      <c r="X2" s="4"/>
      <c r="Y2" s="4"/>
      <c r="Z2" s="4"/>
      <c r="AA2" s="168" t="s">
        <v>46</v>
      </c>
      <c r="AB2" s="168"/>
      <c r="AC2" s="168"/>
      <c r="AD2" s="168"/>
      <c r="AE2" s="168"/>
      <c r="AF2" s="168"/>
      <c r="AG2" s="168"/>
      <c r="AH2" s="168"/>
      <c r="AI2" s="168"/>
      <c r="AJ2" s="168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193"/>
      <c r="F3" s="193"/>
      <c r="G3" s="193"/>
      <c r="H3" s="193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5" t="s">
        <v>0</v>
      </c>
      <c r="AM3" s="5"/>
      <c r="AN3" s="189">
        <v>202507165</v>
      </c>
      <c r="AO3" s="189"/>
      <c r="AP3" s="189"/>
      <c r="AQ3" s="189"/>
      <c r="AR3" s="189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191" t="s">
        <v>142</v>
      </c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191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92" t="s">
        <v>144</v>
      </c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97">
        <v>7</v>
      </c>
      <c r="AJ6" s="197"/>
      <c r="AK6" s="197"/>
      <c r="AL6" s="9" t="s">
        <v>1</v>
      </c>
      <c r="AM6" s="197">
        <v>7</v>
      </c>
      <c r="AN6" s="197"/>
      <c r="AO6" s="9" t="s">
        <v>2</v>
      </c>
      <c r="AP6" s="197">
        <v>16</v>
      </c>
      <c r="AQ6" s="197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95" t="s">
        <v>143</v>
      </c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4" t="s">
        <v>54</v>
      </c>
      <c r="U7" s="194"/>
      <c r="V7" s="194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4"/>
      <c r="U8" s="194"/>
      <c r="V8" s="194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204">
        <v>45873</v>
      </c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178" t="s">
        <v>145</v>
      </c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74"/>
      <c r="Z13" s="78"/>
      <c r="AA13" s="78"/>
      <c r="AB13" s="179" t="s">
        <v>56</v>
      </c>
      <c r="AC13" s="179"/>
      <c r="AD13" s="179"/>
      <c r="AE13" s="180" t="s">
        <v>81</v>
      </c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139</v>
      </c>
      <c r="E15" s="74"/>
      <c r="F15" s="74"/>
      <c r="G15" s="74"/>
      <c r="I15" s="81" t="s">
        <v>140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81" t="s">
        <v>57</v>
      </c>
      <c r="AC15" s="181"/>
      <c r="AD15" s="181"/>
      <c r="AE15" s="180" t="s">
        <v>82</v>
      </c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189"/>
      <c r="K17" s="189"/>
      <c r="L17" s="189"/>
      <c r="M17" s="5"/>
      <c r="N17" s="189"/>
      <c r="O17" s="189"/>
      <c r="P17" s="5"/>
      <c r="Q17" s="189"/>
      <c r="R17" s="189"/>
      <c r="S17" s="5"/>
      <c r="T17" s="5"/>
      <c r="U17" s="5"/>
      <c r="AB17" s="79" t="s">
        <v>6</v>
      </c>
      <c r="AC17" s="79"/>
      <c r="AD17" s="79"/>
      <c r="AE17" s="79"/>
      <c r="AF17" s="178" t="s">
        <v>96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J19" s="85">
        <f>H39</f>
        <v>66000</v>
      </c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AB19" s="169"/>
      <c r="AC19" s="170"/>
      <c r="AD19" s="170"/>
      <c r="AE19" s="170"/>
      <c r="AF19" s="171"/>
      <c r="AG19" s="169"/>
      <c r="AH19" s="170"/>
      <c r="AI19" s="170"/>
      <c r="AJ19" s="170"/>
      <c r="AK19" s="171"/>
      <c r="AL19" s="169"/>
      <c r="AM19" s="170"/>
      <c r="AN19" s="170"/>
      <c r="AO19" s="170"/>
      <c r="AP19" s="17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D20" s="168" t="s">
        <v>97</v>
      </c>
      <c r="E20" s="168"/>
      <c r="F20" s="168"/>
      <c r="G20" s="168"/>
      <c r="H20" s="168"/>
      <c r="I20" s="168"/>
      <c r="J20" s="199">
        <f>H39</f>
        <v>66000</v>
      </c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AB20" s="172"/>
      <c r="AC20" s="173"/>
      <c r="AD20" s="173"/>
      <c r="AE20" s="173"/>
      <c r="AF20" s="174"/>
      <c r="AG20" s="172"/>
      <c r="AH20" s="173"/>
      <c r="AI20" s="173"/>
      <c r="AJ20" s="173"/>
      <c r="AK20" s="174"/>
      <c r="AL20" s="172"/>
      <c r="AM20" s="173"/>
      <c r="AN20" s="173"/>
      <c r="AO20" s="173"/>
      <c r="AP20" s="17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D21" s="190"/>
      <c r="E21" s="190"/>
      <c r="F21" s="190"/>
      <c r="G21" s="190"/>
      <c r="H21" s="190"/>
      <c r="I21" s="19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AB21" s="172"/>
      <c r="AC21" s="173"/>
      <c r="AD21" s="173"/>
      <c r="AE21" s="173"/>
      <c r="AF21" s="174"/>
      <c r="AG21" s="172"/>
      <c r="AH21" s="173"/>
      <c r="AI21" s="173"/>
      <c r="AJ21" s="173"/>
      <c r="AK21" s="174"/>
      <c r="AL21" s="172"/>
      <c r="AM21" s="173"/>
      <c r="AN21" s="173"/>
      <c r="AO21" s="173"/>
      <c r="AP21" s="17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98" t="s">
        <v>141</v>
      </c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78"/>
      <c r="AB22" s="175"/>
      <c r="AC22" s="176"/>
      <c r="AD22" s="176"/>
      <c r="AE22" s="176"/>
      <c r="AF22" s="177"/>
      <c r="AG22" s="175"/>
      <c r="AH22" s="176"/>
      <c r="AI22" s="176"/>
      <c r="AJ22" s="176"/>
      <c r="AK22" s="177"/>
      <c r="AL22" s="175"/>
      <c r="AM22" s="176"/>
      <c r="AN22" s="176"/>
      <c r="AO22" s="176"/>
      <c r="AP22" s="17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62" t="s">
        <v>8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4"/>
      <c r="T24" s="154" t="s">
        <v>9</v>
      </c>
      <c r="U24" s="155"/>
      <c r="V24" s="155"/>
      <c r="W24" s="155"/>
      <c r="X24" s="155"/>
      <c r="Y24" s="155"/>
      <c r="Z24" s="160"/>
      <c r="AA24" s="154" t="s">
        <v>98</v>
      </c>
      <c r="AB24" s="155"/>
      <c r="AC24" s="155"/>
      <c r="AD24" s="155"/>
      <c r="AE24" s="155"/>
      <c r="AF24" s="154" t="s">
        <v>11</v>
      </c>
      <c r="AG24" s="155"/>
      <c r="AH24" s="155"/>
      <c r="AI24" s="155"/>
      <c r="AJ24" s="155"/>
      <c r="AK24" s="155"/>
      <c r="AL24" s="160"/>
      <c r="AM24" s="154" t="s">
        <v>12</v>
      </c>
      <c r="AN24" s="155"/>
      <c r="AO24" s="155"/>
      <c r="AP24" s="155"/>
      <c r="AQ24" s="155"/>
      <c r="AR24" s="155"/>
      <c r="AS24" s="158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65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7"/>
      <c r="T25" s="156"/>
      <c r="U25" s="157"/>
      <c r="V25" s="157"/>
      <c r="W25" s="157"/>
      <c r="X25" s="157"/>
      <c r="Y25" s="157"/>
      <c r="Z25" s="161"/>
      <c r="AA25" s="156"/>
      <c r="AB25" s="157"/>
      <c r="AC25" s="157"/>
      <c r="AD25" s="157"/>
      <c r="AE25" s="157"/>
      <c r="AF25" s="156"/>
      <c r="AG25" s="157"/>
      <c r="AH25" s="157"/>
      <c r="AI25" s="157"/>
      <c r="AJ25" s="157"/>
      <c r="AK25" s="157"/>
      <c r="AL25" s="161"/>
      <c r="AM25" s="156"/>
      <c r="AN25" s="157"/>
      <c r="AO25" s="157"/>
      <c r="AP25" s="157"/>
      <c r="AQ25" s="157"/>
      <c r="AR25" s="157"/>
      <c r="AS25" s="159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0" t="s">
        <v>146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2"/>
      <c r="T26" s="143"/>
      <c r="U26" s="144"/>
      <c r="V26" s="144"/>
      <c r="W26" s="144"/>
      <c r="X26" s="145" t="s">
        <v>21</v>
      </c>
      <c r="Y26" s="145"/>
      <c r="Z26" s="146"/>
      <c r="AA26" s="143"/>
      <c r="AB26" s="144"/>
      <c r="AC26" s="144"/>
      <c r="AD26" s="144"/>
      <c r="AE26" s="147"/>
      <c r="AF26" s="143">
        <f t="shared" ref="AF26:AF37" si="0">IF(T26="",1*AA26,T26*AA26)</f>
        <v>0</v>
      </c>
      <c r="AG26" s="144"/>
      <c r="AH26" s="144"/>
      <c r="AI26" s="144"/>
      <c r="AJ26" s="144"/>
      <c r="AK26" s="144"/>
      <c r="AL26" s="147"/>
      <c r="AM26" s="151" t="s">
        <v>147</v>
      </c>
      <c r="AN26" s="152"/>
      <c r="AO26" s="152"/>
      <c r="AP26" s="152"/>
      <c r="AQ26" s="152"/>
      <c r="AR26" s="152"/>
      <c r="AS26" s="153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0" t="s">
        <v>148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2"/>
      <c r="T27" s="143"/>
      <c r="U27" s="144"/>
      <c r="V27" s="144"/>
      <c r="W27" s="144"/>
      <c r="X27" s="145" t="s">
        <v>21</v>
      </c>
      <c r="Y27" s="145"/>
      <c r="Z27" s="146"/>
      <c r="AA27" s="143">
        <v>60000</v>
      </c>
      <c r="AB27" s="144"/>
      <c r="AC27" s="144"/>
      <c r="AD27" s="144"/>
      <c r="AE27" s="147"/>
      <c r="AF27" s="143">
        <f t="shared" ref="AF27" si="1">IF(T27="",1*AA27,T27*AA27)</f>
        <v>60000</v>
      </c>
      <c r="AG27" s="144"/>
      <c r="AH27" s="144"/>
      <c r="AI27" s="144"/>
      <c r="AJ27" s="144"/>
      <c r="AK27" s="144"/>
      <c r="AL27" s="147"/>
      <c r="AM27" s="151"/>
      <c r="AN27" s="152"/>
      <c r="AO27" s="152"/>
      <c r="AP27" s="152"/>
      <c r="AQ27" s="152"/>
      <c r="AR27" s="152"/>
      <c r="AS27" s="153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0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2"/>
      <c r="T28" s="143"/>
      <c r="U28" s="144"/>
      <c r="V28" s="144"/>
      <c r="W28" s="144"/>
      <c r="X28" s="145"/>
      <c r="Y28" s="145"/>
      <c r="Z28" s="146"/>
      <c r="AA28" s="143"/>
      <c r="AB28" s="144"/>
      <c r="AC28" s="144"/>
      <c r="AD28" s="144"/>
      <c r="AE28" s="147"/>
      <c r="AF28" s="143">
        <f>IF(T28="",1*AA28,T28*AA28)</f>
        <v>0</v>
      </c>
      <c r="AG28" s="144"/>
      <c r="AH28" s="144"/>
      <c r="AI28" s="144"/>
      <c r="AJ28" s="144"/>
      <c r="AK28" s="144"/>
      <c r="AL28" s="147"/>
      <c r="AM28" s="151"/>
      <c r="AN28" s="152"/>
      <c r="AO28" s="152"/>
      <c r="AP28" s="152"/>
      <c r="AQ28" s="152"/>
      <c r="AR28" s="152"/>
      <c r="AS28" s="153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0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/>
      <c r="T29" s="143"/>
      <c r="U29" s="144"/>
      <c r="V29" s="144"/>
      <c r="W29" s="144"/>
      <c r="X29" s="145"/>
      <c r="Y29" s="145"/>
      <c r="Z29" s="146"/>
      <c r="AA29" s="143"/>
      <c r="AB29" s="144"/>
      <c r="AC29" s="144"/>
      <c r="AD29" s="144"/>
      <c r="AE29" s="147"/>
      <c r="AF29" s="143">
        <f t="shared" ref="AF29" si="2">IF(T29="",1*AA29,T29*AA29)</f>
        <v>0</v>
      </c>
      <c r="AG29" s="144"/>
      <c r="AH29" s="144"/>
      <c r="AI29" s="144"/>
      <c r="AJ29" s="144"/>
      <c r="AK29" s="144"/>
      <c r="AL29" s="147"/>
      <c r="AM29" s="151"/>
      <c r="AN29" s="152"/>
      <c r="AO29" s="152"/>
      <c r="AP29" s="152"/>
      <c r="AQ29" s="152"/>
      <c r="AR29" s="152"/>
      <c r="AS29" s="153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0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2"/>
      <c r="T30" s="143"/>
      <c r="U30" s="144"/>
      <c r="V30" s="144"/>
      <c r="W30" s="144"/>
      <c r="X30" s="145"/>
      <c r="Y30" s="145"/>
      <c r="Z30" s="146"/>
      <c r="AA30" s="143"/>
      <c r="AB30" s="144"/>
      <c r="AC30" s="144"/>
      <c r="AD30" s="144"/>
      <c r="AE30" s="147"/>
      <c r="AF30" s="143">
        <f t="shared" ref="AF30" si="3">IF(T30="",1*AA30,T30*AA30)</f>
        <v>0</v>
      </c>
      <c r="AG30" s="144"/>
      <c r="AH30" s="144"/>
      <c r="AI30" s="144"/>
      <c r="AJ30" s="144"/>
      <c r="AK30" s="144"/>
      <c r="AL30" s="147"/>
      <c r="AM30" s="151"/>
      <c r="AN30" s="152"/>
      <c r="AO30" s="152"/>
      <c r="AP30" s="152"/>
      <c r="AQ30" s="152"/>
      <c r="AR30" s="152"/>
      <c r="AS30" s="153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4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0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2"/>
      <c r="T31" s="143"/>
      <c r="U31" s="144"/>
      <c r="V31" s="144"/>
      <c r="W31" s="144"/>
      <c r="X31" s="145"/>
      <c r="Y31" s="145"/>
      <c r="Z31" s="146"/>
      <c r="AA31" s="143"/>
      <c r="AB31" s="144"/>
      <c r="AC31" s="144"/>
      <c r="AD31" s="144"/>
      <c r="AE31" s="147"/>
      <c r="AF31" s="143">
        <f t="shared" ref="AF31:AF32" si="4">IF(T31="",1*AA31,T31*AA31)</f>
        <v>0</v>
      </c>
      <c r="AG31" s="144"/>
      <c r="AH31" s="144"/>
      <c r="AI31" s="144"/>
      <c r="AJ31" s="144"/>
      <c r="AK31" s="144"/>
      <c r="AL31" s="147"/>
      <c r="AM31" s="151"/>
      <c r="AN31" s="152"/>
      <c r="AO31" s="152"/>
      <c r="AP31" s="152"/>
      <c r="AQ31" s="152"/>
      <c r="AR31" s="152"/>
      <c r="AS31" s="153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2"/>
      <c r="T32" s="143"/>
      <c r="U32" s="144"/>
      <c r="V32" s="144"/>
      <c r="W32" s="144"/>
      <c r="X32" s="145"/>
      <c r="Y32" s="145"/>
      <c r="Z32" s="146"/>
      <c r="AA32" s="143"/>
      <c r="AB32" s="144"/>
      <c r="AC32" s="144"/>
      <c r="AD32" s="144"/>
      <c r="AE32" s="147"/>
      <c r="AF32" s="143">
        <f t="shared" si="4"/>
        <v>0</v>
      </c>
      <c r="AG32" s="144"/>
      <c r="AH32" s="144"/>
      <c r="AI32" s="144"/>
      <c r="AJ32" s="144"/>
      <c r="AK32" s="144"/>
      <c r="AL32" s="147"/>
      <c r="AM32" s="151"/>
      <c r="AN32" s="152"/>
      <c r="AO32" s="152"/>
      <c r="AP32" s="152"/>
      <c r="AQ32" s="152"/>
      <c r="AR32" s="152"/>
      <c r="AS32" s="153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2"/>
      <c r="T33" s="143"/>
      <c r="U33" s="144"/>
      <c r="V33" s="144"/>
      <c r="W33" s="144"/>
      <c r="X33" s="145"/>
      <c r="Y33" s="145"/>
      <c r="Z33" s="146"/>
      <c r="AA33" s="143"/>
      <c r="AB33" s="144"/>
      <c r="AC33" s="144"/>
      <c r="AD33" s="144"/>
      <c r="AE33" s="147"/>
      <c r="AF33" s="143">
        <f>IF(T33="",1*AA33,T33*AA33)</f>
        <v>0</v>
      </c>
      <c r="AG33" s="144"/>
      <c r="AH33" s="144"/>
      <c r="AI33" s="144"/>
      <c r="AJ33" s="144"/>
      <c r="AK33" s="144"/>
      <c r="AL33" s="147"/>
      <c r="AM33" s="151"/>
      <c r="AN33" s="152"/>
      <c r="AO33" s="152"/>
      <c r="AP33" s="152"/>
      <c r="AQ33" s="152"/>
      <c r="AR33" s="152"/>
      <c r="AS33" s="153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0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2"/>
      <c r="T34" s="143"/>
      <c r="U34" s="144"/>
      <c r="V34" s="144"/>
      <c r="W34" s="144"/>
      <c r="X34" s="145"/>
      <c r="Y34" s="145"/>
      <c r="Z34" s="146"/>
      <c r="AA34" s="143"/>
      <c r="AB34" s="144"/>
      <c r="AC34" s="144"/>
      <c r="AD34" s="144"/>
      <c r="AE34" s="147"/>
      <c r="AF34" s="143">
        <f>IF(T34="",1*AA34,T34*AA34)</f>
        <v>0</v>
      </c>
      <c r="AG34" s="144"/>
      <c r="AH34" s="144"/>
      <c r="AI34" s="144"/>
      <c r="AJ34" s="144"/>
      <c r="AK34" s="144"/>
      <c r="AL34" s="147"/>
      <c r="AM34" s="151"/>
      <c r="AN34" s="152"/>
      <c r="AO34" s="152"/>
      <c r="AP34" s="152"/>
      <c r="AQ34" s="152"/>
      <c r="AR34" s="152"/>
      <c r="AS34" s="153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2"/>
      <c r="T35" s="143"/>
      <c r="U35" s="144"/>
      <c r="V35" s="144"/>
      <c r="W35" s="144"/>
      <c r="X35" s="145"/>
      <c r="Y35" s="145"/>
      <c r="Z35" s="146"/>
      <c r="AA35" s="143"/>
      <c r="AB35" s="144"/>
      <c r="AC35" s="144"/>
      <c r="AD35" s="144"/>
      <c r="AE35" s="147"/>
      <c r="AF35" s="143">
        <f>IF(T35="",1*AA35,T35*AA35)</f>
        <v>0</v>
      </c>
      <c r="AG35" s="144"/>
      <c r="AH35" s="144"/>
      <c r="AI35" s="144"/>
      <c r="AJ35" s="144"/>
      <c r="AK35" s="144"/>
      <c r="AL35" s="147"/>
      <c r="AM35" s="148"/>
      <c r="AN35" s="149"/>
      <c r="AO35" s="149"/>
      <c r="AP35" s="149"/>
      <c r="AQ35" s="149"/>
      <c r="AR35" s="149"/>
      <c r="AS35" s="150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0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2"/>
      <c r="T36" s="143"/>
      <c r="U36" s="144"/>
      <c r="V36" s="144"/>
      <c r="W36" s="144"/>
      <c r="X36" s="145"/>
      <c r="Y36" s="145"/>
      <c r="Z36" s="146"/>
      <c r="AA36" s="143"/>
      <c r="AB36" s="144"/>
      <c r="AC36" s="144"/>
      <c r="AD36" s="144"/>
      <c r="AE36" s="147"/>
      <c r="AF36" s="143">
        <f t="shared" si="0"/>
        <v>0</v>
      </c>
      <c r="AG36" s="144"/>
      <c r="AH36" s="144"/>
      <c r="AI36" s="144"/>
      <c r="AJ36" s="144"/>
      <c r="AK36" s="144"/>
      <c r="AL36" s="147"/>
      <c r="AM36" s="148"/>
      <c r="AN36" s="149"/>
      <c r="AO36" s="149"/>
      <c r="AP36" s="149"/>
      <c r="AQ36" s="149"/>
      <c r="AR36" s="149"/>
      <c r="AS36" s="150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0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2"/>
      <c r="T37" s="143"/>
      <c r="U37" s="144"/>
      <c r="V37" s="144"/>
      <c r="W37" s="144"/>
      <c r="X37" s="145"/>
      <c r="Y37" s="145"/>
      <c r="Z37" s="146"/>
      <c r="AA37" s="143"/>
      <c r="AB37" s="144"/>
      <c r="AC37" s="144"/>
      <c r="AD37" s="144"/>
      <c r="AE37" s="147"/>
      <c r="AF37" s="143">
        <f t="shared" si="0"/>
        <v>0</v>
      </c>
      <c r="AG37" s="144"/>
      <c r="AH37" s="144"/>
      <c r="AI37" s="144"/>
      <c r="AJ37" s="144"/>
      <c r="AK37" s="144"/>
      <c r="AL37" s="147"/>
      <c r="AM37" s="148"/>
      <c r="AN37" s="149"/>
      <c r="AO37" s="149"/>
      <c r="AP37" s="149"/>
      <c r="AQ37" s="149"/>
      <c r="AR37" s="149"/>
      <c r="AS37" s="150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30" t="s">
        <v>100</v>
      </c>
      <c r="C38" s="131"/>
      <c r="D38" s="131"/>
      <c r="E38" s="131"/>
      <c r="F38" s="131"/>
      <c r="G38" s="132"/>
      <c r="H38" s="133">
        <f>AA38*0.1</f>
        <v>6000</v>
      </c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5"/>
      <c r="T38" s="136" t="s">
        <v>14</v>
      </c>
      <c r="U38" s="131"/>
      <c r="V38" s="131"/>
      <c r="W38" s="131"/>
      <c r="X38" s="131"/>
      <c r="Y38" s="131"/>
      <c r="Z38" s="132"/>
      <c r="AA38" s="137">
        <f>SUM(AF26:AL37)</f>
        <v>60000</v>
      </c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9"/>
      <c r="AM38" s="186"/>
      <c r="AN38" s="187"/>
      <c r="AO38" s="187"/>
      <c r="AP38" s="187"/>
      <c r="AQ38" s="187"/>
      <c r="AR38" s="187"/>
      <c r="AS38" s="188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17" t="s">
        <v>7</v>
      </c>
      <c r="C39" s="118"/>
      <c r="D39" s="118"/>
      <c r="E39" s="118"/>
      <c r="F39" s="118"/>
      <c r="G39" s="119"/>
      <c r="H39" s="120">
        <f>CK115+H38</f>
        <v>66000</v>
      </c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2"/>
      <c r="AM39" s="182"/>
      <c r="AN39" s="183"/>
      <c r="AO39" s="183"/>
      <c r="AP39" s="183"/>
      <c r="AQ39" s="183"/>
      <c r="AR39" s="183"/>
      <c r="AS39" s="184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23" t="s">
        <v>15</v>
      </c>
      <c r="C40" s="124"/>
      <c r="D40" s="124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thickBot="1" x14ac:dyDescent="0.2">
      <c r="A41" s="26"/>
      <c r="B41" s="127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Top="1" thickBot="1" x14ac:dyDescent="0.2">
      <c r="A42" s="26"/>
      <c r="B42" s="127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9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8"/>
      <c r="O44" s="108"/>
      <c r="P44" s="108"/>
      <c r="Q44" s="108"/>
      <c r="R44" s="108"/>
      <c r="S44" s="108"/>
      <c r="T44" s="108"/>
      <c r="U44" s="108"/>
      <c r="V44" s="108"/>
      <c r="W44" s="1"/>
      <c r="X44" s="51"/>
      <c r="Y44" s="16"/>
      <c r="Z44" s="15"/>
      <c r="AA44" s="15"/>
      <c r="AB44" s="116"/>
      <c r="AC44" s="116"/>
      <c r="AD44" s="116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10"/>
      <c r="O45" s="110"/>
      <c r="P45" s="106"/>
      <c r="Q45" s="106"/>
      <c r="R45" s="106"/>
      <c r="S45" s="106"/>
      <c r="T45" s="106"/>
      <c r="U45" s="106"/>
      <c r="V45" s="106"/>
      <c r="W45" s="1"/>
      <c r="X45" s="53"/>
      <c r="Y45" s="54"/>
      <c r="Z45" s="15"/>
      <c r="AA45" s="15"/>
      <c r="AB45" s="115"/>
      <c r="AC45" s="115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10"/>
      <c r="O46" s="110"/>
      <c r="P46" s="106"/>
      <c r="Q46" s="106"/>
      <c r="R46" s="106"/>
      <c r="S46" s="106"/>
      <c r="T46" s="106"/>
      <c r="U46" s="106"/>
      <c r="V46" s="106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10"/>
      <c r="O47" s="110"/>
      <c r="P47" s="106"/>
      <c r="Q47" s="106"/>
      <c r="R47" s="106"/>
      <c r="S47" s="106"/>
      <c r="T47" s="106"/>
      <c r="U47" s="106"/>
      <c r="V47" s="106"/>
      <c r="W47" s="1"/>
      <c r="X47" s="53"/>
      <c r="Y47" s="54"/>
      <c r="Z47" s="15"/>
      <c r="AA47" s="116"/>
      <c r="AB47" s="116"/>
      <c r="AC47" s="116"/>
      <c r="AD47" s="116"/>
      <c r="AE47" s="116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10"/>
      <c r="O48" s="110"/>
      <c r="P48" s="106"/>
      <c r="Q48" s="106"/>
      <c r="R48" s="106"/>
      <c r="S48" s="106"/>
      <c r="T48" s="106"/>
      <c r="U48" s="106"/>
      <c r="V48" s="106"/>
      <c r="W48" s="1"/>
      <c r="X48" s="53"/>
      <c r="Y48" s="54"/>
      <c r="Z48" s="15"/>
      <c r="AA48" s="56"/>
      <c r="AB48" s="115"/>
      <c r="AC48" s="115"/>
      <c r="AD48" s="1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10"/>
      <c r="O49" s="110"/>
      <c r="P49" s="106"/>
      <c r="Q49" s="106"/>
      <c r="R49" s="106"/>
      <c r="S49" s="106"/>
      <c r="T49" s="106"/>
      <c r="U49" s="106"/>
      <c r="V49" s="106"/>
      <c r="W49" s="1"/>
      <c r="X49" s="53"/>
      <c r="Y49" s="54"/>
      <c r="Z49" s="15"/>
      <c r="AA49" s="56"/>
      <c r="AB49" s="115"/>
      <c r="AC49" s="115"/>
      <c r="AD49" s="1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10"/>
      <c r="O50" s="110"/>
      <c r="P50" s="106"/>
      <c r="Q50" s="106"/>
      <c r="R50" s="106"/>
      <c r="S50" s="106"/>
      <c r="T50" s="106"/>
      <c r="U50" s="106"/>
      <c r="V50" s="106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10"/>
      <c r="O51" s="110"/>
      <c r="P51" s="106"/>
      <c r="Q51" s="106"/>
      <c r="R51" s="106"/>
      <c r="S51" s="106"/>
      <c r="T51" s="106"/>
      <c r="U51" s="106"/>
      <c r="V51" s="106"/>
      <c r="W51" s="1"/>
      <c r="X51" s="53"/>
      <c r="Y51" s="53"/>
      <c r="Z51" s="15"/>
      <c r="AA51" s="185"/>
      <c r="AB51" s="185"/>
      <c r="AC51" s="185"/>
      <c r="AD51" s="185"/>
      <c r="AE51" s="185"/>
      <c r="AF51" s="185"/>
      <c r="AG51" s="185"/>
      <c r="AH51" s="185"/>
      <c r="AI51" s="185"/>
      <c r="AJ51" s="116"/>
      <c r="AK51" s="116"/>
      <c r="AL51" s="116"/>
      <c r="AM51" s="116"/>
      <c r="AN51" s="116"/>
      <c r="AO51" s="116"/>
      <c r="AP51" s="116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10"/>
      <c r="O52" s="110"/>
      <c r="P52" s="106"/>
      <c r="Q52" s="106"/>
      <c r="R52" s="106"/>
      <c r="S52" s="106"/>
      <c r="T52" s="106"/>
      <c r="U52" s="106"/>
      <c r="V52" s="106"/>
      <c r="W52" s="1"/>
      <c r="X52" s="53"/>
      <c r="Y52" s="54"/>
      <c r="Z52" s="15"/>
      <c r="AA52" s="56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"/>
      <c r="AR52" s="1"/>
      <c r="AS52" s="1"/>
      <c r="AT52" s="1"/>
      <c r="AU52" s="1"/>
      <c r="AV52" s="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10"/>
      <c r="O53" s="110"/>
      <c r="P53" s="106"/>
      <c r="Q53" s="106"/>
      <c r="R53" s="106"/>
      <c r="S53" s="106"/>
      <c r="T53" s="106"/>
      <c r="U53" s="106"/>
      <c r="V53" s="106"/>
      <c r="W53" s="1"/>
      <c r="X53" s="53"/>
      <c r="Y53" s="54"/>
      <c r="Z53" s="15"/>
      <c r="AA53" s="56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"/>
      <c r="AR53" s="1"/>
      <c r="AS53" s="1"/>
      <c r="AT53" s="1"/>
      <c r="AU53" s="1"/>
      <c r="AV53" s="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10"/>
      <c r="O54" s="110"/>
      <c r="P54" s="106"/>
      <c r="Q54" s="106"/>
      <c r="R54" s="106"/>
      <c r="S54" s="106"/>
      <c r="T54" s="106"/>
      <c r="U54" s="106"/>
      <c r="V54" s="106"/>
      <c r="W54" s="1"/>
      <c r="X54" s="53"/>
      <c r="Y54" s="54"/>
      <c r="Z54" s="15"/>
      <c r="AA54" s="56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"/>
      <c r="AR54" s="1"/>
      <c r="AS54" s="1"/>
      <c r="AT54" s="1"/>
      <c r="AU54" s="1"/>
      <c r="AV54" s="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10"/>
      <c r="O55" s="110"/>
      <c r="P55" s="106"/>
      <c r="Q55" s="106"/>
      <c r="R55" s="106"/>
      <c r="S55" s="106"/>
      <c r="T55" s="106"/>
      <c r="U55" s="106"/>
      <c r="V55" s="106"/>
      <c r="W55" s="1"/>
      <c r="X55" s="53"/>
      <c r="Y55" s="54"/>
      <c r="Z55" s="15"/>
      <c r="AA55" s="56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"/>
      <c r="AR55" s="1"/>
      <c r="AS55" s="1"/>
      <c r="AT55" s="1"/>
      <c r="AU55" s="1"/>
      <c r="AV55" s="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8"/>
      <c r="O56" s="108"/>
      <c r="P56" s="106">
        <f>SUM(CK115:CQ115)</f>
        <v>60000</v>
      </c>
      <c r="Q56" s="106"/>
      <c r="R56" s="106"/>
      <c r="S56" s="106"/>
      <c r="T56" s="106"/>
      <c r="U56" s="106"/>
      <c r="V56" s="106"/>
      <c r="W56" s="1"/>
      <c r="X56" s="53"/>
      <c r="Y56" s="54"/>
      <c r="Z56" s="15"/>
      <c r="AA56" s="56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"/>
      <c r="AR56" s="1"/>
      <c r="AS56" s="1"/>
      <c r="AT56" s="1"/>
      <c r="AU56" s="1"/>
      <c r="AV56" s="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14"/>
      <c r="O60" s="114"/>
      <c r="P60" s="114"/>
      <c r="Q60" s="114"/>
      <c r="R60" s="112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"/>
      <c r="AR60" s="108"/>
      <c r="AS60" s="108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　FL-CLC　1500ｗ　剥離専用機</v>
      </c>
      <c r="FE101" s="64">
        <f>T26</f>
        <v>0</v>
      </c>
      <c r="FF101" s="64" t="str">
        <f>X26</f>
        <v>一式</v>
      </c>
      <c r="FG101" s="64">
        <f>AA26</f>
        <v>0</v>
      </c>
      <c r="FH101" s="64">
        <f>AF26</f>
        <v>0</v>
      </c>
      <c r="FI101" s="64" t="str">
        <f>AM26</f>
        <v>デモ機貸し出し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大塚刷毛製造　札幌支店　運賃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60000</v>
      </c>
      <c r="FH102" s="64">
        <f t="shared" ref="FH102:FH112" si="9">AF27</f>
        <v>60000</v>
      </c>
      <c r="FI102" s="64">
        <f t="shared" ref="FI102:FI112" si="10">AM27</f>
        <v>0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86" t="s">
        <v>16</v>
      </c>
      <c r="CJ103" s="111"/>
      <c r="CK103" s="111"/>
      <c r="CL103" s="111"/>
      <c r="CM103" s="111"/>
      <c r="CN103" s="111"/>
      <c r="CO103" s="111"/>
      <c r="CP103" s="111"/>
      <c r="CQ103" s="87"/>
      <c r="CR103" s="1"/>
      <c r="CS103" s="27" t="s">
        <v>17</v>
      </c>
      <c r="CT103" s="14"/>
      <c r="CU103" s="15"/>
      <c r="CV103" s="15"/>
      <c r="CW103" s="105" t="s">
        <v>13</v>
      </c>
      <c r="CX103" s="105"/>
      <c r="CY103" s="105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07" t="s">
        <v>58</v>
      </c>
      <c r="DN103" s="107"/>
      <c r="DO103" s="107"/>
      <c r="DP103" s="107"/>
      <c r="DQ103" s="107"/>
      <c r="DR103" s="107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>
        <f t="shared" si="5"/>
        <v>0</v>
      </c>
      <c r="FE103" s="64">
        <f t="shared" si="6"/>
        <v>0</v>
      </c>
      <c r="FF103" s="64">
        <f t="shared" si="7"/>
        <v>0</v>
      </c>
      <c r="FG103" s="64">
        <f t="shared" si="8"/>
        <v>0</v>
      </c>
      <c r="FH103" s="64">
        <f t="shared" si="9"/>
        <v>0</v>
      </c>
      <c r="FI103" s="64">
        <f t="shared" si="10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98">
        <v>0</v>
      </c>
      <c r="CJ104" s="98"/>
      <c r="CK104" s="97">
        <f>AA38</f>
        <v>60000</v>
      </c>
      <c r="CL104" s="97"/>
      <c r="CM104" s="97"/>
      <c r="CN104" s="97"/>
      <c r="CO104" s="97"/>
      <c r="CP104" s="97"/>
      <c r="CQ104" s="97"/>
      <c r="CR104" s="1"/>
      <c r="CS104" s="17" t="s">
        <v>18</v>
      </c>
      <c r="CT104" s="18"/>
      <c r="CU104" s="15"/>
      <c r="CV104" s="15"/>
      <c r="CW104" s="99">
        <v>5</v>
      </c>
      <c r="CX104" s="100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02" t="s">
        <v>59</v>
      </c>
      <c r="DN104" s="103"/>
      <c r="DO104" s="103"/>
      <c r="DP104" s="103"/>
      <c r="DQ104" s="103"/>
      <c r="DR104" s="104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6"/>
        <v>0</v>
      </c>
      <c r="FF104" s="64">
        <f t="shared" si="7"/>
        <v>0</v>
      </c>
      <c r="FG104" s="64">
        <f t="shared" si="8"/>
        <v>0</v>
      </c>
      <c r="FH104" s="64">
        <f t="shared" si="9"/>
        <v>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98">
        <v>1</v>
      </c>
      <c r="CJ105" s="98"/>
      <c r="CK105" s="97">
        <f>IF(ISERROR(本体装備品一覧!AB30),0,本体装備品一覧!AB30)</f>
        <v>0</v>
      </c>
      <c r="CL105" s="97"/>
      <c r="CM105" s="97"/>
      <c r="CN105" s="97"/>
      <c r="CO105" s="97"/>
      <c r="CP105" s="97"/>
      <c r="CQ105" s="97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0</v>
      </c>
      <c r="FF105" s="64">
        <f t="shared" si="7"/>
        <v>0</v>
      </c>
      <c r="FG105" s="64">
        <f t="shared" si="8"/>
        <v>0</v>
      </c>
      <c r="FH105" s="64">
        <f t="shared" si="9"/>
        <v>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98">
        <v>2</v>
      </c>
      <c r="CJ106" s="98"/>
      <c r="CK106" s="97">
        <f>IF(ISERROR(#REF!),0,#REF!)</f>
        <v>0</v>
      </c>
      <c r="CL106" s="97"/>
      <c r="CM106" s="97"/>
      <c r="CN106" s="97"/>
      <c r="CO106" s="97"/>
      <c r="CP106" s="97"/>
      <c r="CQ106" s="97"/>
      <c r="CR106" s="1"/>
      <c r="CS106" s="20" t="s">
        <v>21</v>
      </c>
      <c r="CT106" s="21"/>
      <c r="CU106" s="15"/>
      <c r="CV106" s="105" t="s">
        <v>22</v>
      </c>
      <c r="CW106" s="105"/>
      <c r="CX106" s="105"/>
      <c r="CY106" s="105"/>
      <c r="CZ106" s="105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07" t="s">
        <v>69</v>
      </c>
      <c r="DN106" s="107"/>
      <c r="DO106" s="107"/>
      <c r="DP106" s="107"/>
      <c r="DQ106" s="107"/>
      <c r="DR106" s="107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>
        <f t="shared" si="7"/>
        <v>0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98">
        <v>3</v>
      </c>
      <c r="CJ107" s="98"/>
      <c r="CK107" s="97">
        <f>IF(ISERROR(#REF!),0,#REF!)</f>
        <v>0</v>
      </c>
      <c r="CL107" s="97"/>
      <c r="CM107" s="97"/>
      <c r="CN107" s="97"/>
      <c r="CO107" s="97"/>
      <c r="CP107" s="97"/>
      <c r="CQ107" s="97"/>
      <c r="CR107" s="1"/>
      <c r="CS107" s="17" t="s">
        <v>23</v>
      </c>
      <c r="CT107" s="18"/>
      <c r="CU107" s="15"/>
      <c r="CV107" s="28" t="s">
        <v>24</v>
      </c>
      <c r="CW107" s="99">
        <v>100</v>
      </c>
      <c r="CX107" s="99"/>
      <c r="CY107" s="100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88" t="s">
        <v>78</v>
      </c>
      <c r="DN107" s="89"/>
      <c r="DO107" s="89"/>
      <c r="DP107" s="89"/>
      <c r="DQ107" s="89"/>
      <c r="DR107" s="90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0</v>
      </c>
      <c r="FF107" s="64">
        <f t="shared" si="7"/>
        <v>0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98">
        <v>4</v>
      </c>
      <c r="CJ108" s="98"/>
      <c r="CK108" s="97"/>
      <c r="CL108" s="97"/>
      <c r="CM108" s="97"/>
      <c r="CN108" s="97"/>
      <c r="CO108" s="97"/>
      <c r="CP108" s="97"/>
      <c r="CQ108" s="97"/>
      <c r="CR108" s="1"/>
      <c r="CS108" s="17" t="s">
        <v>25</v>
      </c>
      <c r="CT108" s="18"/>
      <c r="CU108" s="15"/>
      <c r="CV108" s="28" t="s">
        <v>26</v>
      </c>
      <c r="CW108" s="99">
        <v>80</v>
      </c>
      <c r="CX108" s="99"/>
      <c r="CY108" s="100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02" t="s">
        <v>70</v>
      </c>
      <c r="DN108" s="103"/>
      <c r="DO108" s="103"/>
      <c r="DP108" s="103"/>
      <c r="DQ108" s="103"/>
      <c r="DR108" s="104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6"/>
        <v>0</v>
      </c>
      <c r="FF108" s="64">
        <f t="shared" si="7"/>
        <v>0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98">
        <v>5</v>
      </c>
      <c r="CJ109" s="98"/>
      <c r="CK109" s="97"/>
      <c r="CL109" s="97"/>
      <c r="CM109" s="97"/>
      <c r="CN109" s="97"/>
      <c r="CO109" s="97"/>
      <c r="CP109" s="97"/>
      <c r="CQ109" s="97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02" t="s">
        <v>71</v>
      </c>
      <c r="DN109" s="103"/>
      <c r="DO109" s="103"/>
      <c r="DP109" s="103"/>
      <c r="DQ109" s="103"/>
      <c r="DR109" s="104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98">
        <v>6</v>
      </c>
      <c r="CJ110" s="98"/>
      <c r="CK110" s="97"/>
      <c r="CL110" s="97"/>
      <c r="CM110" s="97"/>
      <c r="CN110" s="97"/>
      <c r="CO110" s="97"/>
      <c r="CP110" s="97"/>
      <c r="CQ110" s="97"/>
      <c r="CR110" s="1"/>
      <c r="CS110" s="20" t="s">
        <v>28</v>
      </c>
      <c r="CT110" s="20"/>
      <c r="CU110" s="15"/>
      <c r="CV110" s="101" t="s">
        <v>29</v>
      </c>
      <c r="CW110" s="101"/>
      <c r="CX110" s="101"/>
      <c r="CY110" s="101"/>
      <c r="CZ110" s="101"/>
      <c r="DA110" s="101"/>
      <c r="DB110" s="101"/>
      <c r="DC110" s="101"/>
      <c r="DD110" s="101"/>
      <c r="DE110" s="105" t="s">
        <v>30</v>
      </c>
      <c r="DF110" s="105"/>
      <c r="DG110" s="105"/>
      <c r="DH110" s="105"/>
      <c r="DI110" s="105"/>
      <c r="DJ110" s="105"/>
      <c r="DK110" s="105"/>
      <c r="DL110" s="1"/>
      <c r="DM110" s="1"/>
      <c r="DN110" s="1"/>
      <c r="DO110" s="1"/>
      <c r="DP110" s="1"/>
      <c r="DQ110" s="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98">
        <v>7</v>
      </c>
      <c r="CJ111" s="98"/>
      <c r="CK111" s="97"/>
      <c r="CL111" s="97"/>
      <c r="CM111" s="97"/>
      <c r="CN111" s="97"/>
      <c r="CO111" s="97"/>
      <c r="CP111" s="97"/>
      <c r="CQ111" s="97"/>
      <c r="CR111" s="1"/>
      <c r="CS111" s="17" t="s">
        <v>31</v>
      </c>
      <c r="CT111" s="18"/>
      <c r="CU111" s="15"/>
      <c r="CV111" s="28" t="s">
        <v>24</v>
      </c>
      <c r="CW111" s="95" t="s">
        <v>74</v>
      </c>
      <c r="CX111" s="95"/>
      <c r="CY111" s="95"/>
      <c r="CZ111" s="95"/>
      <c r="DA111" s="95"/>
      <c r="DB111" s="95"/>
      <c r="DC111" s="95"/>
      <c r="DD111" s="95"/>
      <c r="DE111" s="95" t="s">
        <v>32</v>
      </c>
      <c r="DF111" s="95"/>
      <c r="DG111" s="95"/>
      <c r="DH111" s="95"/>
      <c r="DI111" s="95"/>
      <c r="DJ111" s="95"/>
      <c r="DK111" s="95"/>
      <c r="DL111" s="1"/>
      <c r="DM111" s="1"/>
      <c r="DN111" s="1"/>
      <c r="DO111" s="1"/>
      <c r="DP111" s="1"/>
      <c r="DQ111" s="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98">
        <v>8</v>
      </c>
      <c r="CJ112" s="98"/>
      <c r="CK112" s="97"/>
      <c r="CL112" s="97"/>
      <c r="CM112" s="97"/>
      <c r="CN112" s="97"/>
      <c r="CO112" s="97"/>
      <c r="CP112" s="97"/>
      <c r="CQ112" s="97"/>
      <c r="CR112" s="1"/>
      <c r="CS112" s="17" t="s">
        <v>33</v>
      </c>
      <c r="CT112" s="18"/>
      <c r="CU112" s="15"/>
      <c r="CV112" s="28" t="s">
        <v>26</v>
      </c>
      <c r="CW112" s="95" t="s">
        <v>83</v>
      </c>
      <c r="CX112" s="95"/>
      <c r="CY112" s="95"/>
      <c r="CZ112" s="95"/>
      <c r="DA112" s="95"/>
      <c r="DB112" s="95"/>
      <c r="DC112" s="95"/>
      <c r="DD112" s="95"/>
      <c r="DE112" s="95" t="s">
        <v>84</v>
      </c>
      <c r="DF112" s="95"/>
      <c r="DG112" s="95"/>
      <c r="DH112" s="95"/>
      <c r="DI112" s="95"/>
      <c r="DJ112" s="95"/>
      <c r="DK112" s="95"/>
      <c r="DL112" s="1"/>
      <c r="DM112" s="1"/>
      <c r="DN112" s="1"/>
      <c r="DO112" s="1"/>
      <c r="DP112" s="1"/>
      <c r="DQ112" s="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98">
        <v>9</v>
      </c>
      <c r="CJ113" s="98"/>
      <c r="CK113" s="97"/>
      <c r="CL113" s="97"/>
      <c r="CM113" s="97"/>
      <c r="CN113" s="97"/>
      <c r="CO113" s="97"/>
      <c r="CP113" s="97"/>
      <c r="CQ113" s="97"/>
      <c r="CR113" s="1"/>
      <c r="CS113" s="17" t="s">
        <v>34</v>
      </c>
      <c r="CT113" s="18"/>
      <c r="CU113" s="15"/>
      <c r="CV113" s="28" t="s">
        <v>35</v>
      </c>
      <c r="CW113" s="95" t="s">
        <v>86</v>
      </c>
      <c r="CX113" s="95"/>
      <c r="CY113" s="95"/>
      <c r="CZ113" s="95"/>
      <c r="DA113" s="95"/>
      <c r="DB113" s="95"/>
      <c r="DC113" s="95"/>
      <c r="DD113" s="95"/>
      <c r="DE113" s="95" t="s">
        <v>85</v>
      </c>
      <c r="DF113" s="95"/>
      <c r="DG113" s="95"/>
      <c r="DH113" s="95"/>
      <c r="DI113" s="95"/>
      <c r="DJ113" s="95"/>
      <c r="DK113" s="95"/>
      <c r="DL113" s="1"/>
      <c r="DM113" s="1"/>
      <c r="DN113" s="1"/>
      <c r="DO113" s="1"/>
      <c r="DP113" s="1"/>
      <c r="DQ113" s="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98">
        <v>10</v>
      </c>
      <c r="CJ114" s="98"/>
      <c r="CK114" s="97"/>
      <c r="CL114" s="97"/>
      <c r="CM114" s="97"/>
      <c r="CN114" s="97"/>
      <c r="CO114" s="97"/>
      <c r="CP114" s="97"/>
      <c r="CQ114" s="97"/>
      <c r="CR114" s="1"/>
      <c r="CS114" s="20" t="s">
        <v>36</v>
      </c>
      <c r="CT114" s="21"/>
      <c r="CU114" s="15"/>
      <c r="CV114" s="28" t="s">
        <v>37</v>
      </c>
      <c r="CW114" s="95" t="s">
        <v>75</v>
      </c>
      <c r="CX114" s="95"/>
      <c r="CY114" s="95"/>
      <c r="CZ114" s="95"/>
      <c r="DA114" s="95"/>
      <c r="DB114" s="95"/>
      <c r="DC114" s="95"/>
      <c r="DD114" s="95"/>
      <c r="DE114" s="95" t="s">
        <v>38</v>
      </c>
      <c r="DF114" s="95"/>
      <c r="DG114" s="95"/>
      <c r="DH114" s="95"/>
      <c r="DI114" s="95"/>
      <c r="DJ114" s="95"/>
      <c r="DK114" s="95"/>
      <c r="DL114" s="1"/>
      <c r="DM114" s="1"/>
      <c r="DN114" s="1"/>
      <c r="DO114" s="1"/>
      <c r="DP114" s="1"/>
      <c r="DQ114" s="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96" t="s">
        <v>39</v>
      </c>
      <c r="CJ115" s="96"/>
      <c r="CK115" s="97">
        <f>SUM(CK104:CQ114)</f>
        <v>60000</v>
      </c>
      <c r="CL115" s="97"/>
      <c r="CM115" s="97"/>
      <c r="CN115" s="97"/>
      <c r="CO115" s="97"/>
      <c r="CP115" s="97"/>
      <c r="CQ115" s="97"/>
      <c r="CR115" s="1"/>
      <c r="CS115" s="17" t="s">
        <v>45</v>
      </c>
      <c r="CT115" s="18"/>
      <c r="CU115" s="15"/>
      <c r="CV115" s="28" t="s">
        <v>40</v>
      </c>
      <c r="CW115" s="95" t="s">
        <v>76</v>
      </c>
      <c r="CX115" s="95"/>
      <c r="CY115" s="95"/>
      <c r="CZ115" s="95"/>
      <c r="DA115" s="95"/>
      <c r="DB115" s="95"/>
      <c r="DC115" s="95"/>
      <c r="DD115" s="95"/>
      <c r="DE115" s="95" t="s">
        <v>41</v>
      </c>
      <c r="DF115" s="95"/>
      <c r="DG115" s="95"/>
      <c r="DH115" s="95"/>
      <c r="DI115" s="95"/>
      <c r="DJ115" s="95"/>
      <c r="DK115" s="95"/>
      <c r="DL115" s="1"/>
      <c r="DM115" s="1"/>
      <c r="DN115" s="1"/>
      <c r="DO115" s="1"/>
      <c r="DP115" s="1"/>
      <c r="DQ115" s="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92" t="s">
        <v>42</v>
      </c>
      <c r="CJ119" s="92"/>
      <c r="CK119" s="92"/>
      <c r="CL119" s="92"/>
      <c r="CM119" s="93" t="s">
        <v>87</v>
      </c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C119" s="94"/>
      <c r="DD119" s="94"/>
      <c r="DE119" s="94"/>
      <c r="DF119" s="94"/>
      <c r="DG119" s="94"/>
      <c r="DH119" s="94"/>
      <c r="DI119" s="94"/>
      <c r="DJ119" s="94"/>
      <c r="DK119" s="94"/>
      <c r="DL119" s="1"/>
      <c r="DM119" s="86" t="s">
        <v>44</v>
      </c>
      <c r="DN119" s="87"/>
      <c r="DO119" s="88" t="s">
        <v>79</v>
      </c>
      <c r="DP119" s="89"/>
      <c r="DQ119" s="89"/>
      <c r="DR119" s="89"/>
      <c r="DS119" s="89"/>
      <c r="DT119" s="89"/>
      <c r="DU119" s="90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92" t="s">
        <v>72</v>
      </c>
      <c r="CJ120" s="92"/>
      <c r="CK120" s="92"/>
      <c r="CL120" s="92"/>
      <c r="CM120" s="93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C120" s="94"/>
      <c r="DD120" s="94"/>
      <c r="DE120" s="94"/>
      <c r="DF120" s="94"/>
      <c r="DG120" s="94"/>
      <c r="DH120" s="94"/>
      <c r="DI120" s="94"/>
      <c r="DJ120" s="94"/>
      <c r="DK120" s="94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E40:AS40 B41:AS42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4" t="s">
        <v>129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AL3" s="5" t="s">
        <v>0</v>
      </c>
      <c r="AM3" s="5"/>
      <c r="AN3" s="227"/>
      <c r="AO3" s="227"/>
      <c r="AP3" s="227"/>
      <c r="AQ3" s="227"/>
      <c r="AR3" s="22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138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143">
        <v>1</v>
      </c>
      <c r="V7" s="144"/>
      <c r="W7" s="144"/>
      <c r="X7" s="144"/>
      <c r="Y7" s="145" t="s">
        <v>132</v>
      </c>
      <c r="Z7" s="145"/>
      <c r="AA7" s="146"/>
      <c r="AB7" s="143">
        <v>13200</v>
      </c>
      <c r="AC7" s="144"/>
      <c r="AD7" s="144"/>
      <c r="AE7" s="144"/>
      <c r="AF7" s="147"/>
      <c r="AG7" s="143">
        <f>IF(U7="",1*AB7,U7*AB7)</f>
        <v>13200</v>
      </c>
      <c r="AH7" s="144"/>
      <c r="AI7" s="144"/>
      <c r="AJ7" s="144"/>
      <c r="AK7" s="144"/>
      <c r="AL7" s="144"/>
      <c r="AM7" s="147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133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143">
        <v>1</v>
      </c>
      <c r="V8" s="144"/>
      <c r="W8" s="144"/>
      <c r="X8" s="144"/>
      <c r="Y8" s="145" t="s">
        <v>132</v>
      </c>
      <c r="Z8" s="145"/>
      <c r="AA8" s="146"/>
      <c r="AB8" s="143">
        <v>10340</v>
      </c>
      <c r="AC8" s="144"/>
      <c r="AD8" s="144"/>
      <c r="AE8" s="144"/>
      <c r="AF8" s="147"/>
      <c r="AG8" s="143">
        <f t="shared" ref="AG8:AG29" si="0">IF(U8="",1*AB8,U8*AB8)</f>
        <v>10340</v>
      </c>
      <c r="AH8" s="144"/>
      <c r="AI8" s="144"/>
      <c r="AJ8" s="144"/>
      <c r="AK8" s="144"/>
      <c r="AL8" s="144"/>
      <c r="AM8" s="147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134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143">
        <v>1</v>
      </c>
      <c r="V9" s="144"/>
      <c r="W9" s="144"/>
      <c r="X9" s="144"/>
      <c r="Y9" s="145" t="s">
        <v>132</v>
      </c>
      <c r="Z9" s="145"/>
      <c r="AA9" s="146"/>
      <c r="AB9" s="143">
        <v>18400</v>
      </c>
      <c r="AC9" s="144"/>
      <c r="AD9" s="144"/>
      <c r="AE9" s="144"/>
      <c r="AF9" s="147"/>
      <c r="AG9" s="143">
        <f t="shared" si="0"/>
        <v>18400</v>
      </c>
      <c r="AH9" s="144"/>
      <c r="AI9" s="144"/>
      <c r="AJ9" s="144"/>
      <c r="AK9" s="144"/>
      <c r="AL9" s="144"/>
      <c r="AM9" s="147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135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143">
        <v>1</v>
      </c>
      <c r="V10" s="144"/>
      <c r="W10" s="144"/>
      <c r="X10" s="144"/>
      <c r="Y10" s="145" t="s">
        <v>132</v>
      </c>
      <c r="Z10" s="145"/>
      <c r="AA10" s="146"/>
      <c r="AB10" s="143">
        <v>18400</v>
      </c>
      <c r="AC10" s="144"/>
      <c r="AD10" s="144"/>
      <c r="AE10" s="144"/>
      <c r="AF10" s="147"/>
      <c r="AG10" s="143">
        <f t="shared" si="0"/>
        <v>18400</v>
      </c>
      <c r="AH10" s="144"/>
      <c r="AI10" s="144"/>
      <c r="AJ10" s="144"/>
      <c r="AK10" s="144"/>
      <c r="AL10" s="144"/>
      <c r="AM10" s="147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136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143">
        <v>1</v>
      </c>
      <c r="V11" s="144"/>
      <c r="W11" s="144"/>
      <c r="X11" s="144"/>
      <c r="Y11" s="145" t="s">
        <v>132</v>
      </c>
      <c r="Z11" s="145"/>
      <c r="AA11" s="146"/>
      <c r="AB11" s="143">
        <v>3960</v>
      </c>
      <c r="AC11" s="144"/>
      <c r="AD11" s="144"/>
      <c r="AE11" s="144"/>
      <c r="AF11" s="147"/>
      <c r="AG11" s="143">
        <f t="shared" si="0"/>
        <v>3960</v>
      </c>
      <c r="AH11" s="144"/>
      <c r="AI11" s="144"/>
      <c r="AJ11" s="144"/>
      <c r="AK11" s="144"/>
      <c r="AL11" s="144"/>
      <c r="AM11" s="147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137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143">
        <v>10</v>
      </c>
      <c r="V12" s="144"/>
      <c r="W12" s="144"/>
      <c r="X12" s="144"/>
      <c r="Y12" s="145" t="s">
        <v>132</v>
      </c>
      <c r="Z12" s="145"/>
      <c r="AA12" s="146"/>
      <c r="AB12" s="143">
        <v>1200</v>
      </c>
      <c r="AC12" s="144"/>
      <c r="AD12" s="144"/>
      <c r="AE12" s="144"/>
      <c r="AF12" s="147"/>
      <c r="AG12" s="143">
        <f t="shared" si="0"/>
        <v>12000</v>
      </c>
      <c r="AH12" s="144"/>
      <c r="AI12" s="144"/>
      <c r="AJ12" s="144"/>
      <c r="AK12" s="144"/>
      <c r="AL12" s="144"/>
      <c r="AM12" s="147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143"/>
      <c r="V13" s="144"/>
      <c r="W13" s="144"/>
      <c r="X13" s="144"/>
      <c r="Y13" s="145"/>
      <c r="Z13" s="145"/>
      <c r="AA13" s="146"/>
      <c r="AB13" s="143"/>
      <c r="AC13" s="144"/>
      <c r="AD13" s="144"/>
      <c r="AE13" s="144"/>
      <c r="AF13" s="147"/>
      <c r="AG13" s="143">
        <f t="shared" si="0"/>
        <v>0</v>
      </c>
      <c r="AH13" s="144"/>
      <c r="AI13" s="144"/>
      <c r="AJ13" s="144"/>
      <c r="AK13" s="144"/>
      <c r="AL13" s="144"/>
      <c r="AM13" s="147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143"/>
      <c r="V14" s="144"/>
      <c r="W14" s="144"/>
      <c r="X14" s="144"/>
      <c r="Y14" s="145"/>
      <c r="Z14" s="145"/>
      <c r="AA14" s="146"/>
      <c r="AB14" s="143"/>
      <c r="AC14" s="144"/>
      <c r="AD14" s="144"/>
      <c r="AE14" s="144"/>
      <c r="AF14" s="147"/>
      <c r="AG14" s="143">
        <f t="shared" si="0"/>
        <v>0</v>
      </c>
      <c r="AH14" s="144"/>
      <c r="AI14" s="144"/>
      <c r="AJ14" s="144"/>
      <c r="AK14" s="144"/>
      <c r="AL14" s="144"/>
      <c r="AM14" s="147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143"/>
      <c r="V15" s="144"/>
      <c r="W15" s="144"/>
      <c r="X15" s="144"/>
      <c r="Y15" s="145"/>
      <c r="Z15" s="145"/>
      <c r="AA15" s="146"/>
      <c r="AB15" s="143"/>
      <c r="AC15" s="144"/>
      <c r="AD15" s="144"/>
      <c r="AE15" s="144"/>
      <c r="AF15" s="147"/>
      <c r="AG15" s="143">
        <f t="shared" si="0"/>
        <v>0</v>
      </c>
      <c r="AH15" s="144"/>
      <c r="AI15" s="144"/>
      <c r="AJ15" s="144"/>
      <c r="AK15" s="144"/>
      <c r="AL15" s="144"/>
      <c r="AM15" s="147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143"/>
      <c r="V16" s="144"/>
      <c r="W16" s="144"/>
      <c r="X16" s="144"/>
      <c r="Y16" s="145"/>
      <c r="Z16" s="145"/>
      <c r="AA16" s="146"/>
      <c r="AB16" s="143"/>
      <c r="AC16" s="144"/>
      <c r="AD16" s="144"/>
      <c r="AE16" s="144"/>
      <c r="AF16" s="147"/>
      <c r="AG16" s="143">
        <f t="shared" si="0"/>
        <v>0</v>
      </c>
      <c r="AH16" s="144"/>
      <c r="AI16" s="144"/>
      <c r="AJ16" s="144"/>
      <c r="AK16" s="144"/>
      <c r="AL16" s="144"/>
      <c r="AM16" s="147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143"/>
      <c r="V17" s="144"/>
      <c r="W17" s="144"/>
      <c r="X17" s="144"/>
      <c r="Y17" s="145"/>
      <c r="Z17" s="145"/>
      <c r="AA17" s="146"/>
      <c r="AB17" s="143"/>
      <c r="AC17" s="144"/>
      <c r="AD17" s="144"/>
      <c r="AE17" s="144"/>
      <c r="AF17" s="147"/>
      <c r="AG17" s="143">
        <f t="shared" si="0"/>
        <v>0</v>
      </c>
      <c r="AH17" s="144"/>
      <c r="AI17" s="144"/>
      <c r="AJ17" s="144"/>
      <c r="AK17" s="144"/>
      <c r="AL17" s="144"/>
      <c r="AM17" s="147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143"/>
      <c r="V18" s="144"/>
      <c r="W18" s="144"/>
      <c r="X18" s="144"/>
      <c r="Y18" s="145"/>
      <c r="Z18" s="145"/>
      <c r="AA18" s="146"/>
      <c r="AB18" s="143"/>
      <c r="AC18" s="144"/>
      <c r="AD18" s="144"/>
      <c r="AE18" s="144"/>
      <c r="AF18" s="147"/>
      <c r="AG18" s="143">
        <f t="shared" si="0"/>
        <v>0</v>
      </c>
      <c r="AH18" s="144"/>
      <c r="AI18" s="144"/>
      <c r="AJ18" s="144"/>
      <c r="AK18" s="144"/>
      <c r="AL18" s="144"/>
      <c r="AM18" s="147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43"/>
      <c r="V19" s="144"/>
      <c r="W19" s="144"/>
      <c r="X19" s="144"/>
      <c r="Y19" s="145"/>
      <c r="Z19" s="145"/>
      <c r="AA19" s="146"/>
      <c r="AB19" s="143"/>
      <c r="AC19" s="144"/>
      <c r="AD19" s="144"/>
      <c r="AE19" s="144"/>
      <c r="AF19" s="147"/>
      <c r="AG19" s="143">
        <f t="shared" si="0"/>
        <v>0</v>
      </c>
      <c r="AH19" s="144"/>
      <c r="AI19" s="144"/>
      <c r="AJ19" s="144"/>
      <c r="AK19" s="144"/>
      <c r="AL19" s="144"/>
      <c r="AM19" s="147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0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143"/>
      <c r="V20" s="144"/>
      <c r="W20" s="144"/>
      <c r="X20" s="144"/>
      <c r="Y20" s="145"/>
      <c r="Z20" s="145"/>
      <c r="AA20" s="146"/>
      <c r="AB20" s="143"/>
      <c r="AC20" s="144"/>
      <c r="AD20" s="144"/>
      <c r="AE20" s="144"/>
      <c r="AF20" s="147"/>
      <c r="AG20" s="143">
        <f t="shared" si="0"/>
        <v>0</v>
      </c>
      <c r="AH20" s="144"/>
      <c r="AI20" s="144"/>
      <c r="AJ20" s="144"/>
      <c r="AK20" s="144"/>
      <c r="AL20" s="144"/>
      <c r="AM20" s="147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0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2"/>
      <c r="U21" s="143"/>
      <c r="V21" s="144"/>
      <c r="W21" s="144"/>
      <c r="X21" s="144"/>
      <c r="Y21" s="145"/>
      <c r="Z21" s="145"/>
      <c r="AA21" s="146"/>
      <c r="AB21" s="143"/>
      <c r="AC21" s="144"/>
      <c r="AD21" s="144"/>
      <c r="AE21" s="144"/>
      <c r="AF21" s="147"/>
      <c r="AG21" s="143">
        <f t="shared" si="0"/>
        <v>0</v>
      </c>
      <c r="AH21" s="144"/>
      <c r="AI21" s="144"/>
      <c r="AJ21" s="144"/>
      <c r="AK21" s="144"/>
      <c r="AL21" s="144"/>
      <c r="AM21" s="147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0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2"/>
      <c r="U22" s="143"/>
      <c r="V22" s="144"/>
      <c r="W22" s="144"/>
      <c r="X22" s="144"/>
      <c r="Y22" s="145"/>
      <c r="Z22" s="145"/>
      <c r="AA22" s="146"/>
      <c r="AB22" s="143"/>
      <c r="AC22" s="144"/>
      <c r="AD22" s="144"/>
      <c r="AE22" s="144"/>
      <c r="AF22" s="147"/>
      <c r="AG22" s="143">
        <f t="shared" si="0"/>
        <v>0</v>
      </c>
      <c r="AH22" s="144"/>
      <c r="AI22" s="144"/>
      <c r="AJ22" s="144"/>
      <c r="AK22" s="144"/>
      <c r="AL22" s="144"/>
      <c r="AM22" s="147"/>
      <c r="AN22" s="218"/>
      <c r="AO22" s="219"/>
      <c r="AP22" s="219"/>
      <c r="AQ22" s="219"/>
      <c r="AR22" s="219"/>
      <c r="AS22" s="219"/>
      <c r="AT22" s="22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143"/>
      <c r="V23" s="144"/>
      <c r="W23" s="144"/>
      <c r="X23" s="144"/>
      <c r="Y23" s="145"/>
      <c r="Z23" s="145"/>
      <c r="AA23" s="146"/>
      <c r="AB23" s="143"/>
      <c r="AC23" s="144"/>
      <c r="AD23" s="144"/>
      <c r="AE23" s="144"/>
      <c r="AF23" s="147"/>
      <c r="AG23" s="143">
        <f t="shared" si="0"/>
        <v>0</v>
      </c>
      <c r="AH23" s="144"/>
      <c r="AI23" s="144"/>
      <c r="AJ23" s="144"/>
      <c r="AK23" s="144"/>
      <c r="AL23" s="144"/>
      <c r="AM23" s="147"/>
      <c r="AN23" s="218"/>
      <c r="AO23" s="219"/>
      <c r="AP23" s="219"/>
      <c r="AQ23" s="219"/>
      <c r="AR23" s="219"/>
      <c r="AS23" s="219"/>
      <c r="AT23" s="22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143"/>
      <c r="V24" s="144"/>
      <c r="W24" s="144"/>
      <c r="X24" s="144"/>
      <c r="Y24" s="145"/>
      <c r="Z24" s="145"/>
      <c r="AA24" s="146"/>
      <c r="AB24" s="143"/>
      <c r="AC24" s="144"/>
      <c r="AD24" s="144"/>
      <c r="AE24" s="144"/>
      <c r="AF24" s="147"/>
      <c r="AG24" s="143">
        <f t="shared" si="0"/>
        <v>0</v>
      </c>
      <c r="AH24" s="144"/>
      <c r="AI24" s="144"/>
      <c r="AJ24" s="144"/>
      <c r="AK24" s="144"/>
      <c r="AL24" s="144"/>
      <c r="AM24" s="147"/>
      <c r="AN24" s="218"/>
      <c r="AO24" s="219"/>
      <c r="AP24" s="219"/>
      <c r="AQ24" s="219"/>
      <c r="AR24" s="219"/>
      <c r="AS24" s="219"/>
      <c r="AT24" s="22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143"/>
      <c r="V25" s="144"/>
      <c r="W25" s="144"/>
      <c r="X25" s="144"/>
      <c r="Y25" s="145"/>
      <c r="Z25" s="145"/>
      <c r="AA25" s="146"/>
      <c r="AB25" s="143"/>
      <c r="AC25" s="144"/>
      <c r="AD25" s="144"/>
      <c r="AE25" s="144"/>
      <c r="AF25" s="147"/>
      <c r="AG25" s="143">
        <f t="shared" si="0"/>
        <v>0</v>
      </c>
      <c r="AH25" s="144"/>
      <c r="AI25" s="144"/>
      <c r="AJ25" s="144"/>
      <c r="AK25" s="144"/>
      <c r="AL25" s="144"/>
      <c r="AM25" s="147"/>
      <c r="AN25" s="218"/>
      <c r="AO25" s="219"/>
      <c r="AP25" s="219"/>
      <c r="AQ25" s="219"/>
      <c r="AR25" s="219"/>
      <c r="AS25" s="219"/>
      <c r="AT25" s="22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143"/>
      <c r="V26" s="144"/>
      <c r="W26" s="144"/>
      <c r="X26" s="144"/>
      <c r="Y26" s="145"/>
      <c r="Z26" s="145"/>
      <c r="AA26" s="146"/>
      <c r="AB26" s="143"/>
      <c r="AC26" s="144"/>
      <c r="AD26" s="144"/>
      <c r="AE26" s="144"/>
      <c r="AF26" s="147"/>
      <c r="AG26" s="143">
        <f t="shared" si="0"/>
        <v>0</v>
      </c>
      <c r="AH26" s="144"/>
      <c r="AI26" s="144"/>
      <c r="AJ26" s="144"/>
      <c r="AK26" s="144"/>
      <c r="AL26" s="144"/>
      <c r="AM26" s="147"/>
      <c r="AN26" s="218"/>
      <c r="AO26" s="219"/>
      <c r="AP26" s="219"/>
      <c r="AQ26" s="219"/>
      <c r="AR26" s="219"/>
      <c r="AS26" s="219"/>
      <c r="AT26" s="22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143"/>
      <c r="V27" s="144"/>
      <c r="W27" s="144"/>
      <c r="X27" s="144"/>
      <c r="Y27" s="145"/>
      <c r="Z27" s="145"/>
      <c r="AA27" s="146"/>
      <c r="AB27" s="143"/>
      <c r="AC27" s="144"/>
      <c r="AD27" s="144"/>
      <c r="AE27" s="144"/>
      <c r="AF27" s="147"/>
      <c r="AG27" s="143">
        <f t="shared" si="0"/>
        <v>0</v>
      </c>
      <c r="AH27" s="144"/>
      <c r="AI27" s="144"/>
      <c r="AJ27" s="144"/>
      <c r="AK27" s="144"/>
      <c r="AL27" s="144"/>
      <c r="AM27" s="147"/>
      <c r="AN27" s="218"/>
      <c r="AO27" s="219"/>
      <c r="AP27" s="219"/>
      <c r="AQ27" s="219"/>
      <c r="AR27" s="219"/>
      <c r="AS27" s="219"/>
      <c r="AT27" s="22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143"/>
      <c r="V28" s="144"/>
      <c r="W28" s="144"/>
      <c r="X28" s="144"/>
      <c r="Y28" s="145"/>
      <c r="Z28" s="145"/>
      <c r="AA28" s="146"/>
      <c r="AB28" s="143"/>
      <c r="AC28" s="144"/>
      <c r="AD28" s="144"/>
      <c r="AE28" s="144"/>
      <c r="AF28" s="147"/>
      <c r="AG28" s="143">
        <f t="shared" si="0"/>
        <v>0</v>
      </c>
      <c r="AH28" s="144"/>
      <c r="AI28" s="144"/>
      <c r="AJ28" s="144"/>
      <c r="AK28" s="144"/>
      <c r="AL28" s="144"/>
      <c r="AM28" s="147"/>
      <c r="AN28" s="218"/>
      <c r="AO28" s="219"/>
      <c r="AP28" s="219"/>
      <c r="AQ28" s="219"/>
      <c r="AR28" s="219"/>
      <c r="AS28" s="219"/>
      <c r="AT28" s="22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143"/>
      <c r="V29" s="144"/>
      <c r="W29" s="144"/>
      <c r="X29" s="144"/>
      <c r="Y29" s="145"/>
      <c r="Z29" s="145"/>
      <c r="AA29" s="146"/>
      <c r="AB29" s="221"/>
      <c r="AC29" s="222"/>
      <c r="AD29" s="222"/>
      <c r="AE29" s="222"/>
      <c r="AF29" s="223"/>
      <c r="AG29" s="221">
        <f t="shared" si="0"/>
        <v>0</v>
      </c>
      <c r="AH29" s="222"/>
      <c r="AI29" s="222"/>
      <c r="AJ29" s="222"/>
      <c r="AK29" s="222"/>
      <c r="AL29" s="222"/>
      <c r="AM29" s="223"/>
      <c r="AN29" s="218"/>
      <c r="AO29" s="219"/>
      <c r="AP29" s="219"/>
      <c r="AQ29" s="219"/>
      <c r="AR29" s="219"/>
      <c r="AS29" s="219"/>
      <c r="AT29" s="22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05" t="s">
        <v>43</v>
      </c>
      <c r="V30" s="206"/>
      <c r="W30" s="206"/>
      <c r="X30" s="206"/>
      <c r="Y30" s="206"/>
      <c r="Z30" s="206"/>
      <c r="AA30" s="207"/>
      <c r="AB30" s="208">
        <f>SUM(AG7:AG29)</f>
        <v>76300</v>
      </c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3" t="str">
        <f>見積書A4!CM119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3">
        <f>見積書A4!CM120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4" t="s">
        <v>94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AL3" s="5" t="s">
        <v>0</v>
      </c>
      <c r="AM3" s="5"/>
      <c r="AN3" s="227"/>
      <c r="AO3" s="227"/>
      <c r="AP3" s="227"/>
      <c r="AQ3" s="227"/>
      <c r="AR3" s="22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101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143">
        <v>1</v>
      </c>
      <c r="V7" s="144"/>
      <c r="W7" s="144"/>
      <c r="X7" s="144"/>
      <c r="Y7" s="145" t="s">
        <v>93</v>
      </c>
      <c r="Z7" s="145"/>
      <c r="AA7" s="146"/>
      <c r="AB7" s="143"/>
      <c r="AC7" s="144"/>
      <c r="AD7" s="144"/>
      <c r="AE7" s="144"/>
      <c r="AF7" s="147"/>
      <c r="AG7" s="143">
        <f>IF(U7="",1*AB7,U7*AB7)</f>
        <v>0</v>
      </c>
      <c r="AH7" s="144"/>
      <c r="AI7" s="144"/>
      <c r="AJ7" s="144"/>
      <c r="AK7" s="144"/>
      <c r="AL7" s="144"/>
      <c r="AM7" s="147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102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143">
        <v>1</v>
      </c>
      <c r="V8" s="144"/>
      <c r="W8" s="144"/>
      <c r="X8" s="144"/>
      <c r="Y8" s="145" t="s">
        <v>93</v>
      </c>
      <c r="Z8" s="145"/>
      <c r="AA8" s="146"/>
      <c r="AB8" s="143"/>
      <c r="AC8" s="144"/>
      <c r="AD8" s="144"/>
      <c r="AE8" s="144"/>
      <c r="AF8" s="147"/>
      <c r="AG8" s="143">
        <f t="shared" ref="AG8:AG29" si="0">IF(U8="",1*AB8,U8*AB8)</f>
        <v>0</v>
      </c>
      <c r="AH8" s="144"/>
      <c r="AI8" s="144"/>
      <c r="AJ8" s="144"/>
      <c r="AK8" s="144"/>
      <c r="AL8" s="144"/>
      <c r="AM8" s="147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103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143">
        <v>1</v>
      </c>
      <c r="V9" s="144"/>
      <c r="W9" s="144"/>
      <c r="X9" s="144"/>
      <c r="Y9" s="145" t="s">
        <v>93</v>
      </c>
      <c r="Z9" s="145"/>
      <c r="AA9" s="146"/>
      <c r="AB9" s="143"/>
      <c r="AC9" s="144"/>
      <c r="AD9" s="144"/>
      <c r="AE9" s="144"/>
      <c r="AF9" s="147"/>
      <c r="AG9" s="143"/>
      <c r="AH9" s="144"/>
      <c r="AI9" s="144"/>
      <c r="AJ9" s="144"/>
      <c r="AK9" s="144"/>
      <c r="AL9" s="144"/>
      <c r="AM9" s="147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104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143">
        <v>1</v>
      </c>
      <c r="V10" s="144"/>
      <c r="W10" s="144"/>
      <c r="X10" s="144"/>
      <c r="Y10" s="145" t="s">
        <v>93</v>
      </c>
      <c r="Z10" s="145"/>
      <c r="AA10" s="146"/>
      <c r="AB10" s="143"/>
      <c r="AC10" s="144"/>
      <c r="AD10" s="144"/>
      <c r="AE10" s="144"/>
      <c r="AF10" s="147"/>
      <c r="AG10" s="143">
        <f t="shared" si="0"/>
        <v>0</v>
      </c>
      <c r="AH10" s="144"/>
      <c r="AI10" s="144"/>
      <c r="AJ10" s="144"/>
      <c r="AK10" s="144"/>
      <c r="AL10" s="144"/>
      <c r="AM10" s="147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105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143">
        <v>1</v>
      </c>
      <c r="V11" s="144"/>
      <c r="W11" s="144"/>
      <c r="X11" s="144"/>
      <c r="Y11" s="145" t="s">
        <v>93</v>
      </c>
      <c r="Z11" s="145"/>
      <c r="AA11" s="146"/>
      <c r="AB11" s="143"/>
      <c r="AC11" s="144"/>
      <c r="AD11" s="144"/>
      <c r="AE11" s="144"/>
      <c r="AF11" s="147"/>
      <c r="AG11" s="143">
        <f t="shared" si="0"/>
        <v>0</v>
      </c>
      <c r="AH11" s="144"/>
      <c r="AI11" s="144"/>
      <c r="AJ11" s="144"/>
      <c r="AK11" s="144"/>
      <c r="AL11" s="144"/>
      <c r="AM11" s="147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106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143">
        <v>1</v>
      </c>
      <c r="V12" s="144"/>
      <c r="W12" s="144"/>
      <c r="X12" s="144"/>
      <c r="Y12" s="145" t="s">
        <v>93</v>
      </c>
      <c r="Z12" s="145"/>
      <c r="AA12" s="146"/>
      <c r="AB12" s="143"/>
      <c r="AC12" s="144"/>
      <c r="AD12" s="144"/>
      <c r="AE12" s="144"/>
      <c r="AF12" s="147"/>
      <c r="AG12" s="143">
        <f t="shared" si="0"/>
        <v>0</v>
      </c>
      <c r="AH12" s="144"/>
      <c r="AI12" s="144"/>
      <c r="AJ12" s="144"/>
      <c r="AK12" s="144"/>
      <c r="AL12" s="144"/>
      <c r="AM12" s="147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143"/>
      <c r="V13" s="144"/>
      <c r="W13" s="144"/>
      <c r="X13" s="144"/>
      <c r="Y13" s="145"/>
      <c r="Z13" s="145"/>
      <c r="AA13" s="146"/>
      <c r="AB13" s="143"/>
      <c r="AC13" s="144"/>
      <c r="AD13" s="144"/>
      <c r="AE13" s="144"/>
      <c r="AF13" s="147"/>
      <c r="AG13" s="143">
        <f t="shared" si="0"/>
        <v>0</v>
      </c>
      <c r="AH13" s="144"/>
      <c r="AI13" s="144"/>
      <c r="AJ13" s="144"/>
      <c r="AK13" s="144"/>
      <c r="AL13" s="144"/>
      <c r="AM13" s="147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143"/>
      <c r="V14" s="144"/>
      <c r="W14" s="144"/>
      <c r="X14" s="144"/>
      <c r="Y14" s="145"/>
      <c r="Z14" s="145"/>
      <c r="AA14" s="146"/>
      <c r="AB14" s="143"/>
      <c r="AC14" s="144"/>
      <c r="AD14" s="144"/>
      <c r="AE14" s="144"/>
      <c r="AF14" s="147"/>
      <c r="AG14" s="143">
        <f t="shared" si="0"/>
        <v>0</v>
      </c>
      <c r="AH14" s="144"/>
      <c r="AI14" s="144"/>
      <c r="AJ14" s="144"/>
      <c r="AK14" s="144"/>
      <c r="AL14" s="144"/>
      <c r="AM14" s="147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143"/>
      <c r="V15" s="144"/>
      <c r="W15" s="144"/>
      <c r="X15" s="144"/>
      <c r="Y15" s="145"/>
      <c r="Z15" s="145"/>
      <c r="AA15" s="146"/>
      <c r="AB15" s="143"/>
      <c r="AC15" s="144"/>
      <c r="AD15" s="144"/>
      <c r="AE15" s="144"/>
      <c r="AF15" s="147"/>
      <c r="AG15" s="143">
        <f t="shared" si="0"/>
        <v>0</v>
      </c>
      <c r="AH15" s="144"/>
      <c r="AI15" s="144"/>
      <c r="AJ15" s="144"/>
      <c r="AK15" s="144"/>
      <c r="AL15" s="144"/>
      <c r="AM15" s="147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143"/>
      <c r="V16" s="144"/>
      <c r="W16" s="144"/>
      <c r="X16" s="144"/>
      <c r="Y16" s="145"/>
      <c r="Z16" s="145"/>
      <c r="AA16" s="146"/>
      <c r="AB16" s="143"/>
      <c r="AC16" s="144"/>
      <c r="AD16" s="144"/>
      <c r="AE16" s="144"/>
      <c r="AF16" s="147"/>
      <c r="AG16" s="143">
        <f t="shared" si="0"/>
        <v>0</v>
      </c>
      <c r="AH16" s="144"/>
      <c r="AI16" s="144"/>
      <c r="AJ16" s="144"/>
      <c r="AK16" s="144"/>
      <c r="AL16" s="144"/>
      <c r="AM16" s="147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143"/>
      <c r="V17" s="144"/>
      <c r="W17" s="144"/>
      <c r="X17" s="144"/>
      <c r="Y17" s="145"/>
      <c r="Z17" s="145"/>
      <c r="AA17" s="146"/>
      <c r="AB17" s="143"/>
      <c r="AC17" s="144"/>
      <c r="AD17" s="144"/>
      <c r="AE17" s="144"/>
      <c r="AF17" s="147"/>
      <c r="AG17" s="143">
        <f t="shared" si="0"/>
        <v>0</v>
      </c>
      <c r="AH17" s="144"/>
      <c r="AI17" s="144"/>
      <c r="AJ17" s="144"/>
      <c r="AK17" s="144"/>
      <c r="AL17" s="144"/>
      <c r="AM17" s="147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143"/>
      <c r="V18" s="144"/>
      <c r="W18" s="144"/>
      <c r="X18" s="144"/>
      <c r="Y18" s="145"/>
      <c r="Z18" s="145"/>
      <c r="AA18" s="146"/>
      <c r="AB18" s="143"/>
      <c r="AC18" s="144"/>
      <c r="AD18" s="144"/>
      <c r="AE18" s="144"/>
      <c r="AF18" s="147"/>
      <c r="AG18" s="143">
        <f t="shared" si="0"/>
        <v>0</v>
      </c>
      <c r="AH18" s="144"/>
      <c r="AI18" s="144"/>
      <c r="AJ18" s="144"/>
      <c r="AK18" s="144"/>
      <c r="AL18" s="144"/>
      <c r="AM18" s="147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43"/>
      <c r="V19" s="144"/>
      <c r="W19" s="144"/>
      <c r="X19" s="144"/>
      <c r="Y19" s="145"/>
      <c r="Z19" s="145"/>
      <c r="AA19" s="146"/>
      <c r="AB19" s="143"/>
      <c r="AC19" s="144"/>
      <c r="AD19" s="144"/>
      <c r="AE19" s="144"/>
      <c r="AF19" s="147"/>
      <c r="AG19" s="143">
        <f t="shared" si="0"/>
        <v>0</v>
      </c>
      <c r="AH19" s="144"/>
      <c r="AI19" s="144"/>
      <c r="AJ19" s="144"/>
      <c r="AK19" s="144"/>
      <c r="AL19" s="144"/>
      <c r="AM19" s="147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143"/>
      <c r="V20" s="144"/>
      <c r="W20" s="144"/>
      <c r="X20" s="144"/>
      <c r="Y20" s="145"/>
      <c r="Z20" s="145"/>
      <c r="AA20" s="146"/>
      <c r="AB20" s="143"/>
      <c r="AC20" s="144"/>
      <c r="AD20" s="144"/>
      <c r="AE20" s="144"/>
      <c r="AF20" s="147"/>
      <c r="AG20" s="143">
        <f t="shared" si="0"/>
        <v>0</v>
      </c>
      <c r="AH20" s="144"/>
      <c r="AI20" s="144"/>
      <c r="AJ20" s="144"/>
      <c r="AK20" s="144"/>
      <c r="AL20" s="144"/>
      <c r="AM20" s="147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143"/>
      <c r="V21" s="144"/>
      <c r="W21" s="144"/>
      <c r="X21" s="144"/>
      <c r="Y21" s="145"/>
      <c r="Z21" s="145"/>
      <c r="AA21" s="146"/>
      <c r="AB21" s="143"/>
      <c r="AC21" s="144"/>
      <c r="AD21" s="144"/>
      <c r="AE21" s="144"/>
      <c r="AF21" s="147"/>
      <c r="AG21" s="143">
        <f t="shared" si="0"/>
        <v>0</v>
      </c>
      <c r="AH21" s="144"/>
      <c r="AI21" s="144"/>
      <c r="AJ21" s="144"/>
      <c r="AK21" s="144"/>
      <c r="AL21" s="144"/>
      <c r="AM21" s="147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143"/>
      <c r="V22" s="144"/>
      <c r="W22" s="144"/>
      <c r="X22" s="144"/>
      <c r="Y22" s="145"/>
      <c r="Z22" s="145"/>
      <c r="AA22" s="146"/>
      <c r="AB22" s="143"/>
      <c r="AC22" s="144"/>
      <c r="AD22" s="144"/>
      <c r="AE22" s="144"/>
      <c r="AF22" s="147"/>
      <c r="AG22" s="143">
        <f t="shared" si="0"/>
        <v>0</v>
      </c>
      <c r="AH22" s="144"/>
      <c r="AI22" s="144"/>
      <c r="AJ22" s="144"/>
      <c r="AK22" s="144"/>
      <c r="AL22" s="144"/>
      <c r="AM22" s="147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143"/>
      <c r="V23" s="144"/>
      <c r="W23" s="144"/>
      <c r="X23" s="144"/>
      <c r="Y23" s="145"/>
      <c r="Z23" s="145"/>
      <c r="AA23" s="146"/>
      <c r="AB23" s="143"/>
      <c r="AC23" s="144"/>
      <c r="AD23" s="144"/>
      <c r="AE23" s="144"/>
      <c r="AF23" s="147"/>
      <c r="AG23" s="143">
        <f t="shared" si="0"/>
        <v>0</v>
      </c>
      <c r="AH23" s="144"/>
      <c r="AI23" s="144"/>
      <c r="AJ23" s="144"/>
      <c r="AK23" s="144"/>
      <c r="AL23" s="144"/>
      <c r="AM23" s="147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143"/>
      <c r="V24" s="144"/>
      <c r="W24" s="144"/>
      <c r="X24" s="144"/>
      <c r="Y24" s="145"/>
      <c r="Z24" s="145"/>
      <c r="AA24" s="146"/>
      <c r="AB24" s="143"/>
      <c r="AC24" s="144"/>
      <c r="AD24" s="144"/>
      <c r="AE24" s="144"/>
      <c r="AF24" s="147"/>
      <c r="AG24" s="143">
        <f t="shared" si="0"/>
        <v>0</v>
      </c>
      <c r="AH24" s="144"/>
      <c r="AI24" s="144"/>
      <c r="AJ24" s="144"/>
      <c r="AK24" s="144"/>
      <c r="AL24" s="144"/>
      <c r="AM24" s="147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143"/>
      <c r="V25" s="144"/>
      <c r="W25" s="144"/>
      <c r="X25" s="144"/>
      <c r="Y25" s="145"/>
      <c r="Z25" s="145"/>
      <c r="AA25" s="146"/>
      <c r="AB25" s="143"/>
      <c r="AC25" s="144"/>
      <c r="AD25" s="144"/>
      <c r="AE25" s="144"/>
      <c r="AF25" s="147"/>
      <c r="AG25" s="143">
        <f t="shared" si="0"/>
        <v>0</v>
      </c>
      <c r="AH25" s="144"/>
      <c r="AI25" s="144"/>
      <c r="AJ25" s="144"/>
      <c r="AK25" s="144"/>
      <c r="AL25" s="144"/>
      <c r="AM25" s="147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143"/>
      <c r="V26" s="144"/>
      <c r="W26" s="144"/>
      <c r="X26" s="144"/>
      <c r="Y26" s="145"/>
      <c r="Z26" s="145"/>
      <c r="AA26" s="146"/>
      <c r="AB26" s="143"/>
      <c r="AC26" s="144"/>
      <c r="AD26" s="144"/>
      <c r="AE26" s="144"/>
      <c r="AF26" s="147"/>
      <c r="AG26" s="143">
        <f t="shared" si="0"/>
        <v>0</v>
      </c>
      <c r="AH26" s="144"/>
      <c r="AI26" s="144"/>
      <c r="AJ26" s="144"/>
      <c r="AK26" s="144"/>
      <c r="AL26" s="144"/>
      <c r="AM26" s="147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143"/>
      <c r="V27" s="144"/>
      <c r="W27" s="144"/>
      <c r="X27" s="144"/>
      <c r="Y27" s="145"/>
      <c r="Z27" s="145"/>
      <c r="AA27" s="146"/>
      <c r="AB27" s="143"/>
      <c r="AC27" s="144"/>
      <c r="AD27" s="144"/>
      <c r="AE27" s="144"/>
      <c r="AF27" s="147"/>
      <c r="AG27" s="143">
        <f t="shared" si="0"/>
        <v>0</v>
      </c>
      <c r="AH27" s="144"/>
      <c r="AI27" s="144"/>
      <c r="AJ27" s="144"/>
      <c r="AK27" s="144"/>
      <c r="AL27" s="144"/>
      <c r="AM27" s="147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143"/>
      <c r="V28" s="144"/>
      <c r="W28" s="144"/>
      <c r="X28" s="144"/>
      <c r="Y28" s="145"/>
      <c r="Z28" s="145"/>
      <c r="AA28" s="146"/>
      <c r="AB28" s="143"/>
      <c r="AC28" s="144"/>
      <c r="AD28" s="144"/>
      <c r="AE28" s="144"/>
      <c r="AF28" s="147"/>
      <c r="AG28" s="143">
        <f t="shared" si="0"/>
        <v>0</v>
      </c>
      <c r="AH28" s="144"/>
      <c r="AI28" s="144"/>
      <c r="AJ28" s="144"/>
      <c r="AK28" s="144"/>
      <c r="AL28" s="144"/>
      <c r="AM28" s="147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143"/>
      <c r="V29" s="144"/>
      <c r="W29" s="144"/>
      <c r="X29" s="144"/>
      <c r="Y29" s="145"/>
      <c r="Z29" s="145"/>
      <c r="AA29" s="146"/>
      <c r="AB29" s="221"/>
      <c r="AC29" s="222"/>
      <c r="AD29" s="222"/>
      <c r="AE29" s="222"/>
      <c r="AF29" s="223"/>
      <c r="AG29" s="221">
        <f t="shared" si="0"/>
        <v>0</v>
      </c>
      <c r="AH29" s="222"/>
      <c r="AI29" s="222"/>
      <c r="AJ29" s="222"/>
      <c r="AK29" s="222"/>
      <c r="AL29" s="222"/>
      <c r="AM29" s="223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3" t="str">
        <f>見積書A4!CM119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3">
        <f>見積書A4!CM120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4" t="s">
        <v>128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AL3" s="5" t="s">
        <v>0</v>
      </c>
      <c r="AM3" s="5"/>
      <c r="AN3" s="227"/>
      <c r="AO3" s="227"/>
      <c r="AP3" s="227"/>
      <c r="AQ3" s="227"/>
      <c r="AR3" s="22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107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143">
        <v>1</v>
      </c>
      <c r="V7" s="144"/>
      <c r="W7" s="144"/>
      <c r="X7" s="144"/>
      <c r="Y7" s="145" t="s">
        <v>127</v>
      </c>
      <c r="Z7" s="145"/>
      <c r="AA7" s="146"/>
      <c r="AB7" s="143"/>
      <c r="AC7" s="144"/>
      <c r="AD7" s="144"/>
      <c r="AE7" s="144"/>
      <c r="AF7" s="147"/>
      <c r="AG7" s="143">
        <f>IF(U7="",1*AB7,U7*AB7)</f>
        <v>0</v>
      </c>
      <c r="AH7" s="144"/>
      <c r="AI7" s="144"/>
      <c r="AJ7" s="144"/>
      <c r="AK7" s="144"/>
      <c r="AL7" s="144"/>
      <c r="AM7" s="147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108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143">
        <v>1</v>
      </c>
      <c r="V8" s="144"/>
      <c r="W8" s="144"/>
      <c r="X8" s="144"/>
      <c r="Y8" s="145" t="s">
        <v>80</v>
      </c>
      <c r="Z8" s="145"/>
      <c r="AA8" s="146"/>
      <c r="AB8" s="143"/>
      <c r="AC8" s="144"/>
      <c r="AD8" s="144"/>
      <c r="AE8" s="144"/>
      <c r="AF8" s="147"/>
      <c r="AG8" s="143">
        <f t="shared" ref="AG8:AG29" si="0">IF(U8="",1*AB8,U8*AB8)</f>
        <v>0</v>
      </c>
      <c r="AH8" s="144"/>
      <c r="AI8" s="144"/>
      <c r="AJ8" s="144"/>
      <c r="AK8" s="144"/>
      <c r="AL8" s="144"/>
      <c r="AM8" s="147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109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143">
        <v>1</v>
      </c>
      <c r="V9" s="144"/>
      <c r="W9" s="144"/>
      <c r="X9" s="144"/>
      <c r="Y9" s="145" t="s">
        <v>80</v>
      </c>
      <c r="Z9" s="145"/>
      <c r="AA9" s="146"/>
      <c r="AB9" s="143"/>
      <c r="AC9" s="144"/>
      <c r="AD9" s="144"/>
      <c r="AE9" s="144"/>
      <c r="AF9" s="147"/>
      <c r="AG9" s="143">
        <f t="shared" si="0"/>
        <v>0</v>
      </c>
      <c r="AH9" s="144"/>
      <c r="AI9" s="144"/>
      <c r="AJ9" s="144"/>
      <c r="AK9" s="144"/>
      <c r="AL9" s="144"/>
      <c r="AM9" s="147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110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143">
        <v>1</v>
      </c>
      <c r="V10" s="144"/>
      <c r="W10" s="144"/>
      <c r="X10" s="144"/>
      <c r="Y10" s="145" t="s">
        <v>80</v>
      </c>
      <c r="Z10" s="145"/>
      <c r="AA10" s="146"/>
      <c r="AB10" s="143"/>
      <c r="AC10" s="144"/>
      <c r="AD10" s="144"/>
      <c r="AE10" s="144"/>
      <c r="AF10" s="147"/>
      <c r="AG10" s="143">
        <f t="shared" si="0"/>
        <v>0</v>
      </c>
      <c r="AH10" s="144"/>
      <c r="AI10" s="144"/>
      <c r="AJ10" s="144"/>
      <c r="AK10" s="144"/>
      <c r="AL10" s="144"/>
      <c r="AM10" s="147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111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143">
        <v>1</v>
      </c>
      <c r="V11" s="144"/>
      <c r="W11" s="144"/>
      <c r="X11" s="144"/>
      <c r="Y11" s="145" t="s">
        <v>80</v>
      </c>
      <c r="Z11" s="145"/>
      <c r="AA11" s="146"/>
      <c r="AB11" s="143"/>
      <c r="AC11" s="144"/>
      <c r="AD11" s="144"/>
      <c r="AE11" s="144"/>
      <c r="AF11" s="147"/>
      <c r="AG11" s="143">
        <f t="shared" si="0"/>
        <v>0</v>
      </c>
      <c r="AH11" s="144"/>
      <c r="AI11" s="144"/>
      <c r="AJ11" s="144"/>
      <c r="AK11" s="144"/>
      <c r="AL11" s="144"/>
      <c r="AM11" s="147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112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143">
        <v>1</v>
      </c>
      <c r="V12" s="144"/>
      <c r="W12" s="144"/>
      <c r="X12" s="144"/>
      <c r="Y12" s="145" t="s">
        <v>80</v>
      </c>
      <c r="Z12" s="145"/>
      <c r="AA12" s="146"/>
      <c r="AB12" s="143"/>
      <c r="AC12" s="144"/>
      <c r="AD12" s="144"/>
      <c r="AE12" s="144"/>
      <c r="AF12" s="147"/>
      <c r="AG12" s="143">
        <f t="shared" si="0"/>
        <v>0</v>
      </c>
      <c r="AH12" s="144"/>
      <c r="AI12" s="144"/>
      <c r="AJ12" s="144"/>
      <c r="AK12" s="144"/>
      <c r="AL12" s="144"/>
      <c r="AM12" s="147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 t="s">
        <v>113</v>
      </c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143">
        <v>1</v>
      </c>
      <c r="V13" s="144"/>
      <c r="W13" s="144"/>
      <c r="X13" s="144"/>
      <c r="Y13" s="145" t="s">
        <v>80</v>
      </c>
      <c r="Z13" s="145"/>
      <c r="AA13" s="146"/>
      <c r="AB13" s="143"/>
      <c r="AC13" s="144"/>
      <c r="AD13" s="144"/>
      <c r="AE13" s="144"/>
      <c r="AF13" s="147"/>
      <c r="AG13" s="143">
        <f t="shared" si="0"/>
        <v>0</v>
      </c>
      <c r="AH13" s="144"/>
      <c r="AI13" s="144"/>
      <c r="AJ13" s="144"/>
      <c r="AK13" s="144"/>
      <c r="AL13" s="144"/>
      <c r="AM13" s="147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 t="s">
        <v>114</v>
      </c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143">
        <v>1</v>
      </c>
      <c r="V14" s="144"/>
      <c r="W14" s="144"/>
      <c r="X14" s="144"/>
      <c r="Y14" s="145" t="s">
        <v>80</v>
      </c>
      <c r="Z14" s="145"/>
      <c r="AA14" s="146"/>
      <c r="AB14" s="143"/>
      <c r="AC14" s="144"/>
      <c r="AD14" s="144"/>
      <c r="AE14" s="144"/>
      <c r="AF14" s="147"/>
      <c r="AG14" s="143">
        <f t="shared" si="0"/>
        <v>0</v>
      </c>
      <c r="AH14" s="144"/>
      <c r="AI14" s="144"/>
      <c r="AJ14" s="144"/>
      <c r="AK14" s="144"/>
      <c r="AL14" s="144"/>
      <c r="AM14" s="147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 t="s">
        <v>115</v>
      </c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143">
        <v>1</v>
      </c>
      <c r="V15" s="144"/>
      <c r="W15" s="144"/>
      <c r="X15" s="144"/>
      <c r="Y15" s="145" t="s">
        <v>80</v>
      </c>
      <c r="Z15" s="145"/>
      <c r="AA15" s="146"/>
      <c r="AB15" s="143"/>
      <c r="AC15" s="144"/>
      <c r="AD15" s="144"/>
      <c r="AE15" s="144"/>
      <c r="AF15" s="147"/>
      <c r="AG15" s="143">
        <f t="shared" si="0"/>
        <v>0</v>
      </c>
      <c r="AH15" s="144"/>
      <c r="AI15" s="144"/>
      <c r="AJ15" s="144"/>
      <c r="AK15" s="144"/>
      <c r="AL15" s="144"/>
      <c r="AM15" s="147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 t="s">
        <v>116</v>
      </c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143">
        <v>1</v>
      </c>
      <c r="V16" s="144"/>
      <c r="W16" s="144"/>
      <c r="X16" s="144"/>
      <c r="Y16" s="145" t="s">
        <v>80</v>
      </c>
      <c r="Z16" s="145"/>
      <c r="AA16" s="146"/>
      <c r="AB16" s="143"/>
      <c r="AC16" s="144"/>
      <c r="AD16" s="144"/>
      <c r="AE16" s="144"/>
      <c r="AF16" s="147"/>
      <c r="AG16" s="143">
        <f t="shared" si="0"/>
        <v>0</v>
      </c>
      <c r="AH16" s="144"/>
      <c r="AI16" s="144"/>
      <c r="AJ16" s="144"/>
      <c r="AK16" s="144"/>
      <c r="AL16" s="144"/>
      <c r="AM16" s="147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 t="s">
        <v>118</v>
      </c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143">
        <v>1</v>
      </c>
      <c r="V17" s="144"/>
      <c r="W17" s="144"/>
      <c r="X17" s="144"/>
      <c r="Y17" s="145" t="s">
        <v>80</v>
      </c>
      <c r="Z17" s="145"/>
      <c r="AA17" s="146"/>
      <c r="AB17" s="143"/>
      <c r="AC17" s="144"/>
      <c r="AD17" s="144"/>
      <c r="AE17" s="144"/>
      <c r="AF17" s="147"/>
      <c r="AG17" s="143">
        <f t="shared" si="0"/>
        <v>0</v>
      </c>
      <c r="AH17" s="144"/>
      <c r="AI17" s="144"/>
      <c r="AJ17" s="144"/>
      <c r="AK17" s="144"/>
      <c r="AL17" s="144"/>
      <c r="AM17" s="147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 t="s">
        <v>119</v>
      </c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143">
        <v>7</v>
      </c>
      <c r="V18" s="144"/>
      <c r="W18" s="144"/>
      <c r="X18" s="144"/>
      <c r="Y18" s="145" t="s">
        <v>80</v>
      </c>
      <c r="Z18" s="145"/>
      <c r="AA18" s="146"/>
      <c r="AB18" s="143"/>
      <c r="AC18" s="144"/>
      <c r="AD18" s="144"/>
      <c r="AE18" s="144"/>
      <c r="AF18" s="147"/>
      <c r="AG18" s="143">
        <f t="shared" si="0"/>
        <v>0</v>
      </c>
      <c r="AH18" s="144"/>
      <c r="AI18" s="144"/>
      <c r="AJ18" s="144"/>
      <c r="AK18" s="144"/>
      <c r="AL18" s="144"/>
      <c r="AM18" s="147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 t="s">
        <v>120</v>
      </c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43">
        <v>1</v>
      </c>
      <c r="V19" s="144"/>
      <c r="W19" s="144"/>
      <c r="X19" s="144"/>
      <c r="Y19" s="145" t="s">
        <v>80</v>
      </c>
      <c r="Z19" s="145"/>
      <c r="AA19" s="146"/>
      <c r="AB19" s="143"/>
      <c r="AC19" s="144"/>
      <c r="AD19" s="144"/>
      <c r="AE19" s="144"/>
      <c r="AF19" s="147"/>
      <c r="AG19" s="143">
        <f t="shared" si="0"/>
        <v>0</v>
      </c>
      <c r="AH19" s="144"/>
      <c r="AI19" s="144"/>
      <c r="AJ19" s="144"/>
      <c r="AK19" s="144"/>
      <c r="AL19" s="144"/>
      <c r="AM19" s="147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 t="s">
        <v>121</v>
      </c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143">
        <v>1</v>
      </c>
      <c r="V20" s="144"/>
      <c r="W20" s="144"/>
      <c r="X20" s="144"/>
      <c r="Y20" s="145" t="s">
        <v>80</v>
      </c>
      <c r="Z20" s="145"/>
      <c r="AA20" s="146"/>
      <c r="AB20" s="143"/>
      <c r="AC20" s="144"/>
      <c r="AD20" s="144"/>
      <c r="AE20" s="144"/>
      <c r="AF20" s="147"/>
      <c r="AG20" s="143">
        <f t="shared" si="0"/>
        <v>0</v>
      </c>
      <c r="AH20" s="144"/>
      <c r="AI20" s="144"/>
      <c r="AJ20" s="144"/>
      <c r="AK20" s="144"/>
      <c r="AL20" s="144"/>
      <c r="AM20" s="147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 t="s">
        <v>122</v>
      </c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143">
        <v>1</v>
      </c>
      <c r="V21" s="144"/>
      <c r="W21" s="144"/>
      <c r="X21" s="144"/>
      <c r="Y21" s="145" t="s">
        <v>80</v>
      </c>
      <c r="Z21" s="145"/>
      <c r="AA21" s="146"/>
      <c r="AB21" s="143"/>
      <c r="AC21" s="144"/>
      <c r="AD21" s="144"/>
      <c r="AE21" s="144"/>
      <c r="AF21" s="147"/>
      <c r="AG21" s="143">
        <f t="shared" si="0"/>
        <v>0</v>
      </c>
      <c r="AH21" s="144"/>
      <c r="AI21" s="144"/>
      <c r="AJ21" s="144"/>
      <c r="AK21" s="144"/>
      <c r="AL21" s="144"/>
      <c r="AM21" s="147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 t="s">
        <v>123</v>
      </c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143">
        <v>1</v>
      </c>
      <c r="V22" s="144"/>
      <c r="W22" s="144"/>
      <c r="X22" s="144"/>
      <c r="Y22" s="145" t="s">
        <v>80</v>
      </c>
      <c r="Z22" s="145"/>
      <c r="AA22" s="146"/>
      <c r="AB22" s="143"/>
      <c r="AC22" s="144"/>
      <c r="AD22" s="144"/>
      <c r="AE22" s="144"/>
      <c r="AF22" s="147"/>
      <c r="AG22" s="143">
        <f t="shared" si="0"/>
        <v>0</v>
      </c>
      <c r="AH22" s="144"/>
      <c r="AI22" s="144"/>
      <c r="AJ22" s="144"/>
      <c r="AK22" s="144"/>
      <c r="AL22" s="144"/>
      <c r="AM22" s="147"/>
      <c r="AN22" s="218"/>
      <c r="AO22" s="219"/>
      <c r="AP22" s="219"/>
      <c r="AQ22" s="219"/>
      <c r="AR22" s="219"/>
      <c r="AS22" s="219"/>
      <c r="AT22" s="22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 t="s">
        <v>124</v>
      </c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143">
        <v>1</v>
      </c>
      <c r="V23" s="144"/>
      <c r="W23" s="144"/>
      <c r="X23" s="144"/>
      <c r="Y23" s="145" t="s">
        <v>80</v>
      </c>
      <c r="Z23" s="145"/>
      <c r="AA23" s="146"/>
      <c r="AB23" s="143"/>
      <c r="AC23" s="144"/>
      <c r="AD23" s="144"/>
      <c r="AE23" s="144"/>
      <c r="AF23" s="147"/>
      <c r="AG23" s="143">
        <f t="shared" si="0"/>
        <v>0</v>
      </c>
      <c r="AH23" s="144"/>
      <c r="AI23" s="144"/>
      <c r="AJ23" s="144"/>
      <c r="AK23" s="144"/>
      <c r="AL23" s="144"/>
      <c r="AM23" s="147"/>
      <c r="AN23" s="218"/>
      <c r="AO23" s="219"/>
      <c r="AP23" s="219"/>
      <c r="AQ23" s="219"/>
      <c r="AR23" s="219"/>
      <c r="AS23" s="219"/>
      <c r="AT23" s="22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 t="s">
        <v>130</v>
      </c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143">
        <v>2</v>
      </c>
      <c r="V24" s="144"/>
      <c r="W24" s="144"/>
      <c r="X24" s="144"/>
      <c r="Y24" s="145" t="s">
        <v>80</v>
      </c>
      <c r="Z24" s="145"/>
      <c r="AA24" s="146"/>
      <c r="AB24" s="143"/>
      <c r="AC24" s="144"/>
      <c r="AD24" s="144"/>
      <c r="AE24" s="144"/>
      <c r="AF24" s="147"/>
      <c r="AG24" s="143">
        <f t="shared" si="0"/>
        <v>0</v>
      </c>
      <c r="AH24" s="144"/>
      <c r="AI24" s="144"/>
      <c r="AJ24" s="144"/>
      <c r="AK24" s="144"/>
      <c r="AL24" s="144"/>
      <c r="AM24" s="147"/>
      <c r="AN24" s="218"/>
      <c r="AO24" s="219"/>
      <c r="AP24" s="219"/>
      <c r="AQ24" s="219"/>
      <c r="AR24" s="219"/>
      <c r="AS24" s="219"/>
      <c r="AT24" s="22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 t="s">
        <v>131</v>
      </c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143">
        <v>1</v>
      </c>
      <c r="V25" s="144"/>
      <c r="W25" s="144"/>
      <c r="X25" s="144"/>
      <c r="Y25" s="145" t="s">
        <v>80</v>
      </c>
      <c r="Z25" s="145"/>
      <c r="AA25" s="146"/>
      <c r="AB25" s="143"/>
      <c r="AC25" s="144"/>
      <c r="AD25" s="144"/>
      <c r="AE25" s="144"/>
      <c r="AF25" s="147"/>
      <c r="AG25" s="143">
        <f t="shared" si="0"/>
        <v>0</v>
      </c>
      <c r="AH25" s="144"/>
      <c r="AI25" s="144"/>
      <c r="AJ25" s="144"/>
      <c r="AK25" s="144"/>
      <c r="AL25" s="144"/>
      <c r="AM25" s="147"/>
      <c r="AN25" s="218"/>
      <c r="AO25" s="219"/>
      <c r="AP25" s="219"/>
      <c r="AQ25" s="219"/>
      <c r="AR25" s="219"/>
      <c r="AS25" s="219"/>
      <c r="AT25" s="22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 t="s">
        <v>117</v>
      </c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143">
        <v>5</v>
      </c>
      <c r="V26" s="144"/>
      <c r="W26" s="144"/>
      <c r="X26" s="144"/>
      <c r="Y26" s="145" t="s">
        <v>80</v>
      </c>
      <c r="Z26" s="145"/>
      <c r="AA26" s="146"/>
      <c r="AB26" s="143"/>
      <c r="AC26" s="144"/>
      <c r="AD26" s="144"/>
      <c r="AE26" s="144"/>
      <c r="AF26" s="147"/>
      <c r="AG26" s="143">
        <f t="shared" si="0"/>
        <v>0</v>
      </c>
      <c r="AH26" s="144"/>
      <c r="AI26" s="144"/>
      <c r="AJ26" s="144"/>
      <c r="AK26" s="144"/>
      <c r="AL26" s="144"/>
      <c r="AM26" s="147"/>
      <c r="AN26" s="218"/>
      <c r="AO26" s="219"/>
      <c r="AP26" s="219"/>
      <c r="AQ26" s="219"/>
      <c r="AR26" s="219"/>
      <c r="AS26" s="219"/>
      <c r="AT26" s="22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 t="s">
        <v>125</v>
      </c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143">
        <v>1</v>
      </c>
      <c r="V27" s="144"/>
      <c r="W27" s="144"/>
      <c r="X27" s="144"/>
      <c r="Y27" s="145" t="s">
        <v>80</v>
      </c>
      <c r="Z27" s="145"/>
      <c r="AA27" s="146"/>
      <c r="AB27" s="143"/>
      <c r="AC27" s="144"/>
      <c r="AD27" s="144"/>
      <c r="AE27" s="144"/>
      <c r="AF27" s="147"/>
      <c r="AG27" s="143">
        <f t="shared" si="0"/>
        <v>0</v>
      </c>
      <c r="AH27" s="144"/>
      <c r="AI27" s="144"/>
      <c r="AJ27" s="144"/>
      <c r="AK27" s="144"/>
      <c r="AL27" s="144"/>
      <c r="AM27" s="147"/>
      <c r="AN27" s="218"/>
      <c r="AO27" s="219"/>
      <c r="AP27" s="219"/>
      <c r="AQ27" s="219"/>
      <c r="AR27" s="219"/>
      <c r="AS27" s="219"/>
      <c r="AT27" s="22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 t="s">
        <v>126</v>
      </c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143">
        <v>1</v>
      </c>
      <c r="V28" s="144"/>
      <c r="W28" s="144"/>
      <c r="X28" s="144"/>
      <c r="Y28" s="145" t="s">
        <v>80</v>
      </c>
      <c r="Z28" s="145"/>
      <c r="AA28" s="146"/>
      <c r="AB28" s="143"/>
      <c r="AC28" s="144"/>
      <c r="AD28" s="144"/>
      <c r="AE28" s="144"/>
      <c r="AF28" s="147"/>
      <c r="AG28" s="143">
        <f t="shared" si="0"/>
        <v>0</v>
      </c>
      <c r="AH28" s="144"/>
      <c r="AI28" s="144"/>
      <c r="AJ28" s="144"/>
      <c r="AK28" s="144"/>
      <c r="AL28" s="144"/>
      <c r="AM28" s="147"/>
      <c r="AN28" s="218"/>
      <c r="AO28" s="219"/>
      <c r="AP28" s="219"/>
      <c r="AQ28" s="219"/>
      <c r="AR28" s="219"/>
      <c r="AS28" s="219"/>
      <c r="AT28" s="22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143"/>
      <c r="V29" s="144"/>
      <c r="W29" s="144"/>
      <c r="X29" s="144"/>
      <c r="Y29" s="145"/>
      <c r="Z29" s="145"/>
      <c r="AA29" s="146"/>
      <c r="AB29" s="221"/>
      <c r="AC29" s="222"/>
      <c r="AD29" s="222"/>
      <c r="AE29" s="222"/>
      <c r="AF29" s="223"/>
      <c r="AG29" s="221">
        <f t="shared" si="0"/>
        <v>0</v>
      </c>
      <c r="AH29" s="222"/>
      <c r="AI29" s="222"/>
      <c r="AJ29" s="222"/>
      <c r="AK29" s="222"/>
      <c r="AL29" s="222"/>
      <c r="AM29" s="223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3" t="str">
        <f>見積書A4!CM119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3">
        <f>見積書A4!CM120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30">
        <f>見積書A4!P177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4" t="s">
        <v>92</v>
      </c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AL3" s="5" t="s">
        <v>89</v>
      </c>
      <c r="AM3" s="5"/>
      <c r="AN3" s="227"/>
      <c r="AO3" s="227"/>
      <c r="AP3" s="227"/>
      <c r="AQ3" s="227"/>
      <c r="AR3" s="227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62" t="s">
        <v>88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4"/>
      <c r="U5" s="154" t="s">
        <v>9</v>
      </c>
      <c r="V5" s="155"/>
      <c r="W5" s="155"/>
      <c r="X5" s="155"/>
      <c r="Y5" s="155"/>
      <c r="Z5" s="155"/>
      <c r="AA5" s="160"/>
      <c r="AB5" s="154" t="s">
        <v>10</v>
      </c>
      <c r="AC5" s="155"/>
      <c r="AD5" s="155"/>
      <c r="AE5" s="155"/>
      <c r="AF5" s="155"/>
      <c r="AG5" s="154" t="s">
        <v>11</v>
      </c>
      <c r="AH5" s="155"/>
      <c r="AI5" s="155"/>
      <c r="AJ5" s="155"/>
      <c r="AK5" s="155"/>
      <c r="AL5" s="155"/>
      <c r="AM5" s="160"/>
      <c r="AN5" s="154" t="s">
        <v>12</v>
      </c>
      <c r="AO5" s="155"/>
      <c r="AP5" s="155"/>
      <c r="AQ5" s="155"/>
      <c r="AR5" s="155"/>
      <c r="AS5" s="155"/>
      <c r="AT5" s="158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5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7"/>
      <c r="U6" s="156"/>
      <c r="V6" s="157"/>
      <c r="W6" s="157"/>
      <c r="X6" s="157"/>
      <c r="Y6" s="157"/>
      <c r="Z6" s="157"/>
      <c r="AA6" s="161"/>
      <c r="AB6" s="156"/>
      <c r="AC6" s="157"/>
      <c r="AD6" s="157"/>
      <c r="AE6" s="157"/>
      <c r="AF6" s="157"/>
      <c r="AG6" s="156"/>
      <c r="AH6" s="157"/>
      <c r="AI6" s="157"/>
      <c r="AJ6" s="157"/>
      <c r="AK6" s="157"/>
      <c r="AL6" s="157"/>
      <c r="AM6" s="161"/>
      <c r="AN6" s="156"/>
      <c r="AO6" s="157"/>
      <c r="AP6" s="157"/>
      <c r="AQ6" s="157"/>
      <c r="AR6" s="157"/>
      <c r="AS6" s="157"/>
      <c r="AT6" s="159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143"/>
      <c r="V7" s="144"/>
      <c r="W7" s="144"/>
      <c r="X7" s="144"/>
      <c r="Y7" s="145"/>
      <c r="Z7" s="145"/>
      <c r="AA7" s="146"/>
      <c r="AB7" s="143">
        <f>SUM(Y19)</f>
        <v>0</v>
      </c>
      <c r="AC7" s="144"/>
      <c r="AD7" s="144"/>
      <c r="AE7" s="144"/>
      <c r="AF7" s="147"/>
      <c r="AG7" s="143">
        <f>IF(U7="",1*AB7,U7*AB7)</f>
        <v>0</v>
      </c>
      <c r="AH7" s="144"/>
      <c r="AI7" s="144"/>
      <c r="AJ7" s="144"/>
      <c r="AK7" s="144"/>
      <c r="AL7" s="144"/>
      <c r="AM7" s="147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143"/>
      <c r="V8" s="144"/>
      <c r="W8" s="144"/>
      <c r="X8" s="144"/>
      <c r="Y8" s="145"/>
      <c r="Z8" s="145"/>
      <c r="AA8" s="146"/>
      <c r="AB8" s="143"/>
      <c r="AC8" s="144"/>
      <c r="AD8" s="144"/>
      <c r="AE8" s="144"/>
      <c r="AF8" s="147"/>
      <c r="AG8" s="143">
        <f t="shared" ref="AG8:AG29" si="0">IF(U8="",1*AB8,U8*AB8)</f>
        <v>0</v>
      </c>
      <c r="AH8" s="144"/>
      <c r="AI8" s="144"/>
      <c r="AJ8" s="144"/>
      <c r="AK8" s="144"/>
      <c r="AL8" s="144"/>
      <c r="AM8" s="147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143"/>
      <c r="V9" s="144"/>
      <c r="W9" s="144"/>
      <c r="X9" s="144"/>
      <c r="Y9" s="145"/>
      <c r="Z9" s="145"/>
      <c r="AA9" s="146"/>
      <c r="AB9" s="143"/>
      <c r="AC9" s="144"/>
      <c r="AD9" s="144"/>
      <c r="AE9" s="144"/>
      <c r="AF9" s="147"/>
      <c r="AG9" s="143">
        <f t="shared" si="0"/>
        <v>0</v>
      </c>
      <c r="AH9" s="144"/>
      <c r="AI9" s="144"/>
      <c r="AJ9" s="144"/>
      <c r="AK9" s="144"/>
      <c r="AL9" s="144"/>
      <c r="AM9" s="147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143"/>
      <c r="V10" s="144"/>
      <c r="W10" s="144"/>
      <c r="X10" s="144"/>
      <c r="Y10" s="145"/>
      <c r="Z10" s="145"/>
      <c r="AA10" s="146"/>
      <c r="AB10" s="143"/>
      <c r="AC10" s="144"/>
      <c r="AD10" s="144"/>
      <c r="AE10" s="144"/>
      <c r="AF10" s="147"/>
      <c r="AG10" s="143">
        <f t="shared" si="0"/>
        <v>0</v>
      </c>
      <c r="AH10" s="144"/>
      <c r="AI10" s="144"/>
      <c r="AJ10" s="144"/>
      <c r="AK10" s="144"/>
      <c r="AL10" s="144"/>
      <c r="AM10" s="147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143"/>
      <c r="V11" s="144"/>
      <c r="W11" s="144"/>
      <c r="X11" s="144"/>
      <c r="Y11" s="145"/>
      <c r="Z11" s="145"/>
      <c r="AA11" s="146"/>
      <c r="AB11" s="143"/>
      <c r="AC11" s="144"/>
      <c r="AD11" s="144"/>
      <c r="AE11" s="144"/>
      <c r="AF11" s="147"/>
      <c r="AG11" s="143">
        <f t="shared" si="0"/>
        <v>0</v>
      </c>
      <c r="AH11" s="144"/>
      <c r="AI11" s="144"/>
      <c r="AJ11" s="144"/>
      <c r="AK11" s="144"/>
      <c r="AL11" s="144"/>
      <c r="AM11" s="147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143"/>
      <c r="V12" s="144"/>
      <c r="W12" s="144"/>
      <c r="X12" s="144"/>
      <c r="Y12" s="145"/>
      <c r="Z12" s="145"/>
      <c r="AA12" s="146"/>
      <c r="AB12" s="143"/>
      <c r="AC12" s="144"/>
      <c r="AD12" s="144"/>
      <c r="AE12" s="144"/>
      <c r="AF12" s="147"/>
      <c r="AG12" s="143">
        <f t="shared" si="0"/>
        <v>0</v>
      </c>
      <c r="AH12" s="144"/>
      <c r="AI12" s="144"/>
      <c r="AJ12" s="144"/>
      <c r="AK12" s="144"/>
      <c r="AL12" s="144"/>
      <c r="AM12" s="147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143"/>
      <c r="V13" s="144"/>
      <c r="W13" s="144"/>
      <c r="X13" s="144"/>
      <c r="Y13" s="145"/>
      <c r="Z13" s="145"/>
      <c r="AA13" s="146"/>
      <c r="AB13" s="143"/>
      <c r="AC13" s="144"/>
      <c r="AD13" s="144"/>
      <c r="AE13" s="144"/>
      <c r="AF13" s="147"/>
      <c r="AG13" s="143">
        <f t="shared" si="0"/>
        <v>0</v>
      </c>
      <c r="AH13" s="144"/>
      <c r="AI13" s="144"/>
      <c r="AJ13" s="144"/>
      <c r="AK13" s="144"/>
      <c r="AL13" s="144"/>
      <c r="AM13" s="147"/>
      <c r="AN13" s="228"/>
      <c r="AO13" s="229"/>
      <c r="AP13" s="229"/>
      <c r="AQ13" s="229"/>
      <c r="AR13" s="229"/>
      <c r="AS13" s="229"/>
      <c r="AT13" s="23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143"/>
      <c r="V14" s="144"/>
      <c r="W14" s="144"/>
      <c r="X14" s="144"/>
      <c r="Y14" s="145"/>
      <c r="Z14" s="145"/>
      <c r="AA14" s="146"/>
      <c r="AB14" s="143"/>
      <c r="AC14" s="144"/>
      <c r="AD14" s="144"/>
      <c r="AE14" s="144"/>
      <c r="AF14" s="147"/>
      <c r="AG14" s="143">
        <f t="shared" si="0"/>
        <v>0</v>
      </c>
      <c r="AH14" s="144"/>
      <c r="AI14" s="144"/>
      <c r="AJ14" s="144"/>
      <c r="AK14" s="144"/>
      <c r="AL14" s="144"/>
      <c r="AM14" s="147"/>
      <c r="AN14" s="228"/>
      <c r="AO14" s="229"/>
      <c r="AP14" s="229"/>
      <c r="AQ14" s="229"/>
      <c r="AR14" s="229"/>
      <c r="AS14" s="229"/>
      <c r="AT14" s="23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143"/>
      <c r="V15" s="144"/>
      <c r="W15" s="144"/>
      <c r="X15" s="144"/>
      <c r="Y15" s="145"/>
      <c r="Z15" s="145"/>
      <c r="AA15" s="146"/>
      <c r="AB15" s="143"/>
      <c r="AC15" s="144"/>
      <c r="AD15" s="144"/>
      <c r="AE15" s="144"/>
      <c r="AF15" s="147"/>
      <c r="AG15" s="143">
        <f t="shared" si="0"/>
        <v>0</v>
      </c>
      <c r="AH15" s="144"/>
      <c r="AI15" s="144"/>
      <c r="AJ15" s="144"/>
      <c r="AK15" s="144"/>
      <c r="AL15" s="144"/>
      <c r="AM15" s="147"/>
      <c r="AN15" s="228"/>
      <c r="AO15" s="229"/>
      <c r="AP15" s="229"/>
      <c r="AQ15" s="229"/>
      <c r="AR15" s="229"/>
      <c r="AS15" s="229"/>
      <c r="AT15" s="23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143"/>
      <c r="V16" s="144"/>
      <c r="W16" s="144"/>
      <c r="X16" s="144"/>
      <c r="Y16" s="145"/>
      <c r="Z16" s="145"/>
      <c r="AA16" s="146"/>
      <c r="AB16" s="143"/>
      <c r="AC16" s="144"/>
      <c r="AD16" s="144"/>
      <c r="AE16" s="144"/>
      <c r="AF16" s="147"/>
      <c r="AG16" s="143">
        <f t="shared" si="0"/>
        <v>0</v>
      </c>
      <c r="AH16" s="144"/>
      <c r="AI16" s="144"/>
      <c r="AJ16" s="144"/>
      <c r="AK16" s="144"/>
      <c r="AL16" s="144"/>
      <c r="AM16" s="147"/>
      <c r="AN16" s="228"/>
      <c r="AO16" s="229"/>
      <c r="AP16" s="229"/>
      <c r="AQ16" s="229"/>
      <c r="AR16" s="229"/>
      <c r="AS16" s="229"/>
      <c r="AT16" s="23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143"/>
      <c r="V17" s="144"/>
      <c r="W17" s="144"/>
      <c r="X17" s="144"/>
      <c r="Y17" s="145"/>
      <c r="Z17" s="145"/>
      <c r="AA17" s="146"/>
      <c r="AB17" s="143"/>
      <c r="AC17" s="144"/>
      <c r="AD17" s="144"/>
      <c r="AE17" s="144"/>
      <c r="AF17" s="147"/>
      <c r="AG17" s="143">
        <f t="shared" si="0"/>
        <v>0</v>
      </c>
      <c r="AH17" s="144"/>
      <c r="AI17" s="144"/>
      <c r="AJ17" s="144"/>
      <c r="AK17" s="144"/>
      <c r="AL17" s="144"/>
      <c r="AM17" s="147"/>
      <c r="AN17" s="228"/>
      <c r="AO17" s="229"/>
      <c r="AP17" s="229"/>
      <c r="AQ17" s="229"/>
      <c r="AR17" s="229"/>
      <c r="AS17" s="229"/>
      <c r="AT17" s="23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143"/>
      <c r="V18" s="144"/>
      <c r="W18" s="144"/>
      <c r="X18" s="144"/>
      <c r="Y18" s="145"/>
      <c r="Z18" s="145"/>
      <c r="AA18" s="146"/>
      <c r="AB18" s="143"/>
      <c r="AC18" s="144"/>
      <c r="AD18" s="144"/>
      <c r="AE18" s="144"/>
      <c r="AF18" s="147"/>
      <c r="AG18" s="143">
        <f t="shared" si="0"/>
        <v>0</v>
      </c>
      <c r="AH18" s="144"/>
      <c r="AI18" s="144"/>
      <c r="AJ18" s="144"/>
      <c r="AK18" s="144"/>
      <c r="AL18" s="144"/>
      <c r="AM18" s="147"/>
      <c r="AN18" s="228"/>
      <c r="AO18" s="229"/>
      <c r="AP18" s="229"/>
      <c r="AQ18" s="229"/>
      <c r="AR18" s="229"/>
      <c r="AS18" s="229"/>
      <c r="AT18" s="23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143"/>
      <c r="V19" s="144"/>
      <c r="W19" s="144"/>
      <c r="X19" s="144"/>
      <c r="Y19" s="145"/>
      <c r="Z19" s="145"/>
      <c r="AA19" s="146"/>
      <c r="AB19" s="143"/>
      <c r="AC19" s="144"/>
      <c r="AD19" s="144"/>
      <c r="AE19" s="144"/>
      <c r="AF19" s="147"/>
      <c r="AG19" s="143">
        <f t="shared" si="0"/>
        <v>0</v>
      </c>
      <c r="AH19" s="144"/>
      <c r="AI19" s="144"/>
      <c r="AJ19" s="144"/>
      <c r="AK19" s="144"/>
      <c r="AL19" s="144"/>
      <c r="AM19" s="147"/>
      <c r="AN19" s="228"/>
      <c r="AO19" s="229"/>
      <c r="AP19" s="229"/>
      <c r="AQ19" s="229"/>
      <c r="AR19" s="229"/>
      <c r="AS19" s="229"/>
      <c r="AT19" s="23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143"/>
      <c r="V20" s="144"/>
      <c r="W20" s="144"/>
      <c r="X20" s="144"/>
      <c r="Y20" s="145"/>
      <c r="Z20" s="145"/>
      <c r="AA20" s="146"/>
      <c r="AB20" s="143"/>
      <c r="AC20" s="144"/>
      <c r="AD20" s="144"/>
      <c r="AE20" s="144"/>
      <c r="AF20" s="147"/>
      <c r="AG20" s="143">
        <f t="shared" si="0"/>
        <v>0</v>
      </c>
      <c r="AH20" s="144"/>
      <c r="AI20" s="144"/>
      <c r="AJ20" s="144"/>
      <c r="AK20" s="144"/>
      <c r="AL20" s="144"/>
      <c r="AM20" s="147"/>
      <c r="AN20" s="228"/>
      <c r="AO20" s="229"/>
      <c r="AP20" s="229"/>
      <c r="AQ20" s="229"/>
      <c r="AR20" s="229"/>
      <c r="AS20" s="229"/>
      <c r="AT20" s="23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143"/>
      <c r="V21" s="144"/>
      <c r="W21" s="144"/>
      <c r="X21" s="144"/>
      <c r="Y21" s="145"/>
      <c r="Z21" s="145"/>
      <c r="AA21" s="146"/>
      <c r="AB21" s="143"/>
      <c r="AC21" s="144"/>
      <c r="AD21" s="144"/>
      <c r="AE21" s="144"/>
      <c r="AF21" s="147"/>
      <c r="AG21" s="143">
        <f t="shared" si="0"/>
        <v>0</v>
      </c>
      <c r="AH21" s="144"/>
      <c r="AI21" s="144"/>
      <c r="AJ21" s="144"/>
      <c r="AK21" s="144"/>
      <c r="AL21" s="144"/>
      <c r="AM21" s="147"/>
      <c r="AN21" s="228"/>
      <c r="AO21" s="229"/>
      <c r="AP21" s="229"/>
      <c r="AQ21" s="229"/>
      <c r="AR21" s="229"/>
      <c r="AS21" s="229"/>
      <c r="AT21" s="23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143"/>
      <c r="V22" s="144"/>
      <c r="W22" s="144"/>
      <c r="X22" s="144"/>
      <c r="Y22" s="145"/>
      <c r="Z22" s="145"/>
      <c r="AA22" s="146"/>
      <c r="AB22" s="143"/>
      <c r="AC22" s="144"/>
      <c r="AD22" s="144"/>
      <c r="AE22" s="144"/>
      <c r="AF22" s="147"/>
      <c r="AG22" s="143">
        <f t="shared" si="0"/>
        <v>0</v>
      </c>
      <c r="AH22" s="144"/>
      <c r="AI22" s="144"/>
      <c r="AJ22" s="144"/>
      <c r="AK22" s="144"/>
      <c r="AL22" s="144"/>
      <c r="AM22" s="147"/>
      <c r="AN22" s="228"/>
      <c r="AO22" s="229"/>
      <c r="AP22" s="229"/>
      <c r="AQ22" s="229"/>
      <c r="AR22" s="229"/>
      <c r="AS22" s="229"/>
      <c r="AT22" s="23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143"/>
      <c r="V23" s="144"/>
      <c r="W23" s="144"/>
      <c r="X23" s="144"/>
      <c r="Y23" s="145"/>
      <c r="Z23" s="145"/>
      <c r="AA23" s="146"/>
      <c r="AB23" s="143"/>
      <c r="AC23" s="144"/>
      <c r="AD23" s="144"/>
      <c r="AE23" s="144"/>
      <c r="AF23" s="147"/>
      <c r="AG23" s="143">
        <f t="shared" si="0"/>
        <v>0</v>
      </c>
      <c r="AH23" s="144"/>
      <c r="AI23" s="144"/>
      <c r="AJ23" s="144"/>
      <c r="AK23" s="144"/>
      <c r="AL23" s="144"/>
      <c r="AM23" s="147"/>
      <c r="AN23" s="228"/>
      <c r="AO23" s="229"/>
      <c r="AP23" s="229"/>
      <c r="AQ23" s="229"/>
      <c r="AR23" s="229"/>
      <c r="AS23" s="229"/>
      <c r="AT23" s="23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143"/>
      <c r="V24" s="144"/>
      <c r="W24" s="144"/>
      <c r="X24" s="144"/>
      <c r="Y24" s="145"/>
      <c r="Z24" s="145"/>
      <c r="AA24" s="146"/>
      <c r="AB24" s="143"/>
      <c r="AC24" s="144"/>
      <c r="AD24" s="144"/>
      <c r="AE24" s="144"/>
      <c r="AF24" s="147"/>
      <c r="AG24" s="143">
        <f t="shared" si="0"/>
        <v>0</v>
      </c>
      <c r="AH24" s="144"/>
      <c r="AI24" s="144"/>
      <c r="AJ24" s="144"/>
      <c r="AK24" s="144"/>
      <c r="AL24" s="144"/>
      <c r="AM24" s="147"/>
      <c r="AN24" s="228"/>
      <c r="AO24" s="229"/>
      <c r="AP24" s="229"/>
      <c r="AQ24" s="229"/>
      <c r="AR24" s="229"/>
      <c r="AS24" s="229"/>
      <c r="AT24" s="23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143"/>
      <c r="V25" s="144"/>
      <c r="W25" s="144"/>
      <c r="X25" s="144"/>
      <c r="Y25" s="145"/>
      <c r="Z25" s="145"/>
      <c r="AA25" s="146"/>
      <c r="AB25" s="143"/>
      <c r="AC25" s="144"/>
      <c r="AD25" s="144"/>
      <c r="AE25" s="144"/>
      <c r="AF25" s="147"/>
      <c r="AG25" s="143">
        <f t="shared" si="0"/>
        <v>0</v>
      </c>
      <c r="AH25" s="144"/>
      <c r="AI25" s="144"/>
      <c r="AJ25" s="144"/>
      <c r="AK25" s="144"/>
      <c r="AL25" s="144"/>
      <c r="AM25" s="147"/>
      <c r="AN25" s="228"/>
      <c r="AO25" s="229"/>
      <c r="AP25" s="229"/>
      <c r="AQ25" s="229"/>
      <c r="AR25" s="229"/>
      <c r="AS25" s="229"/>
      <c r="AT25" s="23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143"/>
      <c r="V26" s="144"/>
      <c r="W26" s="144"/>
      <c r="X26" s="144"/>
      <c r="Y26" s="145"/>
      <c r="Z26" s="145"/>
      <c r="AA26" s="146"/>
      <c r="AB26" s="143"/>
      <c r="AC26" s="144"/>
      <c r="AD26" s="144"/>
      <c r="AE26" s="144"/>
      <c r="AF26" s="147"/>
      <c r="AG26" s="143">
        <f t="shared" si="0"/>
        <v>0</v>
      </c>
      <c r="AH26" s="144"/>
      <c r="AI26" s="144"/>
      <c r="AJ26" s="144"/>
      <c r="AK26" s="144"/>
      <c r="AL26" s="144"/>
      <c r="AM26" s="147"/>
      <c r="AN26" s="228"/>
      <c r="AO26" s="229"/>
      <c r="AP26" s="229"/>
      <c r="AQ26" s="229"/>
      <c r="AR26" s="229"/>
      <c r="AS26" s="229"/>
      <c r="AT26" s="23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143"/>
      <c r="V27" s="144"/>
      <c r="W27" s="144"/>
      <c r="X27" s="144"/>
      <c r="Y27" s="145"/>
      <c r="Z27" s="145"/>
      <c r="AA27" s="146"/>
      <c r="AB27" s="143"/>
      <c r="AC27" s="144"/>
      <c r="AD27" s="144"/>
      <c r="AE27" s="144"/>
      <c r="AF27" s="147"/>
      <c r="AG27" s="143">
        <f t="shared" si="0"/>
        <v>0</v>
      </c>
      <c r="AH27" s="144"/>
      <c r="AI27" s="144"/>
      <c r="AJ27" s="144"/>
      <c r="AK27" s="144"/>
      <c r="AL27" s="144"/>
      <c r="AM27" s="147"/>
      <c r="AN27" s="228"/>
      <c r="AO27" s="229"/>
      <c r="AP27" s="229"/>
      <c r="AQ27" s="229"/>
      <c r="AR27" s="229"/>
      <c r="AS27" s="229"/>
      <c r="AT27" s="23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143"/>
      <c r="V28" s="144"/>
      <c r="W28" s="144"/>
      <c r="X28" s="144"/>
      <c r="Y28" s="145"/>
      <c r="Z28" s="145"/>
      <c r="AA28" s="146"/>
      <c r="AB28" s="143"/>
      <c r="AC28" s="144"/>
      <c r="AD28" s="144"/>
      <c r="AE28" s="144"/>
      <c r="AF28" s="147"/>
      <c r="AG28" s="143">
        <f t="shared" si="0"/>
        <v>0</v>
      </c>
      <c r="AH28" s="144"/>
      <c r="AI28" s="144"/>
      <c r="AJ28" s="144"/>
      <c r="AK28" s="144"/>
      <c r="AL28" s="144"/>
      <c r="AM28" s="147"/>
      <c r="AN28" s="228"/>
      <c r="AO28" s="229"/>
      <c r="AP28" s="229"/>
      <c r="AQ28" s="229"/>
      <c r="AR28" s="229"/>
      <c r="AS28" s="229"/>
      <c r="AT28" s="23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143"/>
      <c r="V29" s="144"/>
      <c r="W29" s="144"/>
      <c r="X29" s="144"/>
      <c r="Y29" s="145"/>
      <c r="Z29" s="145"/>
      <c r="AA29" s="146"/>
      <c r="AB29" s="221"/>
      <c r="AC29" s="222"/>
      <c r="AD29" s="222"/>
      <c r="AE29" s="222"/>
      <c r="AF29" s="223"/>
      <c r="AG29" s="221">
        <f t="shared" si="0"/>
        <v>0</v>
      </c>
      <c r="AH29" s="222"/>
      <c r="AI29" s="222"/>
      <c r="AJ29" s="222"/>
      <c r="AK29" s="222"/>
      <c r="AL29" s="222"/>
      <c r="AM29" s="223"/>
      <c r="AN29" s="228"/>
      <c r="AO29" s="229"/>
      <c r="AP29" s="229"/>
      <c r="AQ29" s="229"/>
      <c r="AR29" s="229"/>
      <c r="AS29" s="229"/>
      <c r="AT29" s="23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17" t="s">
        <v>43</v>
      </c>
      <c r="V30" s="118"/>
      <c r="W30" s="118"/>
      <c r="X30" s="118"/>
      <c r="Y30" s="118"/>
      <c r="Z30" s="118"/>
      <c r="AA30" s="11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92" t="s">
        <v>42</v>
      </c>
      <c r="CJ119" s="92"/>
      <c r="CK119" s="92"/>
      <c r="CL119" s="92"/>
      <c r="CM119" s="213" t="str">
        <f>見積書A4!CM119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92" t="s">
        <v>73</v>
      </c>
      <c r="CJ120" s="92"/>
      <c r="CK120" s="92"/>
      <c r="CL120" s="92"/>
      <c r="CM120" s="213">
        <f>見積書A4!CM120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30">
        <f>見積書A4!P177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2024-10-29T09:38:06Z</cp:lastPrinted>
  <dcterms:created xsi:type="dcterms:W3CDTF">2001-10-18T00:35:45Z</dcterms:created>
  <dcterms:modified xsi:type="dcterms:W3CDTF">2025-07-16T00:29:38Z</dcterms:modified>
</cp:coreProperties>
</file>