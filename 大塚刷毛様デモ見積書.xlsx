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3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drawings/drawing4.xml" ContentType="application/vnd.openxmlformats-officedocument.drawing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drawings/drawing5.xml" ContentType="application/vnd.openxmlformats-officedocument.drawing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drawings/drawing6.xml" ContentType="application/vnd.openxmlformats-officedocument.drawing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drawings/drawing7.xml" ContentType="application/vnd.openxmlformats-officedocument.drawing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drawings/drawing8.xml" ContentType="application/vnd.openxmlformats-officedocument.drawing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drawings/drawing9.xml" ContentType="application/vnd.openxmlformats-officedocument.drawing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drawings/drawing10.xml" ContentType="application/vnd.openxmlformats-officedocument.drawing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drawings/drawing11.xml" ContentType="application/vnd.openxmlformats-officedocument.drawing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drawings/drawing12.xml" ContentType="application/vnd.openxmlformats-officedocument.drawing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DS218J\homes\EIJI2023\1サンマックス発行書類\1代理店\1大塚刷毛\見積書\"/>
    </mc:Choice>
  </mc:AlternateContent>
  <xr:revisionPtr revIDLastSave="0" documentId="13_ncr:1_{F91CF7D1-E0FB-4798-B689-BCE805A96137}" xr6:coauthVersionLast="47" xr6:coauthVersionMax="47" xr10:uidLastSave="{00000000-0000-0000-0000-000000000000}"/>
  <bookViews>
    <workbookView xWindow="21765" yWindow="0" windowWidth="19425" windowHeight="20325" tabRatio="657" firstSheet="2" activeTab="4" xr2:uid="{00000000-000D-0000-FFFF-FFFF00000000}"/>
  </bookViews>
  <sheets>
    <sheet name="出張デモ1" sheetId="1" r:id="rId1"/>
    <sheet name="出張デモ2" sheetId="6" r:id="rId2"/>
    <sheet name="広島大阪" sheetId="10" r:id="rId3"/>
    <sheet name="岩手" sheetId="7" r:id="rId4"/>
    <sheet name="岩手盛岡市" sheetId="17" r:id="rId5"/>
    <sheet name="金沢" sheetId="8" r:id="rId6"/>
    <sheet name="高崎" sheetId="9" r:id="rId7"/>
    <sheet name="軽井沢" sheetId="12" r:id="rId8"/>
    <sheet name="茨城" sheetId="13" r:id="rId9"/>
    <sheet name="福島県郡山市" sheetId="15" r:id="rId10"/>
    <sheet name="安全教育" sheetId="11" r:id="rId11"/>
    <sheet name="発電機" sheetId="16" r:id="rId12"/>
  </sheets>
  <definedNames>
    <definedName name="_xlnm.Print_Area" localSheetId="10">安全教育!$B$2:$AT$42</definedName>
    <definedName name="_xlnm.Print_Area" localSheetId="8">茨城!$B$2:$AT$42</definedName>
    <definedName name="_xlnm.Print_Area" localSheetId="3">岩手!$B$2:$AT$42</definedName>
    <definedName name="_xlnm.Print_Area" localSheetId="4">岩手盛岡市!$B$2:$AT$42</definedName>
    <definedName name="_xlnm.Print_Area" localSheetId="5">金沢!$B$2:$AT$42</definedName>
    <definedName name="_xlnm.Print_Area" localSheetId="7">軽井沢!$B$2:$AT$42</definedName>
    <definedName name="_xlnm.Print_Area" localSheetId="2">広島大阪!$B$2:$AT$42</definedName>
    <definedName name="_xlnm.Print_Area" localSheetId="6">高崎!$B$2:$AT$42</definedName>
    <definedName name="_xlnm.Print_Area" localSheetId="0">出張デモ1!$B$2:$AT$42</definedName>
    <definedName name="_xlnm.Print_Area" localSheetId="1">出張デモ2!$B$2:$AT$42</definedName>
    <definedName name="_xlnm.Print_Area" localSheetId="11">発電機!$B$2:$AT$42</definedName>
    <definedName name="_xlnm.Print_Area" localSheetId="9">福島県郡山市!$B$2:$AT$42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I181" i="17" l="1"/>
  <c r="FH181" i="17"/>
  <c r="FG181" i="17"/>
  <c r="FF181" i="17"/>
  <c r="FE181" i="17"/>
  <c r="FD181" i="17"/>
  <c r="FI180" i="17"/>
  <c r="FH180" i="17"/>
  <c r="FG180" i="17"/>
  <c r="FF180" i="17"/>
  <c r="FE180" i="17"/>
  <c r="FD180" i="17"/>
  <c r="FI179" i="17"/>
  <c r="FH179" i="17"/>
  <c r="FG179" i="17"/>
  <c r="FF179" i="17"/>
  <c r="FE179" i="17"/>
  <c r="FD179" i="17"/>
  <c r="FI178" i="17"/>
  <c r="FH178" i="17"/>
  <c r="FG178" i="17"/>
  <c r="FF178" i="17"/>
  <c r="FE178" i="17"/>
  <c r="FD178" i="17"/>
  <c r="FI177" i="17"/>
  <c r="FH177" i="17"/>
  <c r="FG177" i="17"/>
  <c r="FF177" i="17"/>
  <c r="FE177" i="17"/>
  <c r="FD177" i="17"/>
  <c r="FI176" i="17"/>
  <c r="FH176" i="17"/>
  <c r="FG176" i="17"/>
  <c r="FF176" i="17"/>
  <c r="FE176" i="17"/>
  <c r="FD176" i="17"/>
  <c r="FI175" i="17"/>
  <c r="FH175" i="17"/>
  <c r="FG175" i="17"/>
  <c r="FF175" i="17"/>
  <c r="FE175" i="17"/>
  <c r="FD175" i="17"/>
  <c r="FI174" i="17"/>
  <c r="FH174" i="17"/>
  <c r="FG174" i="17"/>
  <c r="FF174" i="17"/>
  <c r="FE174" i="17"/>
  <c r="FD174" i="17"/>
  <c r="FI173" i="17"/>
  <c r="FH173" i="17"/>
  <c r="FG173" i="17"/>
  <c r="FF173" i="17"/>
  <c r="FE173" i="17"/>
  <c r="FD173" i="17"/>
  <c r="FI172" i="17"/>
  <c r="FH172" i="17"/>
  <c r="FG172" i="17"/>
  <c r="FF172" i="17"/>
  <c r="FE172" i="17"/>
  <c r="FD172" i="17"/>
  <c r="FI171" i="17"/>
  <c r="FH171" i="17"/>
  <c r="FG171" i="17"/>
  <c r="FF171" i="17"/>
  <c r="FE171" i="17"/>
  <c r="FD171" i="17"/>
  <c r="FI170" i="17"/>
  <c r="FH170" i="17"/>
  <c r="FG170" i="17"/>
  <c r="FF170" i="17"/>
  <c r="FE170" i="17"/>
  <c r="FD170" i="17"/>
  <c r="FI169" i="17"/>
  <c r="FH169" i="17"/>
  <c r="FG169" i="17"/>
  <c r="FF169" i="17"/>
  <c r="FE169" i="17"/>
  <c r="FD169" i="17"/>
  <c r="FI168" i="17"/>
  <c r="FH168" i="17"/>
  <c r="FG168" i="17"/>
  <c r="FF168" i="17"/>
  <c r="FE168" i="17"/>
  <c r="FD168" i="17"/>
  <c r="FI167" i="17"/>
  <c r="FH167" i="17"/>
  <c r="FG167" i="17"/>
  <c r="FF167" i="17"/>
  <c r="FE167" i="17"/>
  <c r="FD167" i="17"/>
  <c r="FI166" i="17"/>
  <c r="FH166" i="17"/>
  <c r="FG166" i="17"/>
  <c r="FF166" i="17"/>
  <c r="FE166" i="17"/>
  <c r="FD166" i="17"/>
  <c r="FI165" i="17"/>
  <c r="FH165" i="17"/>
  <c r="FG165" i="17"/>
  <c r="FF165" i="17"/>
  <c r="FE165" i="17"/>
  <c r="FD165" i="17"/>
  <c r="FI164" i="17"/>
  <c r="FH164" i="17"/>
  <c r="FG164" i="17"/>
  <c r="FF164" i="17"/>
  <c r="FE164" i="17"/>
  <c r="FD164" i="17"/>
  <c r="FI163" i="17"/>
  <c r="FH163" i="17"/>
  <c r="FG163" i="17"/>
  <c r="FF163" i="17"/>
  <c r="FE163" i="17"/>
  <c r="FD163" i="17"/>
  <c r="FI162" i="17"/>
  <c r="FH162" i="17"/>
  <c r="FG162" i="17"/>
  <c r="FF162" i="17"/>
  <c r="FE162" i="17"/>
  <c r="FD162" i="17"/>
  <c r="FI161" i="17"/>
  <c r="FH161" i="17"/>
  <c r="FG161" i="17"/>
  <c r="FF161" i="17"/>
  <c r="FE161" i="17"/>
  <c r="FD161" i="17"/>
  <c r="FI160" i="17"/>
  <c r="FH160" i="17"/>
  <c r="FG160" i="17"/>
  <c r="FF160" i="17"/>
  <c r="FE160" i="17"/>
  <c r="FD160" i="17"/>
  <c r="FI159" i="17"/>
  <c r="FH159" i="17"/>
  <c r="FG159" i="17"/>
  <c r="FF159" i="17"/>
  <c r="FE159" i="17"/>
  <c r="FD159" i="17"/>
  <c r="FI158" i="17"/>
  <c r="FH158" i="17"/>
  <c r="FG158" i="17"/>
  <c r="FF158" i="17"/>
  <c r="FE158" i="17"/>
  <c r="FD158" i="17"/>
  <c r="FI157" i="17"/>
  <c r="FH157" i="17"/>
  <c r="FG157" i="17"/>
  <c r="FF157" i="17"/>
  <c r="FE157" i="17"/>
  <c r="FD157" i="17"/>
  <c r="FI156" i="17"/>
  <c r="FH156" i="17"/>
  <c r="FG156" i="17"/>
  <c r="FF156" i="17"/>
  <c r="FE156" i="17"/>
  <c r="FD156" i="17"/>
  <c r="FI155" i="17"/>
  <c r="FH155" i="17"/>
  <c r="FG155" i="17"/>
  <c r="FF155" i="17"/>
  <c r="FE155" i="17"/>
  <c r="FD155" i="17"/>
  <c r="FI154" i="17"/>
  <c r="FH154" i="17"/>
  <c r="FG154" i="17"/>
  <c r="FF154" i="17"/>
  <c r="FE154" i="17"/>
  <c r="FD154" i="17"/>
  <c r="FI153" i="17"/>
  <c r="FH153" i="17"/>
  <c r="FG153" i="17"/>
  <c r="FF153" i="17"/>
  <c r="FE153" i="17"/>
  <c r="FD153" i="17"/>
  <c r="FI152" i="17"/>
  <c r="FH152" i="17"/>
  <c r="FG152" i="17"/>
  <c r="FF152" i="17"/>
  <c r="FE152" i="17"/>
  <c r="FD152" i="17"/>
  <c r="FI151" i="17"/>
  <c r="FH151" i="17"/>
  <c r="FG151" i="17"/>
  <c r="FF151" i="17"/>
  <c r="FE151" i="17"/>
  <c r="FD151" i="17"/>
  <c r="FI150" i="17"/>
  <c r="FH150" i="17"/>
  <c r="FG150" i="17"/>
  <c r="FF150" i="17"/>
  <c r="FE150" i="17"/>
  <c r="FD150" i="17"/>
  <c r="FI149" i="17"/>
  <c r="FH149" i="17"/>
  <c r="FG149" i="17"/>
  <c r="FF149" i="17"/>
  <c r="FE149" i="17"/>
  <c r="FD149" i="17"/>
  <c r="FI148" i="17"/>
  <c r="FH148" i="17"/>
  <c r="FG148" i="17"/>
  <c r="FF148" i="17"/>
  <c r="FE148" i="17"/>
  <c r="FD148" i="17"/>
  <c r="FI147" i="17"/>
  <c r="FH147" i="17"/>
  <c r="FG147" i="17"/>
  <c r="FF147" i="17"/>
  <c r="FE147" i="17"/>
  <c r="FD147" i="17"/>
  <c r="FI146" i="17"/>
  <c r="FH146" i="17"/>
  <c r="FG146" i="17"/>
  <c r="FF146" i="17"/>
  <c r="FE146" i="17"/>
  <c r="FD146" i="17"/>
  <c r="FI145" i="17"/>
  <c r="FH145" i="17"/>
  <c r="FG145" i="17"/>
  <c r="FF145" i="17"/>
  <c r="FE145" i="17"/>
  <c r="FD145" i="17"/>
  <c r="FI144" i="17"/>
  <c r="FH144" i="17"/>
  <c r="FG144" i="17"/>
  <c r="FF144" i="17"/>
  <c r="FE144" i="17"/>
  <c r="FD144" i="17"/>
  <c r="FI143" i="17"/>
  <c r="FH143" i="17"/>
  <c r="FG143" i="17"/>
  <c r="FF143" i="17"/>
  <c r="FE143" i="17"/>
  <c r="FD143" i="17"/>
  <c r="FI142" i="17"/>
  <c r="FH142" i="17"/>
  <c r="FG142" i="17"/>
  <c r="FF142" i="17"/>
  <c r="FE142" i="17"/>
  <c r="FD142" i="17"/>
  <c r="FI141" i="17"/>
  <c r="FH141" i="17"/>
  <c r="FG141" i="17"/>
  <c r="FF141" i="17"/>
  <c r="FE141" i="17"/>
  <c r="FD141" i="17"/>
  <c r="FI140" i="17"/>
  <c r="FH140" i="17"/>
  <c r="FG140" i="17"/>
  <c r="FF140" i="17"/>
  <c r="FE140" i="17"/>
  <c r="FD140" i="17"/>
  <c r="FI139" i="17"/>
  <c r="FH139" i="17"/>
  <c r="FG139" i="17"/>
  <c r="FF139" i="17"/>
  <c r="FE139" i="17"/>
  <c r="FD139" i="17"/>
  <c r="FI138" i="17"/>
  <c r="FH138" i="17"/>
  <c r="FG138" i="17"/>
  <c r="FF138" i="17"/>
  <c r="FE138" i="17"/>
  <c r="FD138" i="17"/>
  <c r="FI137" i="17"/>
  <c r="FH137" i="17"/>
  <c r="FG137" i="17"/>
  <c r="FF137" i="17"/>
  <c r="FE137" i="17"/>
  <c r="FD137" i="17"/>
  <c r="FI136" i="17"/>
  <c r="FH136" i="17"/>
  <c r="FG136" i="17"/>
  <c r="FF136" i="17"/>
  <c r="FE136" i="17"/>
  <c r="FD136" i="17"/>
  <c r="FI135" i="17"/>
  <c r="FH135" i="17"/>
  <c r="FG135" i="17"/>
  <c r="FF135" i="17"/>
  <c r="FE135" i="17"/>
  <c r="FD135" i="17"/>
  <c r="FI134" i="17"/>
  <c r="FH134" i="17"/>
  <c r="FG134" i="17"/>
  <c r="FF134" i="17"/>
  <c r="FE134" i="17"/>
  <c r="FD134" i="17"/>
  <c r="FI133" i="17"/>
  <c r="FH133" i="17"/>
  <c r="FG133" i="17"/>
  <c r="FF133" i="17"/>
  <c r="FE133" i="17"/>
  <c r="FD133" i="17"/>
  <c r="FI132" i="17"/>
  <c r="FH132" i="17"/>
  <c r="FG132" i="17"/>
  <c r="FF132" i="17"/>
  <c r="FE132" i="17"/>
  <c r="FD132" i="17"/>
  <c r="FI131" i="17"/>
  <c r="FH131" i="17"/>
  <c r="FG131" i="17"/>
  <c r="FF131" i="17"/>
  <c r="FE131" i="17"/>
  <c r="FD131" i="17"/>
  <c r="FI130" i="17"/>
  <c r="FH130" i="17"/>
  <c r="FG130" i="17"/>
  <c r="FF130" i="17"/>
  <c r="FE130" i="17"/>
  <c r="FD130" i="17"/>
  <c r="FI129" i="17"/>
  <c r="FH129" i="17"/>
  <c r="FG129" i="17"/>
  <c r="FF129" i="17"/>
  <c r="FE129" i="17"/>
  <c r="FD129" i="17"/>
  <c r="FI128" i="17"/>
  <c r="FH128" i="17"/>
  <c r="FG128" i="17"/>
  <c r="FF128" i="17"/>
  <c r="FE128" i="17"/>
  <c r="FD128" i="17"/>
  <c r="FI127" i="17"/>
  <c r="FH127" i="17"/>
  <c r="FG127" i="17"/>
  <c r="FF127" i="17"/>
  <c r="FE127" i="17"/>
  <c r="FD127" i="17"/>
  <c r="FI126" i="17"/>
  <c r="FH126" i="17"/>
  <c r="FG126" i="17"/>
  <c r="FF126" i="17"/>
  <c r="FE126" i="17"/>
  <c r="FD126" i="17"/>
  <c r="FI125" i="17"/>
  <c r="FH125" i="17"/>
  <c r="FG125" i="17"/>
  <c r="FF125" i="17"/>
  <c r="FE125" i="17"/>
  <c r="FD125" i="17"/>
  <c r="FI124" i="17"/>
  <c r="FH124" i="17"/>
  <c r="FG124" i="17"/>
  <c r="FF124" i="17"/>
  <c r="FE124" i="17"/>
  <c r="FD124" i="17"/>
  <c r="FI123" i="17"/>
  <c r="FH123" i="17"/>
  <c r="FG123" i="17"/>
  <c r="FF123" i="17"/>
  <c r="FE123" i="17"/>
  <c r="FD123" i="17"/>
  <c r="FI122" i="17"/>
  <c r="FH122" i="17"/>
  <c r="FG122" i="17"/>
  <c r="FF122" i="17"/>
  <c r="FE122" i="17"/>
  <c r="FD122" i="17"/>
  <c r="FI121" i="17"/>
  <c r="FH121" i="17"/>
  <c r="FG121" i="17"/>
  <c r="FF121" i="17"/>
  <c r="FE121" i="17"/>
  <c r="FD121" i="17"/>
  <c r="FI120" i="17"/>
  <c r="FH120" i="17"/>
  <c r="FG120" i="17"/>
  <c r="FF120" i="17"/>
  <c r="FE120" i="17"/>
  <c r="FD120" i="17"/>
  <c r="FI119" i="17"/>
  <c r="FH119" i="17"/>
  <c r="FG119" i="17"/>
  <c r="FF119" i="17"/>
  <c r="FE119" i="17"/>
  <c r="FD119" i="17"/>
  <c r="FI118" i="17"/>
  <c r="FH118" i="17"/>
  <c r="FG118" i="17"/>
  <c r="FF118" i="17"/>
  <c r="FE118" i="17"/>
  <c r="FD118" i="17"/>
  <c r="FI117" i="17"/>
  <c r="FH117" i="17"/>
  <c r="FG117" i="17"/>
  <c r="FF117" i="17"/>
  <c r="FE117" i="17"/>
  <c r="FD117" i="17"/>
  <c r="FI116" i="17"/>
  <c r="FH116" i="17"/>
  <c r="FG116" i="17"/>
  <c r="FF116" i="17"/>
  <c r="FE116" i="17"/>
  <c r="FD116" i="17"/>
  <c r="FI115" i="17"/>
  <c r="FH115" i="17"/>
  <c r="FG115" i="17"/>
  <c r="FF115" i="17"/>
  <c r="FE115" i="17"/>
  <c r="FD115" i="17"/>
  <c r="FI114" i="17"/>
  <c r="FH114" i="17"/>
  <c r="FG114" i="17"/>
  <c r="FF114" i="17"/>
  <c r="FE114" i="17"/>
  <c r="FD114" i="17"/>
  <c r="FI113" i="17"/>
  <c r="FH113" i="17"/>
  <c r="FG113" i="17"/>
  <c r="FF113" i="17"/>
  <c r="FE113" i="17"/>
  <c r="FD113" i="17"/>
  <c r="FI112" i="17"/>
  <c r="FG112" i="17"/>
  <c r="FF112" i="17"/>
  <c r="FE112" i="17"/>
  <c r="FD112" i="17"/>
  <c r="FI111" i="17"/>
  <c r="FG111" i="17"/>
  <c r="FF111" i="17"/>
  <c r="FE111" i="17"/>
  <c r="FD111" i="17"/>
  <c r="FI110" i="17"/>
  <c r="FG110" i="17"/>
  <c r="FF110" i="17"/>
  <c r="FE110" i="17"/>
  <c r="FD110" i="17"/>
  <c r="FI109" i="17"/>
  <c r="FH109" i="17"/>
  <c r="FG109" i="17"/>
  <c r="FF109" i="17"/>
  <c r="FE109" i="17"/>
  <c r="FD109" i="17"/>
  <c r="FI108" i="17"/>
  <c r="FG108" i="17"/>
  <c r="FF108" i="17"/>
  <c r="FE108" i="17"/>
  <c r="FD108" i="17"/>
  <c r="FI107" i="17"/>
  <c r="FG107" i="17"/>
  <c r="FF107" i="17"/>
  <c r="FE107" i="17"/>
  <c r="FD107" i="17"/>
  <c r="CK107" i="17"/>
  <c r="FI106" i="17"/>
  <c r="FH106" i="17"/>
  <c r="FG106" i="17"/>
  <c r="FF106" i="17"/>
  <c r="FE106" i="17"/>
  <c r="FD106" i="17"/>
  <c r="CK106" i="17"/>
  <c r="FI105" i="17"/>
  <c r="FG105" i="17"/>
  <c r="FF105" i="17"/>
  <c r="FE105" i="17"/>
  <c r="FD105" i="17"/>
  <c r="CK105" i="17"/>
  <c r="CE105" i="17"/>
  <c r="FI104" i="17"/>
  <c r="FG104" i="17"/>
  <c r="FF104" i="17"/>
  <c r="FE104" i="17"/>
  <c r="FD104" i="17"/>
  <c r="FI103" i="17"/>
  <c r="FG103" i="17"/>
  <c r="FF103" i="17"/>
  <c r="FE103" i="17"/>
  <c r="FD103" i="17"/>
  <c r="FI102" i="17"/>
  <c r="FG102" i="17"/>
  <c r="FF102" i="17"/>
  <c r="FE102" i="17"/>
  <c r="FD102" i="17"/>
  <c r="FI101" i="17"/>
  <c r="FG101" i="17"/>
  <c r="FF101" i="17"/>
  <c r="FE101" i="17"/>
  <c r="FD101" i="17"/>
  <c r="AF37" i="17"/>
  <c r="FH112" i="17" s="1"/>
  <c r="AF36" i="17"/>
  <c r="FH111" i="17" s="1"/>
  <c r="AF35" i="17"/>
  <c r="FH110" i="17" s="1"/>
  <c r="AF34" i="17"/>
  <c r="AF33" i="17"/>
  <c r="FH108" i="17" s="1"/>
  <c r="AF32" i="17"/>
  <c r="FH107" i="17" s="1"/>
  <c r="AF31" i="17"/>
  <c r="AF30" i="17"/>
  <c r="FH105" i="17" s="1"/>
  <c r="AF29" i="17"/>
  <c r="FH104" i="17" s="1"/>
  <c r="AF28" i="17"/>
  <c r="AA38" i="17" s="1"/>
  <c r="AF27" i="17"/>
  <c r="FH102" i="17" s="1"/>
  <c r="AF26" i="17"/>
  <c r="FH101" i="17" s="1"/>
  <c r="FI181" i="16"/>
  <c r="FH181" i="16"/>
  <c r="FG181" i="16"/>
  <c r="FF181" i="16"/>
  <c r="FE181" i="16"/>
  <c r="FD181" i="16"/>
  <c r="FI180" i="16"/>
  <c r="FH180" i="16"/>
  <c r="FG180" i="16"/>
  <c r="FF180" i="16"/>
  <c r="FE180" i="16"/>
  <c r="FD180" i="16"/>
  <c r="FI179" i="16"/>
  <c r="FH179" i="16"/>
  <c r="FG179" i="16"/>
  <c r="FF179" i="16"/>
  <c r="FE179" i="16"/>
  <c r="FD179" i="16"/>
  <c r="FI178" i="16"/>
  <c r="FH178" i="16"/>
  <c r="FG178" i="16"/>
  <c r="FF178" i="16"/>
  <c r="FE178" i="16"/>
  <c r="FD178" i="16"/>
  <c r="FI177" i="16"/>
  <c r="FH177" i="16"/>
  <c r="FG177" i="16"/>
  <c r="FF177" i="16"/>
  <c r="FE177" i="16"/>
  <c r="FD177" i="16"/>
  <c r="FI176" i="16"/>
  <c r="FH176" i="16"/>
  <c r="FG176" i="16"/>
  <c r="FF176" i="16"/>
  <c r="FE176" i="16"/>
  <c r="FD176" i="16"/>
  <c r="FI175" i="16"/>
  <c r="FH175" i="16"/>
  <c r="FG175" i="16"/>
  <c r="FF175" i="16"/>
  <c r="FE175" i="16"/>
  <c r="FD175" i="16"/>
  <c r="FI174" i="16"/>
  <c r="FH174" i="16"/>
  <c r="FG174" i="16"/>
  <c r="FF174" i="16"/>
  <c r="FE174" i="16"/>
  <c r="FD174" i="16"/>
  <c r="FI173" i="16"/>
  <c r="FH173" i="16"/>
  <c r="FG173" i="16"/>
  <c r="FF173" i="16"/>
  <c r="FE173" i="16"/>
  <c r="FD173" i="16"/>
  <c r="FI172" i="16"/>
  <c r="FH172" i="16"/>
  <c r="FG172" i="16"/>
  <c r="FF172" i="16"/>
  <c r="FE172" i="16"/>
  <c r="FD172" i="16"/>
  <c r="FI171" i="16"/>
  <c r="FH171" i="16"/>
  <c r="FG171" i="16"/>
  <c r="FF171" i="16"/>
  <c r="FE171" i="16"/>
  <c r="FD171" i="16"/>
  <c r="FI170" i="16"/>
  <c r="FH170" i="16"/>
  <c r="FG170" i="16"/>
  <c r="FF170" i="16"/>
  <c r="FE170" i="16"/>
  <c r="FD170" i="16"/>
  <c r="FI169" i="16"/>
  <c r="FH169" i="16"/>
  <c r="FG169" i="16"/>
  <c r="FF169" i="16"/>
  <c r="FE169" i="16"/>
  <c r="FD169" i="16"/>
  <c r="FI168" i="16"/>
  <c r="FH168" i="16"/>
  <c r="FG168" i="16"/>
  <c r="FF168" i="16"/>
  <c r="FE168" i="16"/>
  <c r="FD168" i="16"/>
  <c r="FI167" i="16"/>
  <c r="FH167" i="16"/>
  <c r="FG167" i="16"/>
  <c r="FF167" i="16"/>
  <c r="FE167" i="16"/>
  <c r="FD167" i="16"/>
  <c r="FI166" i="16"/>
  <c r="FH166" i="16"/>
  <c r="FG166" i="16"/>
  <c r="FF166" i="16"/>
  <c r="FE166" i="16"/>
  <c r="FD166" i="16"/>
  <c r="FI165" i="16"/>
  <c r="FH165" i="16"/>
  <c r="FG165" i="16"/>
  <c r="FF165" i="16"/>
  <c r="FE165" i="16"/>
  <c r="FD165" i="16"/>
  <c r="FI164" i="16"/>
  <c r="FH164" i="16"/>
  <c r="FG164" i="16"/>
  <c r="FF164" i="16"/>
  <c r="FE164" i="16"/>
  <c r="FD164" i="16"/>
  <c r="FI163" i="16"/>
  <c r="FH163" i="16"/>
  <c r="FG163" i="16"/>
  <c r="FF163" i="16"/>
  <c r="FE163" i="16"/>
  <c r="FD163" i="16"/>
  <c r="FI162" i="16"/>
  <c r="FH162" i="16"/>
  <c r="FG162" i="16"/>
  <c r="FF162" i="16"/>
  <c r="FE162" i="16"/>
  <c r="FD162" i="16"/>
  <c r="FI161" i="16"/>
  <c r="FH161" i="16"/>
  <c r="FG161" i="16"/>
  <c r="FF161" i="16"/>
  <c r="FE161" i="16"/>
  <c r="FD161" i="16"/>
  <c r="FI160" i="16"/>
  <c r="FH160" i="16"/>
  <c r="FG160" i="16"/>
  <c r="FF160" i="16"/>
  <c r="FE160" i="16"/>
  <c r="FD160" i="16"/>
  <c r="FI159" i="16"/>
  <c r="FH159" i="16"/>
  <c r="FG159" i="16"/>
  <c r="FF159" i="16"/>
  <c r="FE159" i="16"/>
  <c r="FD159" i="16"/>
  <c r="FI158" i="16"/>
  <c r="FH158" i="16"/>
  <c r="FG158" i="16"/>
  <c r="FF158" i="16"/>
  <c r="FE158" i="16"/>
  <c r="FD158" i="16"/>
  <c r="FI157" i="16"/>
  <c r="FH157" i="16"/>
  <c r="FG157" i="16"/>
  <c r="FF157" i="16"/>
  <c r="FE157" i="16"/>
  <c r="FD157" i="16"/>
  <c r="FI156" i="16"/>
  <c r="FH156" i="16"/>
  <c r="FG156" i="16"/>
  <c r="FF156" i="16"/>
  <c r="FE156" i="16"/>
  <c r="FD156" i="16"/>
  <c r="FI155" i="16"/>
  <c r="FH155" i="16"/>
  <c r="FG155" i="16"/>
  <c r="FF155" i="16"/>
  <c r="FE155" i="16"/>
  <c r="FD155" i="16"/>
  <c r="FI154" i="16"/>
  <c r="FH154" i="16"/>
  <c r="FG154" i="16"/>
  <c r="FF154" i="16"/>
  <c r="FE154" i="16"/>
  <c r="FD154" i="16"/>
  <c r="FI153" i="16"/>
  <c r="FH153" i="16"/>
  <c r="FG153" i="16"/>
  <c r="FF153" i="16"/>
  <c r="FE153" i="16"/>
  <c r="FD153" i="16"/>
  <c r="FI152" i="16"/>
  <c r="FH152" i="16"/>
  <c r="FG152" i="16"/>
  <c r="FF152" i="16"/>
  <c r="FE152" i="16"/>
  <c r="FD152" i="16"/>
  <c r="FI151" i="16"/>
  <c r="FH151" i="16"/>
  <c r="FG151" i="16"/>
  <c r="FF151" i="16"/>
  <c r="FE151" i="16"/>
  <c r="FD151" i="16"/>
  <c r="FI150" i="16"/>
  <c r="FH150" i="16"/>
  <c r="FG150" i="16"/>
  <c r="FF150" i="16"/>
  <c r="FE150" i="16"/>
  <c r="FD150" i="16"/>
  <c r="FI149" i="16"/>
  <c r="FH149" i="16"/>
  <c r="FG149" i="16"/>
  <c r="FF149" i="16"/>
  <c r="FE149" i="16"/>
  <c r="FD149" i="16"/>
  <c r="FI148" i="16"/>
  <c r="FH148" i="16"/>
  <c r="FG148" i="16"/>
  <c r="FF148" i="16"/>
  <c r="FE148" i="16"/>
  <c r="FD148" i="16"/>
  <c r="FI147" i="16"/>
  <c r="FH147" i="16"/>
  <c r="FG147" i="16"/>
  <c r="FF147" i="16"/>
  <c r="FE147" i="16"/>
  <c r="FD147" i="16"/>
  <c r="FI146" i="16"/>
  <c r="FH146" i="16"/>
  <c r="FG146" i="16"/>
  <c r="FF146" i="16"/>
  <c r="FE146" i="16"/>
  <c r="FD146" i="16"/>
  <c r="FI145" i="16"/>
  <c r="FH145" i="16"/>
  <c r="FG145" i="16"/>
  <c r="FF145" i="16"/>
  <c r="FE145" i="16"/>
  <c r="FD145" i="16"/>
  <c r="FI144" i="16"/>
  <c r="FH144" i="16"/>
  <c r="FG144" i="16"/>
  <c r="FF144" i="16"/>
  <c r="FE144" i="16"/>
  <c r="FD144" i="16"/>
  <c r="FI143" i="16"/>
  <c r="FH143" i="16"/>
  <c r="FG143" i="16"/>
  <c r="FF143" i="16"/>
  <c r="FE143" i="16"/>
  <c r="FD143" i="16"/>
  <c r="FI142" i="16"/>
  <c r="FH142" i="16"/>
  <c r="FG142" i="16"/>
  <c r="FF142" i="16"/>
  <c r="FE142" i="16"/>
  <c r="FD142" i="16"/>
  <c r="FI141" i="16"/>
  <c r="FH141" i="16"/>
  <c r="FG141" i="16"/>
  <c r="FF141" i="16"/>
  <c r="FE141" i="16"/>
  <c r="FD141" i="16"/>
  <c r="FI140" i="16"/>
  <c r="FH140" i="16"/>
  <c r="FG140" i="16"/>
  <c r="FF140" i="16"/>
  <c r="FE140" i="16"/>
  <c r="FD140" i="16"/>
  <c r="FI139" i="16"/>
  <c r="FH139" i="16"/>
  <c r="FG139" i="16"/>
  <c r="FF139" i="16"/>
  <c r="FE139" i="16"/>
  <c r="FD139" i="16"/>
  <c r="FI138" i="16"/>
  <c r="FH138" i="16"/>
  <c r="FG138" i="16"/>
  <c r="FF138" i="16"/>
  <c r="FE138" i="16"/>
  <c r="FD138" i="16"/>
  <c r="FI137" i="16"/>
  <c r="FH137" i="16"/>
  <c r="FG137" i="16"/>
  <c r="FF137" i="16"/>
  <c r="FE137" i="16"/>
  <c r="FD137" i="16"/>
  <c r="FI136" i="16"/>
  <c r="FH136" i="16"/>
  <c r="FG136" i="16"/>
  <c r="FF136" i="16"/>
  <c r="FE136" i="16"/>
  <c r="FD136" i="16"/>
  <c r="FI135" i="16"/>
  <c r="FH135" i="16"/>
  <c r="FG135" i="16"/>
  <c r="FF135" i="16"/>
  <c r="FE135" i="16"/>
  <c r="FD135" i="16"/>
  <c r="FI134" i="16"/>
  <c r="FH134" i="16"/>
  <c r="FG134" i="16"/>
  <c r="FF134" i="16"/>
  <c r="FE134" i="16"/>
  <c r="FD134" i="16"/>
  <c r="FI133" i="16"/>
  <c r="FH133" i="16"/>
  <c r="FG133" i="16"/>
  <c r="FF133" i="16"/>
  <c r="FE133" i="16"/>
  <c r="FD133" i="16"/>
  <c r="FI132" i="16"/>
  <c r="FH132" i="16"/>
  <c r="FG132" i="16"/>
  <c r="FF132" i="16"/>
  <c r="FE132" i="16"/>
  <c r="FD132" i="16"/>
  <c r="FI131" i="16"/>
  <c r="FH131" i="16"/>
  <c r="FG131" i="16"/>
  <c r="FF131" i="16"/>
  <c r="FE131" i="16"/>
  <c r="FD131" i="16"/>
  <c r="FI130" i="16"/>
  <c r="FH130" i="16"/>
  <c r="FG130" i="16"/>
  <c r="FF130" i="16"/>
  <c r="FE130" i="16"/>
  <c r="FD130" i="16"/>
  <c r="FI129" i="16"/>
  <c r="FH129" i="16"/>
  <c r="FG129" i="16"/>
  <c r="FF129" i="16"/>
  <c r="FE129" i="16"/>
  <c r="FD129" i="16"/>
  <c r="FI128" i="16"/>
  <c r="FH128" i="16"/>
  <c r="FG128" i="16"/>
  <c r="FF128" i="16"/>
  <c r="FE128" i="16"/>
  <c r="FD128" i="16"/>
  <c r="FI127" i="16"/>
  <c r="FH127" i="16"/>
  <c r="FG127" i="16"/>
  <c r="FF127" i="16"/>
  <c r="FE127" i="16"/>
  <c r="FD127" i="16"/>
  <c r="FI126" i="16"/>
  <c r="FH126" i="16"/>
  <c r="FG126" i="16"/>
  <c r="FF126" i="16"/>
  <c r="FE126" i="16"/>
  <c r="FD126" i="16"/>
  <c r="FI125" i="16"/>
  <c r="FH125" i="16"/>
  <c r="FG125" i="16"/>
  <c r="FF125" i="16"/>
  <c r="FE125" i="16"/>
  <c r="FD125" i="16"/>
  <c r="FI124" i="16"/>
  <c r="FH124" i="16"/>
  <c r="FG124" i="16"/>
  <c r="FF124" i="16"/>
  <c r="FE124" i="16"/>
  <c r="FD124" i="16"/>
  <c r="FI123" i="16"/>
  <c r="FH123" i="16"/>
  <c r="FG123" i="16"/>
  <c r="FF123" i="16"/>
  <c r="FE123" i="16"/>
  <c r="FD123" i="16"/>
  <c r="FI122" i="16"/>
  <c r="FH122" i="16"/>
  <c r="FG122" i="16"/>
  <c r="FF122" i="16"/>
  <c r="FE122" i="16"/>
  <c r="FD122" i="16"/>
  <c r="FI121" i="16"/>
  <c r="FH121" i="16"/>
  <c r="FG121" i="16"/>
  <c r="FF121" i="16"/>
  <c r="FE121" i="16"/>
  <c r="FD121" i="16"/>
  <c r="FI120" i="16"/>
  <c r="FH120" i="16"/>
  <c r="FG120" i="16"/>
  <c r="FF120" i="16"/>
  <c r="FE120" i="16"/>
  <c r="FD120" i="16"/>
  <c r="FI119" i="16"/>
  <c r="FH119" i="16"/>
  <c r="FG119" i="16"/>
  <c r="FF119" i="16"/>
  <c r="FE119" i="16"/>
  <c r="FD119" i="16"/>
  <c r="FI118" i="16"/>
  <c r="FH118" i="16"/>
  <c r="FG118" i="16"/>
  <c r="FF118" i="16"/>
  <c r="FE118" i="16"/>
  <c r="FD118" i="16"/>
  <c r="FI117" i="16"/>
  <c r="FH117" i="16"/>
  <c r="FG117" i="16"/>
  <c r="FF117" i="16"/>
  <c r="FE117" i="16"/>
  <c r="FD117" i="16"/>
  <c r="FI116" i="16"/>
  <c r="FH116" i="16"/>
  <c r="FG116" i="16"/>
  <c r="FF116" i="16"/>
  <c r="FE116" i="16"/>
  <c r="FD116" i="16"/>
  <c r="FI115" i="16"/>
  <c r="FH115" i="16"/>
  <c r="FG115" i="16"/>
  <c r="FF115" i="16"/>
  <c r="FE115" i="16"/>
  <c r="FD115" i="16"/>
  <c r="FI114" i="16"/>
  <c r="FH114" i="16"/>
  <c r="FG114" i="16"/>
  <c r="FF114" i="16"/>
  <c r="FE114" i="16"/>
  <c r="FD114" i="16"/>
  <c r="FI113" i="16"/>
  <c r="FH113" i="16"/>
  <c r="FG113" i="16"/>
  <c r="FF113" i="16"/>
  <c r="FE113" i="16"/>
  <c r="FD113" i="16"/>
  <c r="FI112" i="16"/>
  <c r="FG112" i="16"/>
  <c r="FF112" i="16"/>
  <c r="FE112" i="16"/>
  <c r="FD112" i="16"/>
  <c r="FI111" i="16"/>
  <c r="FG111" i="16"/>
  <c r="FF111" i="16"/>
  <c r="FE111" i="16"/>
  <c r="FD111" i="16"/>
  <c r="FI110" i="16"/>
  <c r="FG110" i="16"/>
  <c r="FF110" i="16"/>
  <c r="FE110" i="16"/>
  <c r="FD110" i="16"/>
  <c r="FI109" i="16"/>
  <c r="FH109" i="16"/>
  <c r="FG109" i="16"/>
  <c r="FF109" i="16"/>
  <c r="FE109" i="16"/>
  <c r="FD109" i="16"/>
  <c r="FI108" i="16"/>
  <c r="FG108" i="16"/>
  <c r="FF108" i="16"/>
  <c r="FE108" i="16"/>
  <c r="FD108" i="16"/>
  <c r="FI107" i="16"/>
  <c r="FG107" i="16"/>
  <c r="FF107" i="16"/>
  <c r="FE107" i="16"/>
  <c r="FD107" i="16"/>
  <c r="CK107" i="16"/>
  <c r="FI106" i="16"/>
  <c r="FG106" i="16"/>
  <c r="FF106" i="16"/>
  <c r="FE106" i="16"/>
  <c r="FD106" i="16"/>
  <c r="CK106" i="16"/>
  <c r="FI105" i="16"/>
  <c r="FH105" i="16"/>
  <c r="FG105" i="16"/>
  <c r="FF105" i="16"/>
  <c r="FE105" i="16"/>
  <c r="FD105" i="16"/>
  <c r="CK105" i="16"/>
  <c r="CE105" i="16"/>
  <c r="FI104" i="16"/>
  <c r="FG104" i="16"/>
  <c r="FF104" i="16"/>
  <c r="FE104" i="16"/>
  <c r="FD104" i="16"/>
  <c r="FI103" i="16"/>
  <c r="FG103" i="16"/>
  <c r="FF103" i="16"/>
  <c r="FE103" i="16"/>
  <c r="FD103" i="16"/>
  <c r="FI102" i="16"/>
  <c r="FG102" i="16"/>
  <c r="FF102" i="16"/>
  <c r="FE102" i="16"/>
  <c r="FD102" i="16"/>
  <c r="FI101" i="16"/>
  <c r="FG101" i="16"/>
  <c r="FF101" i="16"/>
  <c r="FE101" i="16"/>
  <c r="FD101" i="16"/>
  <c r="AF37" i="16"/>
  <c r="FH112" i="16" s="1"/>
  <c r="AF36" i="16"/>
  <c r="FH111" i="16" s="1"/>
  <c r="AF35" i="16"/>
  <c r="FH110" i="16" s="1"/>
  <c r="AF34" i="16"/>
  <c r="AF33" i="16"/>
  <c r="FH108" i="16" s="1"/>
  <c r="AF32" i="16"/>
  <c r="FH107" i="16" s="1"/>
  <c r="AF31" i="16"/>
  <c r="FH106" i="16" s="1"/>
  <c r="AF30" i="16"/>
  <c r="AF29" i="16"/>
  <c r="FH104" i="16" s="1"/>
  <c r="AF28" i="16"/>
  <c r="FH103" i="16" s="1"/>
  <c r="AF27" i="16"/>
  <c r="AF26" i="16"/>
  <c r="FH101" i="16" s="1"/>
  <c r="FI181" i="15"/>
  <c r="FH181" i="15"/>
  <c r="FG181" i="15"/>
  <c r="FF181" i="15"/>
  <c r="FE181" i="15"/>
  <c r="FD181" i="15"/>
  <c r="FI180" i="15"/>
  <c r="FH180" i="15"/>
  <c r="FG180" i="15"/>
  <c r="FF180" i="15"/>
  <c r="FE180" i="15"/>
  <c r="FD180" i="15"/>
  <c r="FI179" i="15"/>
  <c r="FH179" i="15"/>
  <c r="FG179" i="15"/>
  <c r="FF179" i="15"/>
  <c r="FE179" i="15"/>
  <c r="FD179" i="15"/>
  <c r="FI178" i="15"/>
  <c r="FH178" i="15"/>
  <c r="FG178" i="15"/>
  <c r="FF178" i="15"/>
  <c r="FE178" i="15"/>
  <c r="FD178" i="15"/>
  <c r="FI177" i="15"/>
  <c r="FH177" i="15"/>
  <c r="FG177" i="15"/>
  <c r="FF177" i="15"/>
  <c r="FE177" i="15"/>
  <c r="FD177" i="15"/>
  <c r="FI176" i="15"/>
  <c r="FH176" i="15"/>
  <c r="FG176" i="15"/>
  <c r="FF176" i="15"/>
  <c r="FE176" i="15"/>
  <c r="FD176" i="15"/>
  <c r="FI175" i="15"/>
  <c r="FH175" i="15"/>
  <c r="FG175" i="15"/>
  <c r="FF175" i="15"/>
  <c r="FE175" i="15"/>
  <c r="FD175" i="15"/>
  <c r="FI174" i="15"/>
  <c r="FH174" i="15"/>
  <c r="FG174" i="15"/>
  <c r="FF174" i="15"/>
  <c r="FE174" i="15"/>
  <c r="FD174" i="15"/>
  <c r="FI173" i="15"/>
  <c r="FH173" i="15"/>
  <c r="FG173" i="15"/>
  <c r="FF173" i="15"/>
  <c r="FE173" i="15"/>
  <c r="FD173" i="15"/>
  <c r="FI172" i="15"/>
  <c r="FH172" i="15"/>
  <c r="FG172" i="15"/>
  <c r="FF172" i="15"/>
  <c r="FE172" i="15"/>
  <c r="FD172" i="15"/>
  <c r="FI171" i="15"/>
  <c r="FH171" i="15"/>
  <c r="FG171" i="15"/>
  <c r="FF171" i="15"/>
  <c r="FE171" i="15"/>
  <c r="FD171" i="15"/>
  <c r="FI170" i="15"/>
  <c r="FH170" i="15"/>
  <c r="FG170" i="15"/>
  <c r="FF170" i="15"/>
  <c r="FE170" i="15"/>
  <c r="FD170" i="15"/>
  <c r="FI169" i="15"/>
  <c r="FH169" i="15"/>
  <c r="FG169" i="15"/>
  <c r="FF169" i="15"/>
  <c r="FE169" i="15"/>
  <c r="FD169" i="15"/>
  <c r="FI168" i="15"/>
  <c r="FH168" i="15"/>
  <c r="FG168" i="15"/>
  <c r="FF168" i="15"/>
  <c r="FE168" i="15"/>
  <c r="FD168" i="15"/>
  <c r="FI167" i="15"/>
  <c r="FH167" i="15"/>
  <c r="FG167" i="15"/>
  <c r="FF167" i="15"/>
  <c r="FE167" i="15"/>
  <c r="FD167" i="15"/>
  <c r="FI166" i="15"/>
  <c r="FH166" i="15"/>
  <c r="FG166" i="15"/>
  <c r="FF166" i="15"/>
  <c r="FE166" i="15"/>
  <c r="FD166" i="15"/>
  <c r="FI165" i="15"/>
  <c r="FH165" i="15"/>
  <c r="FG165" i="15"/>
  <c r="FF165" i="15"/>
  <c r="FE165" i="15"/>
  <c r="FD165" i="15"/>
  <c r="FI164" i="15"/>
  <c r="FH164" i="15"/>
  <c r="FG164" i="15"/>
  <c r="FF164" i="15"/>
  <c r="FE164" i="15"/>
  <c r="FD164" i="15"/>
  <c r="FI163" i="15"/>
  <c r="FH163" i="15"/>
  <c r="FG163" i="15"/>
  <c r="FF163" i="15"/>
  <c r="FE163" i="15"/>
  <c r="FD163" i="15"/>
  <c r="FI162" i="15"/>
  <c r="FH162" i="15"/>
  <c r="FG162" i="15"/>
  <c r="FF162" i="15"/>
  <c r="FE162" i="15"/>
  <c r="FD162" i="15"/>
  <c r="FI161" i="15"/>
  <c r="FH161" i="15"/>
  <c r="FG161" i="15"/>
  <c r="FF161" i="15"/>
  <c r="FE161" i="15"/>
  <c r="FD161" i="15"/>
  <c r="FI160" i="15"/>
  <c r="FH160" i="15"/>
  <c r="FG160" i="15"/>
  <c r="FF160" i="15"/>
  <c r="FE160" i="15"/>
  <c r="FD160" i="15"/>
  <c r="FI159" i="15"/>
  <c r="FH159" i="15"/>
  <c r="FG159" i="15"/>
  <c r="FF159" i="15"/>
  <c r="FE159" i="15"/>
  <c r="FD159" i="15"/>
  <c r="FI158" i="15"/>
  <c r="FH158" i="15"/>
  <c r="FG158" i="15"/>
  <c r="FF158" i="15"/>
  <c r="FE158" i="15"/>
  <c r="FD158" i="15"/>
  <c r="FI157" i="15"/>
  <c r="FH157" i="15"/>
  <c r="FG157" i="15"/>
  <c r="FF157" i="15"/>
  <c r="FE157" i="15"/>
  <c r="FD157" i="15"/>
  <c r="FI156" i="15"/>
  <c r="FH156" i="15"/>
  <c r="FG156" i="15"/>
  <c r="FF156" i="15"/>
  <c r="FE156" i="15"/>
  <c r="FD156" i="15"/>
  <c r="FI155" i="15"/>
  <c r="FH155" i="15"/>
  <c r="FG155" i="15"/>
  <c r="FF155" i="15"/>
  <c r="FE155" i="15"/>
  <c r="FD155" i="15"/>
  <c r="FI154" i="15"/>
  <c r="FH154" i="15"/>
  <c r="FG154" i="15"/>
  <c r="FF154" i="15"/>
  <c r="FE154" i="15"/>
  <c r="FD154" i="15"/>
  <c r="FI153" i="15"/>
  <c r="FH153" i="15"/>
  <c r="FG153" i="15"/>
  <c r="FF153" i="15"/>
  <c r="FE153" i="15"/>
  <c r="FD153" i="15"/>
  <c r="FI152" i="15"/>
  <c r="FH152" i="15"/>
  <c r="FG152" i="15"/>
  <c r="FF152" i="15"/>
  <c r="FE152" i="15"/>
  <c r="FD152" i="15"/>
  <c r="FI151" i="15"/>
  <c r="FH151" i="15"/>
  <c r="FG151" i="15"/>
  <c r="FF151" i="15"/>
  <c r="FE151" i="15"/>
  <c r="FD151" i="15"/>
  <c r="FI150" i="15"/>
  <c r="FH150" i="15"/>
  <c r="FG150" i="15"/>
  <c r="FF150" i="15"/>
  <c r="FE150" i="15"/>
  <c r="FD150" i="15"/>
  <c r="FI149" i="15"/>
  <c r="FH149" i="15"/>
  <c r="FG149" i="15"/>
  <c r="FF149" i="15"/>
  <c r="FE149" i="15"/>
  <c r="FD149" i="15"/>
  <c r="FI148" i="15"/>
  <c r="FH148" i="15"/>
  <c r="FG148" i="15"/>
  <c r="FF148" i="15"/>
  <c r="FE148" i="15"/>
  <c r="FD148" i="15"/>
  <c r="FI147" i="15"/>
  <c r="FH147" i="15"/>
  <c r="FG147" i="15"/>
  <c r="FF147" i="15"/>
  <c r="FE147" i="15"/>
  <c r="FD147" i="15"/>
  <c r="FI146" i="15"/>
  <c r="FH146" i="15"/>
  <c r="FG146" i="15"/>
  <c r="FF146" i="15"/>
  <c r="FE146" i="15"/>
  <c r="FD146" i="15"/>
  <c r="FI145" i="15"/>
  <c r="FH145" i="15"/>
  <c r="FG145" i="15"/>
  <c r="FF145" i="15"/>
  <c r="FE145" i="15"/>
  <c r="FD145" i="15"/>
  <c r="FI144" i="15"/>
  <c r="FH144" i="15"/>
  <c r="FG144" i="15"/>
  <c r="FF144" i="15"/>
  <c r="FE144" i="15"/>
  <c r="FD144" i="15"/>
  <c r="FI143" i="15"/>
  <c r="FH143" i="15"/>
  <c r="FG143" i="15"/>
  <c r="FF143" i="15"/>
  <c r="FE143" i="15"/>
  <c r="FD143" i="15"/>
  <c r="FI142" i="15"/>
  <c r="FH142" i="15"/>
  <c r="FG142" i="15"/>
  <c r="FF142" i="15"/>
  <c r="FE142" i="15"/>
  <c r="FD142" i="15"/>
  <c r="FI141" i="15"/>
  <c r="FH141" i="15"/>
  <c r="FG141" i="15"/>
  <c r="FF141" i="15"/>
  <c r="FE141" i="15"/>
  <c r="FD141" i="15"/>
  <c r="FI140" i="15"/>
  <c r="FH140" i="15"/>
  <c r="FG140" i="15"/>
  <c r="FF140" i="15"/>
  <c r="FE140" i="15"/>
  <c r="FD140" i="15"/>
  <c r="FI139" i="15"/>
  <c r="FH139" i="15"/>
  <c r="FG139" i="15"/>
  <c r="FF139" i="15"/>
  <c r="FE139" i="15"/>
  <c r="FD139" i="15"/>
  <c r="FI138" i="15"/>
  <c r="FH138" i="15"/>
  <c r="FG138" i="15"/>
  <c r="FF138" i="15"/>
  <c r="FE138" i="15"/>
  <c r="FD138" i="15"/>
  <c r="FI137" i="15"/>
  <c r="FH137" i="15"/>
  <c r="FG137" i="15"/>
  <c r="FF137" i="15"/>
  <c r="FE137" i="15"/>
  <c r="FD137" i="15"/>
  <c r="FI136" i="15"/>
  <c r="FH136" i="15"/>
  <c r="FG136" i="15"/>
  <c r="FF136" i="15"/>
  <c r="FE136" i="15"/>
  <c r="FD136" i="15"/>
  <c r="FI135" i="15"/>
  <c r="FH135" i="15"/>
  <c r="FG135" i="15"/>
  <c r="FF135" i="15"/>
  <c r="FE135" i="15"/>
  <c r="FD135" i="15"/>
  <c r="FI134" i="15"/>
  <c r="FH134" i="15"/>
  <c r="FG134" i="15"/>
  <c r="FF134" i="15"/>
  <c r="FE134" i="15"/>
  <c r="FD134" i="15"/>
  <c r="FI133" i="15"/>
  <c r="FH133" i="15"/>
  <c r="FG133" i="15"/>
  <c r="FF133" i="15"/>
  <c r="FE133" i="15"/>
  <c r="FD133" i="15"/>
  <c r="FI132" i="15"/>
  <c r="FH132" i="15"/>
  <c r="FG132" i="15"/>
  <c r="FF132" i="15"/>
  <c r="FE132" i="15"/>
  <c r="FD132" i="15"/>
  <c r="FI131" i="15"/>
  <c r="FH131" i="15"/>
  <c r="FG131" i="15"/>
  <c r="FF131" i="15"/>
  <c r="FE131" i="15"/>
  <c r="FD131" i="15"/>
  <c r="FI130" i="15"/>
  <c r="FH130" i="15"/>
  <c r="FG130" i="15"/>
  <c r="FF130" i="15"/>
  <c r="FE130" i="15"/>
  <c r="FD130" i="15"/>
  <c r="FI129" i="15"/>
  <c r="FH129" i="15"/>
  <c r="FG129" i="15"/>
  <c r="FF129" i="15"/>
  <c r="FE129" i="15"/>
  <c r="FD129" i="15"/>
  <c r="FI128" i="15"/>
  <c r="FH128" i="15"/>
  <c r="FG128" i="15"/>
  <c r="FF128" i="15"/>
  <c r="FE128" i="15"/>
  <c r="FD128" i="15"/>
  <c r="FI127" i="15"/>
  <c r="FH127" i="15"/>
  <c r="FG127" i="15"/>
  <c r="FF127" i="15"/>
  <c r="FE127" i="15"/>
  <c r="FD127" i="15"/>
  <c r="FI126" i="15"/>
  <c r="FH126" i="15"/>
  <c r="FG126" i="15"/>
  <c r="FF126" i="15"/>
  <c r="FE126" i="15"/>
  <c r="FD126" i="15"/>
  <c r="FI125" i="15"/>
  <c r="FH125" i="15"/>
  <c r="FG125" i="15"/>
  <c r="FF125" i="15"/>
  <c r="FE125" i="15"/>
  <c r="FD125" i="15"/>
  <c r="FI124" i="15"/>
  <c r="FH124" i="15"/>
  <c r="FG124" i="15"/>
  <c r="FF124" i="15"/>
  <c r="FE124" i="15"/>
  <c r="FD124" i="15"/>
  <c r="FI123" i="15"/>
  <c r="FH123" i="15"/>
  <c r="FG123" i="15"/>
  <c r="FF123" i="15"/>
  <c r="FE123" i="15"/>
  <c r="FD123" i="15"/>
  <c r="FI122" i="15"/>
  <c r="FH122" i="15"/>
  <c r="FG122" i="15"/>
  <c r="FF122" i="15"/>
  <c r="FE122" i="15"/>
  <c r="FD122" i="15"/>
  <c r="FI121" i="15"/>
  <c r="FH121" i="15"/>
  <c r="FG121" i="15"/>
  <c r="FF121" i="15"/>
  <c r="FE121" i="15"/>
  <c r="FD121" i="15"/>
  <c r="FI120" i="15"/>
  <c r="FH120" i="15"/>
  <c r="FG120" i="15"/>
  <c r="FF120" i="15"/>
  <c r="FE120" i="15"/>
  <c r="FD120" i="15"/>
  <c r="FI119" i="15"/>
  <c r="FH119" i="15"/>
  <c r="FG119" i="15"/>
  <c r="FF119" i="15"/>
  <c r="FE119" i="15"/>
  <c r="FD119" i="15"/>
  <c r="FI118" i="15"/>
  <c r="FH118" i="15"/>
  <c r="FG118" i="15"/>
  <c r="FF118" i="15"/>
  <c r="FE118" i="15"/>
  <c r="FD118" i="15"/>
  <c r="FI117" i="15"/>
  <c r="FH117" i="15"/>
  <c r="FG117" i="15"/>
  <c r="FF117" i="15"/>
  <c r="FE117" i="15"/>
  <c r="FD117" i="15"/>
  <c r="FI116" i="15"/>
  <c r="FH116" i="15"/>
  <c r="FG116" i="15"/>
  <c r="FF116" i="15"/>
  <c r="FE116" i="15"/>
  <c r="FD116" i="15"/>
  <c r="FI115" i="15"/>
  <c r="FH115" i="15"/>
  <c r="FG115" i="15"/>
  <c r="FF115" i="15"/>
  <c r="FE115" i="15"/>
  <c r="FD115" i="15"/>
  <c r="FI114" i="15"/>
  <c r="FH114" i="15"/>
  <c r="FG114" i="15"/>
  <c r="FF114" i="15"/>
  <c r="FE114" i="15"/>
  <c r="FD114" i="15"/>
  <c r="FI113" i="15"/>
  <c r="FH113" i="15"/>
  <c r="FG113" i="15"/>
  <c r="FF113" i="15"/>
  <c r="FE113" i="15"/>
  <c r="FD113" i="15"/>
  <c r="FI112" i="15"/>
  <c r="FG112" i="15"/>
  <c r="FF112" i="15"/>
  <c r="FE112" i="15"/>
  <c r="FD112" i="15"/>
  <c r="FI111" i="15"/>
  <c r="FG111" i="15"/>
  <c r="FF111" i="15"/>
  <c r="FE111" i="15"/>
  <c r="FD111" i="15"/>
  <c r="FI110" i="15"/>
  <c r="FH110" i="15"/>
  <c r="FG110" i="15"/>
  <c r="FF110" i="15"/>
  <c r="FE110" i="15"/>
  <c r="FD110" i="15"/>
  <c r="FI109" i="15"/>
  <c r="FG109" i="15"/>
  <c r="FF109" i="15"/>
  <c r="FE109" i="15"/>
  <c r="FD109" i="15"/>
  <c r="FI108" i="15"/>
  <c r="FG108" i="15"/>
  <c r="FF108" i="15"/>
  <c r="FE108" i="15"/>
  <c r="FD108" i="15"/>
  <c r="FI107" i="15"/>
  <c r="FG107" i="15"/>
  <c r="FF107" i="15"/>
  <c r="FE107" i="15"/>
  <c r="FD107" i="15"/>
  <c r="CK107" i="15"/>
  <c r="FI106" i="15"/>
  <c r="FG106" i="15"/>
  <c r="FF106" i="15"/>
  <c r="FE106" i="15"/>
  <c r="FD106" i="15"/>
  <c r="CK106" i="15"/>
  <c r="FI105" i="15"/>
  <c r="FG105" i="15"/>
  <c r="FF105" i="15"/>
  <c r="FE105" i="15"/>
  <c r="FD105" i="15"/>
  <c r="CK105" i="15"/>
  <c r="CE105" i="15"/>
  <c r="FI104" i="15"/>
  <c r="FH104" i="15"/>
  <c r="FG104" i="15"/>
  <c r="FF104" i="15"/>
  <c r="FE104" i="15"/>
  <c r="FD104" i="15"/>
  <c r="FI103" i="15"/>
  <c r="FG103" i="15"/>
  <c r="FF103" i="15"/>
  <c r="FE103" i="15"/>
  <c r="FD103" i="15"/>
  <c r="FI102" i="15"/>
  <c r="FG102" i="15"/>
  <c r="FF102" i="15"/>
  <c r="FE102" i="15"/>
  <c r="FD102" i="15"/>
  <c r="FI101" i="15"/>
  <c r="FG101" i="15"/>
  <c r="FF101" i="15"/>
  <c r="FE101" i="15"/>
  <c r="FD101" i="15"/>
  <c r="AF37" i="15"/>
  <c r="FH112" i="15" s="1"/>
  <c r="AF36" i="15"/>
  <c r="FH111" i="15" s="1"/>
  <c r="AF35" i="15"/>
  <c r="AF34" i="15"/>
  <c r="FH109" i="15" s="1"/>
  <c r="AF33" i="15"/>
  <c r="FH108" i="15" s="1"/>
  <c r="AF32" i="15"/>
  <c r="FH107" i="15" s="1"/>
  <c r="AF31" i="15"/>
  <c r="FH106" i="15" s="1"/>
  <c r="AF30" i="15"/>
  <c r="FH105" i="15" s="1"/>
  <c r="AF29" i="15"/>
  <c r="AF28" i="15"/>
  <c r="FH103" i="15" s="1"/>
  <c r="AF27" i="15"/>
  <c r="FH102" i="15" s="1"/>
  <c r="AF26" i="15"/>
  <c r="FH101" i="15" s="1"/>
  <c r="FI181" i="13"/>
  <c r="FH181" i="13"/>
  <c r="FG181" i="13"/>
  <c r="FF181" i="13"/>
  <c r="FE181" i="13"/>
  <c r="FD181" i="13"/>
  <c r="FI180" i="13"/>
  <c r="FH180" i="13"/>
  <c r="FG180" i="13"/>
  <c r="FF180" i="13"/>
  <c r="FE180" i="13"/>
  <c r="FD180" i="13"/>
  <c r="FI179" i="13"/>
  <c r="FH179" i="13"/>
  <c r="FG179" i="13"/>
  <c r="FF179" i="13"/>
  <c r="FE179" i="13"/>
  <c r="FD179" i="13"/>
  <c r="FI178" i="13"/>
  <c r="FH178" i="13"/>
  <c r="FG178" i="13"/>
  <c r="FF178" i="13"/>
  <c r="FE178" i="13"/>
  <c r="FD178" i="13"/>
  <c r="FI177" i="13"/>
  <c r="FH177" i="13"/>
  <c r="FG177" i="13"/>
  <c r="FF177" i="13"/>
  <c r="FE177" i="13"/>
  <c r="FD177" i="13"/>
  <c r="FI176" i="13"/>
  <c r="FH176" i="13"/>
  <c r="FG176" i="13"/>
  <c r="FF176" i="13"/>
  <c r="FE176" i="13"/>
  <c r="FD176" i="13"/>
  <c r="FI175" i="13"/>
  <c r="FH175" i="13"/>
  <c r="FG175" i="13"/>
  <c r="FF175" i="13"/>
  <c r="FE175" i="13"/>
  <c r="FD175" i="13"/>
  <c r="FI174" i="13"/>
  <c r="FH174" i="13"/>
  <c r="FG174" i="13"/>
  <c r="FF174" i="13"/>
  <c r="FE174" i="13"/>
  <c r="FD174" i="13"/>
  <c r="FI173" i="13"/>
  <c r="FH173" i="13"/>
  <c r="FG173" i="13"/>
  <c r="FF173" i="13"/>
  <c r="FE173" i="13"/>
  <c r="FD173" i="13"/>
  <c r="FI172" i="13"/>
  <c r="FH172" i="13"/>
  <c r="FG172" i="13"/>
  <c r="FF172" i="13"/>
  <c r="FE172" i="13"/>
  <c r="FD172" i="13"/>
  <c r="FI171" i="13"/>
  <c r="FH171" i="13"/>
  <c r="FG171" i="13"/>
  <c r="FF171" i="13"/>
  <c r="FE171" i="13"/>
  <c r="FD171" i="13"/>
  <c r="FI170" i="13"/>
  <c r="FH170" i="13"/>
  <c r="FG170" i="13"/>
  <c r="FF170" i="13"/>
  <c r="FE170" i="13"/>
  <c r="FD170" i="13"/>
  <c r="FI169" i="13"/>
  <c r="FH169" i="13"/>
  <c r="FG169" i="13"/>
  <c r="FF169" i="13"/>
  <c r="FE169" i="13"/>
  <c r="FD169" i="13"/>
  <c r="FI168" i="13"/>
  <c r="FH168" i="13"/>
  <c r="FG168" i="13"/>
  <c r="FF168" i="13"/>
  <c r="FE168" i="13"/>
  <c r="FD168" i="13"/>
  <c r="FI167" i="13"/>
  <c r="FH167" i="13"/>
  <c r="FG167" i="13"/>
  <c r="FF167" i="13"/>
  <c r="FE167" i="13"/>
  <c r="FD167" i="13"/>
  <c r="FI166" i="13"/>
  <c r="FH166" i="13"/>
  <c r="FG166" i="13"/>
  <c r="FF166" i="13"/>
  <c r="FE166" i="13"/>
  <c r="FD166" i="13"/>
  <c r="FI165" i="13"/>
  <c r="FH165" i="13"/>
  <c r="FG165" i="13"/>
  <c r="FF165" i="13"/>
  <c r="FE165" i="13"/>
  <c r="FD165" i="13"/>
  <c r="FI164" i="13"/>
  <c r="FH164" i="13"/>
  <c r="FG164" i="13"/>
  <c r="FF164" i="13"/>
  <c r="FE164" i="13"/>
  <c r="FD164" i="13"/>
  <c r="FI163" i="13"/>
  <c r="FH163" i="13"/>
  <c r="FG163" i="13"/>
  <c r="FF163" i="13"/>
  <c r="FE163" i="13"/>
  <c r="FD163" i="13"/>
  <c r="FI162" i="13"/>
  <c r="FH162" i="13"/>
  <c r="FG162" i="13"/>
  <c r="FF162" i="13"/>
  <c r="FE162" i="13"/>
  <c r="FD162" i="13"/>
  <c r="FI161" i="13"/>
  <c r="FH161" i="13"/>
  <c r="FG161" i="13"/>
  <c r="FF161" i="13"/>
  <c r="FE161" i="13"/>
  <c r="FD161" i="13"/>
  <c r="FI160" i="13"/>
  <c r="FH160" i="13"/>
  <c r="FG160" i="13"/>
  <c r="FF160" i="13"/>
  <c r="FE160" i="13"/>
  <c r="FD160" i="13"/>
  <c r="FI159" i="13"/>
  <c r="FH159" i="13"/>
  <c r="FG159" i="13"/>
  <c r="FF159" i="13"/>
  <c r="FE159" i="13"/>
  <c r="FD159" i="13"/>
  <c r="FI158" i="13"/>
  <c r="FH158" i="13"/>
  <c r="FG158" i="13"/>
  <c r="FF158" i="13"/>
  <c r="FE158" i="13"/>
  <c r="FD158" i="13"/>
  <c r="FI157" i="13"/>
  <c r="FH157" i="13"/>
  <c r="FG157" i="13"/>
  <c r="FF157" i="13"/>
  <c r="FE157" i="13"/>
  <c r="FD157" i="13"/>
  <c r="FI156" i="13"/>
  <c r="FH156" i="13"/>
  <c r="FG156" i="13"/>
  <c r="FF156" i="13"/>
  <c r="FE156" i="13"/>
  <c r="FD156" i="13"/>
  <c r="FI155" i="13"/>
  <c r="FH155" i="13"/>
  <c r="FG155" i="13"/>
  <c r="FF155" i="13"/>
  <c r="FE155" i="13"/>
  <c r="FD155" i="13"/>
  <c r="FI154" i="13"/>
  <c r="FH154" i="13"/>
  <c r="FG154" i="13"/>
  <c r="FF154" i="13"/>
  <c r="FE154" i="13"/>
  <c r="FD154" i="13"/>
  <c r="FI153" i="13"/>
  <c r="FH153" i="13"/>
  <c r="FG153" i="13"/>
  <c r="FF153" i="13"/>
  <c r="FE153" i="13"/>
  <c r="FD153" i="13"/>
  <c r="FI152" i="13"/>
  <c r="FH152" i="13"/>
  <c r="FG152" i="13"/>
  <c r="FF152" i="13"/>
  <c r="FE152" i="13"/>
  <c r="FD152" i="13"/>
  <c r="FI151" i="13"/>
  <c r="FH151" i="13"/>
  <c r="FG151" i="13"/>
  <c r="FF151" i="13"/>
  <c r="FE151" i="13"/>
  <c r="FD151" i="13"/>
  <c r="FI150" i="13"/>
  <c r="FH150" i="13"/>
  <c r="FG150" i="13"/>
  <c r="FF150" i="13"/>
  <c r="FE150" i="13"/>
  <c r="FD150" i="13"/>
  <c r="FI149" i="13"/>
  <c r="FH149" i="13"/>
  <c r="FG149" i="13"/>
  <c r="FF149" i="13"/>
  <c r="FE149" i="13"/>
  <c r="FD149" i="13"/>
  <c r="FI148" i="13"/>
  <c r="FH148" i="13"/>
  <c r="FG148" i="13"/>
  <c r="FF148" i="13"/>
  <c r="FE148" i="13"/>
  <c r="FD148" i="13"/>
  <c r="FI147" i="13"/>
  <c r="FH147" i="13"/>
  <c r="FG147" i="13"/>
  <c r="FF147" i="13"/>
  <c r="FE147" i="13"/>
  <c r="FD147" i="13"/>
  <c r="FI146" i="13"/>
  <c r="FH146" i="13"/>
  <c r="FG146" i="13"/>
  <c r="FF146" i="13"/>
  <c r="FE146" i="13"/>
  <c r="FD146" i="13"/>
  <c r="FI145" i="13"/>
  <c r="FH145" i="13"/>
  <c r="FG145" i="13"/>
  <c r="FF145" i="13"/>
  <c r="FE145" i="13"/>
  <c r="FD145" i="13"/>
  <c r="FI144" i="13"/>
  <c r="FH144" i="13"/>
  <c r="FG144" i="13"/>
  <c r="FF144" i="13"/>
  <c r="FE144" i="13"/>
  <c r="FD144" i="13"/>
  <c r="FI143" i="13"/>
  <c r="FH143" i="13"/>
  <c r="FG143" i="13"/>
  <c r="FF143" i="13"/>
  <c r="FE143" i="13"/>
  <c r="FD143" i="13"/>
  <c r="FI142" i="13"/>
  <c r="FH142" i="13"/>
  <c r="FG142" i="13"/>
  <c r="FF142" i="13"/>
  <c r="FE142" i="13"/>
  <c r="FD142" i="13"/>
  <c r="FI141" i="13"/>
  <c r="FH141" i="13"/>
  <c r="FG141" i="13"/>
  <c r="FF141" i="13"/>
  <c r="FE141" i="13"/>
  <c r="FD141" i="13"/>
  <c r="FI140" i="13"/>
  <c r="FH140" i="13"/>
  <c r="FG140" i="13"/>
  <c r="FF140" i="13"/>
  <c r="FE140" i="13"/>
  <c r="FD140" i="13"/>
  <c r="FI139" i="13"/>
  <c r="FH139" i="13"/>
  <c r="FG139" i="13"/>
  <c r="FF139" i="13"/>
  <c r="FE139" i="13"/>
  <c r="FD139" i="13"/>
  <c r="FI138" i="13"/>
  <c r="FH138" i="13"/>
  <c r="FG138" i="13"/>
  <c r="FF138" i="13"/>
  <c r="FE138" i="13"/>
  <c r="FD138" i="13"/>
  <c r="FI137" i="13"/>
  <c r="FH137" i="13"/>
  <c r="FG137" i="13"/>
  <c r="FF137" i="13"/>
  <c r="FE137" i="13"/>
  <c r="FD137" i="13"/>
  <c r="FI136" i="13"/>
  <c r="FH136" i="13"/>
  <c r="FG136" i="13"/>
  <c r="FF136" i="13"/>
  <c r="FE136" i="13"/>
  <c r="FD136" i="13"/>
  <c r="FI135" i="13"/>
  <c r="FH135" i="13"/>
  <c r="FG135" i="13"/>
  <c r="FF135" i="13"/>
  <c r="FE135" i="13"/>
  <c r="FD135" i="13"/>
  <c r="FI134" i="13"/>
  <c r="FH134" i="13"/>
  <c r="FG134" i="13"/>
  <c r="FF134" i="13"/>
  <c r="FE134" i="13"/>
  <c r="FD134" i="13"/>
  <c r="FI133" i="13"/>
  <c r="FH133" i="13"/>
  <c r="FG133" i="13"/>
  <c r="FF133" i="13"/>
  <c r="FE133" i="13"/>
  <c r="FD133" i="13"/>
  <c r="FI132" i="13"/>
  <c r="FH132" i="13"/>
  <c r="FG132" i="13"/>
  <c r="FF132" i="13"/>
  <c r="FE132" i="13"/>
  <c r="FD132" i="13"/>
  <c r="FI131" i="13"/>
  <c r="FH131" i="13"/>
  <c r="FG131" i="13"/>
  <c r="FF131" i="13"/>
  <c r="FE131" i="13"/>
  <c r="FD131" i="13"/>
  <c r="FI130" i="13"/>
  <c r="FH130" i="13"/>
  <c r="FG130" i="13"/>
  <c r="FF130" i="13"/>
  <c r="FE130" i="13"/>
  <c r="FD130" i="13"/>
  <c r="FI129" i="13"/>
  <c r="FH129" i="13"/>
  <c r="FG129" i="13"/>
  <c r="FF129" i="13"/>
  <c r="FE129" i="13"/>
  <c r="FD129" i="13"/>
  <c r="FI128" i="13"/>
  <c r="FH128" i="13"/>
  <c r="FG128" i="13"/>
  <c r="FF128" i="13"/>
  <c r="FE128" i="13"/>
  <c r="FD128" i="13"/>
  <c r="FI127" i="13"/>
  <c r="FH127" i="13"/>
  <c r="FG127" i="13"/>
  <c r="FF127" i="13"/>
  <c r="FE127" i="13"/>
  <c r="FD127" i="13"/>
  <c r="FI126" i="13"/>
  <c r="FH126" i="13"/>
  <c r="FG126" i="13"/>
  <c r="FF126" i="13"/>
  <c r="FE126" i="13"/>
  <c r="FD126" i="13"/>
  <c r="FI125" i="13"/>
  <c r="FH125" i="13"/>
  <c r="FG125" i="13"/>
  <c r="FF125" i="13"/>
  <c r="FE125" i="13"/>
  <c r="FD125" i="13"/>
  <c r="FI124" i="13"/>
  <c r="FH124" i="13"/>
  <c r="FG124" i="13"/>
  <c r="FF124" i="13"/>
  <c r="FE124" i="13"/>
  <c r="FD124" i="13"/>
  <c r="FI123" i="13"/>
  <c r="FH123" i="13"/>
  <c r="FG123" i="13"/>
  <c r="FF123" i="13"/>
  <c r="FE123" i="13"/>
  <c r="FD123" i="13"/>
  <c r="FI122" i="13"/>
  <c r="FH122" i="13"/>
  <c r="FG122" i="13"/>
  <c r="FF122" i="13"/>
  <c r="FE122" i="13"/>
  <c r="FD122" i="13"/>
  <c r="FI121" i="13"/>
  <c r="FH121" i="13"/>
  <c r="FG121" i="13"/>
  <c r="FF121" i="13"/>
  <c r="FE121" i="13"/>
  <c r="FD121" i="13"/>
  <c r="FI120" i="13"/>
  <c r="FH120" i="13"/>
  <c r="FG120" i="13"/>
  <c r="FF120" i="13"/>
  <c r="FE120" i="13"/>
  <c r="FD120" i="13"/>
  <c r="FI119" i="13"/>
  <c r="FH119" i="13"/>
  <c r="FG119" i="13"/>
  <c r="FF119" i="13"/>
  <c r="FE119" i="13"/>
  <c r="FD119" i="13"/>
  <c r="FI118" i="13"/>
  <c r="FH118" i="13"/>
  <c r="FG118" i="13"/>
  <c r="FF118" i="13"/>
  <c r="FE118" i="13"/>
  <c r="FD118" i="13"/>
  <c r="FI117" i="13"/>
  <c r="FH117" i="13"/>
  <c r="FG117" i="13"/>
  <c r="FF117" i="13"/>
  <c r="FE117" i="13"/>
  <c r="FD117" i="13"/>
  <c r="FI116" i="13"/>
  <c r="FH116" i="13"/>
  <c r="FG116" i="13"/>
  <c r="FF116" i="13"/>
  <c r="FE116" i="13"/>
  <c r="FD116" i="13"/>
  <c r="FI115" i="13"/>
  <c r="FH115" i="13"/>
  <c r="FG115" i="13"/>
  <c r="FF115" i="13"/>
  <c r="FE115" i="13"/>
  <c r="FD115" i="13"/>
  <c r="FI114" i="13"/>
  <c r="FH114" i="13"/>
  <c r="FG114" i="13"/>
  <c r="FF114" i="13"/>
  <c r="FE114" i="13"/>
  <c r="FD114" i="13"/>
  <c r="FI113" i="13"/>
  <c r="FH113" i="13"/>
  <c r="FG113" i="13"/>
  <c r="FF113" i="13"/>
  <c r="FE113" i="13"/>
  <c r="FD113" i="13"/>
  <c r="FI112" i="13"/>
  <c r="FG112" i="13"/>
  <c r="FF112" i="13"/>
  <c r="FE112" i="13"/>
  <c r="FD112" i="13"/>
  <c r="FI111" i="13"/>
  <c r="FH111" i="13"/>
  <c r="FG111" i="13"/>
  <c r="FF111" i="13"/>
  <c r="FE111" i="13"/>
  <c r="FD111" i="13"/>
  <c r="FI110" i="13"/>
  <c r="FG110" i="13"/>
  <c r="FF110" i="13"/>
  <c r="FE110" i="13"/>
  <c r="FD110" i="13"/>
  <c r="FI109" i="13"/>
  <c r="FG109" i="13"/>
  <c r="FF109" i="13"/>
  <c r="FE109" i="13"/>
  <c r="FD109" i="13"/>
  <c r="FI108" i="13"/>
  <c r="FG108" i="13"/>
  <c r="FF108" i="13"/>
  <c r="FE108" i="13"/>
  <c r="FD108" i="13"/>
  <c r="FI107" i="13"/>
  <c r="FG107" i="13"/>
  <c r="FF107" i="13"/>
  <c r="FE107" i="13"/>
  <c r="FD107" i="13"/>
  <c r="CK107" i="13"/>
  <c r="FI106" i="13"/>
  <c r="FG106" i="13"/>
  <c r="FF106" i="13"/>
  <c r="FE106" i="13"/>
  <c r="FD106" i="13"/>
  <c r="CK106" i="13"/>
  <c r="FI105" i="13"/>
  <c r="FH105" i="13"/>
  <c r="FG105" i="13"/>
  <c r="FF105" i="13"/>
  <c r="FE105" i="13"/>
  <c r="FD105" i="13"/>
  <c r="CK105" i="13"/>
  <c r="CE105" i="13"/>
  <c r="FI104" i="13"/>
  <c r="FH104" i="13"/>
  <c r="FG104" i="13"/>
  <c r="FF104" i="13"/>
  <c r="FE104" i="13"/>
  <c r="FD104" i="13"/>
  <c r="FI103" i="13"/>
  <c r="FG103" i="13"/>
  <c r="FF103" i="13"/>
  <c r="FE103" i="13"/>
  <c r="FD103" i="13"/>
  <c r="FI102" i="13"/>
  <c r="FG102" i="13"/>
  <c r="FF102" i="13"/>
  <c r="FE102" i="13"/>
  <c r="FD102" i="13"/>
  <c r="FI101" i="13"/>
  <c r="FG101" i="13"/>
  <c r="FF101" i="13"/>
  <c r="FE101" i="13"/>
  <c r="FD101" i="13"/>
  <c r="AF37" i="13"/>
  <c r="FH112" i="13" s="1"/>
  <c r="AF36" i="13"/>
  <c r="AF35" i="13"/>
  <c r="FH110" i="13" s="1"/>
  <c r="AF34" i="13"/>
  <c r="FH109" i="13" s="1"/>
  <c r="AF33" i="13"/>
  <c r="FH108" i="13" s="1"/>
  <c r="AF32" i="13"/>
  <c r="FH107" i="13" s="1"/>
  <c r="AF31" i="13"/>
  <c r="FH106" i="13" s="1"/>
  <c r="AF30" i="13"/>
  <c r="AF29" i="13"/>
  <c r="AF28" i="13"/>
  <c r="FH103" i="13" s="1"/>
  <c r="AF27" i="13"/>
  <c r="FH102" i="13" s="1"/>
  <c r="AF26" i="13"/>
  <c r="FH101" i="13" s="1"/>
  <c r="FI181" i="12"/>
  <c r="FH181" i="12"/>
  <c r="FG181" i="12"/>
  <c r="FF181" i="12"/>
  <c r="FE181" i="12"/>
  <c r="FD181" i="12"/>
  <c r="FI180" i="12"/>
  <c r="FH180" i="12"/>
  <c r="FG180" i="12"/>
  <c r="FF180" i="12"/>
  <c r="FE180" i="12"/>
  <c r="FD180" i="12"/>
  <c r="FI179" i="12"/>
  <c r="FH179" i="12"/>
  <c r="FG179" i="12"/>
  <c r="FF179" i="12"/>
  <c r="FE179" i="12"/>
  <c r="FD179" i="12"/>
  <c r="FI178" i="12"/>
  <c r="FH178" i="12"/>
  <c r="FG178" i="12"/>
  <c r="FF178" i="12"/>
  <c r="FE178" i="12"/>
  <c r="FD178" i="12"/>
  <c r="FI177" i="12"/>
  <c r="FH177" i="12"/>
  <c r="FG177" i="12"/>
  <c r="FF177" i="12"/>
  <c r="FE177" i="12"/>
  <c r="FD177" i="12"/>
  <c r="FI176" i="12"/>
  <c r="FH176" i="12"/>
  <c r="FG176" i="12"/>
  <c r="FF176" i="12"/>
  <c r="FE176" i="12"/>
  <c r="FD176" i="12"/>
  <c r="FI175" i="12"/>
  <c r="FH175" i="12"/>
  <c r="FG175" i="12"/>
  <c r="FF175" i="12"/>
  <c r="FE175" i="12"/>
  <c r="FD175" i="12"/>
  <c r="FI174" i="12"/>
  <c r="FH174" i="12"/>
  <c r="FG174" i="12"/>
  <c r="FF174" i="12"/>
  <c r="FE174" i="12"/>
  <c r="FD174" i="12"/>
  <c r="FI173" i="12"/>
  <c r="FH173" i="12"/>
  <c r="FG173" i="12"/>
  <c r="FF173" i="12"/>
  <c r="FE173" i="12"/>
  <c r="FD173" i="12"/>
  <c r="FI172" i="12"/>
  <c r="FH172" i="12"/>
  <c r="FG172" i="12"/>
  <c r="FF172" i="12"/>
  <c r="FE172" i="12"/>
  <c r="FD172" i="12"/>
  <c r="FI171" i="12"/>
  <c r="FH171" i="12"/>
  <c r="FG171" i="12"/>
  <c r="FF171" i="12"/>
  <c r="FE171" i="12"/>
  <c r="FD171" i="12"/>
  <c r="FI170" i="12"/>
  <c r="FH170" i="12"/>
  <c r="FG170" i="12"/>
  <c r="FF170" i="12"/>
  <c r="FE170" i="12"/>
  <c r="FD170" i="12"/>
  <c r="FI169" i="12"/>
  <c r="FH169" i="12"/>
  <c r="FG169" i="12"/>
  <c r="FF169" i="12"/>
  <c r="FE169" i="12"/>
  <c r="FD169" i="12"/>
  <c r="FI168" i="12"/>
  <c r="FH168" i="12"/>
  <c r="FG168" i="12"/>
  <c r="FF168" i="12"/>
  <c r="FE168" i="12"/>
  <c r="FD168" i="12"/>
  <c r="FI167" i="12"/>
  <c r="FH167" i="12"/>
  <c r="FG167" i="12"/>
  <c r="FF167" i="12"/>
  <c r="FE167" i="12"/>
  <c r="FD167" i="12"/>
  <c r="FI166" i="12"/>
  <c r="FH166" i="12"/>
  <c r="FG166" i="12"/>
  <c r="FF166" i="12"/>
  <c r="FE166" i="12"/>
  <c r="FD166" i="12"/>
  <c r="FI165" i="12"/>
  <c r="FH165" i="12"/>
  <c r="FG165" i="12"/>
  <c r="FF165" i="12"/>
  <c r="FE165" i="12"/>
  <c r="FD165" i="12"/>
  <c r="FI164" i="12"/>
  <c r="FH164" i="12"/>
  <c r="FG164" i="12"/>
  <c r="FF164" i="12"/>
  <c r="FE164" i="12"/>
  <c r="FD164" i="12"/>
  <c r="FI163" i="12"/>
  <c r="FH163" i="12"/>
  <c r="FG163" i="12"/>
  <c r="FF163" i="12"/>
  <c r="FE163" i="12"/>
  <c r="FD163" i="12"/>
  <c r="FI162" i="12"/>
  <c r="FH162" i="12"/>
  <c r="FG162" i="12"/>
  <c r="FF162" i="12"/>
  <c r="FE162" i="12"/>
  <c r="FD162" i="12"/>
  <c r="FI161" i="12"/>
  <c r="FH161" i="12"/>
  <c r="FG161" i="12"/>
  <c r="FF161" i="12"/>
  <c r="FE161" i="12"/>
  <c r="FD161" i="12"/>
  <c r="FI160" i="12"/>
  <c r="FH160" i="12"/>
  <c r="FG160" i="12"/>
  <c r="FF160" i="12"/>
  <c r="FE160" i="12"/>
  <c r="FD160" i="12"/>
  <c r="FI159" i="12"/>
  <c r="FH159" i="12"/>
  <c r="FG159" i="12"/>
  <c r="FF159" i="12"/>
  <c r="FE159" i="12"/>
  <c r="FD159" i="12"/>
  <c r="FI158" i="12"/>
  <c r="FH158" i="12"/>
  <c r="FG158" i="12"/>
  <c r="FF158" i="12"/>
  <c r="FE158" i="12"/>
  <c r="FD158" i="12"/>
  <c r="FI157" i="12"/>
  <c r="FH157" i="12"/>
  <c r="FG157" i="12"/>
  <c r="FF157" i="12"/>
  <c r="FE157" i="12"/>
  <c r="FD157" i="12"/>
  <c r="FI156" i="12"/>
  <c r="FH156" i="12"/>
  <c r="FG156" i="12"/>
  <c r="FF156" i="12"/>
  <c r="FE156" i="12"/>
  <c r="FD156" i="12"/>
  <c r="FI155" i="12"/>
  <c r="FH155" i="12"/>
  <c r="FG155" i="12"/>
  <c r="FF155" i="12"/>
  <c r="FE155" i="12"/>
  <c r="FD155" i="12"/>
  <c r="FI154" i="12"/>
  <c r="FH154" i="12"/>
  <c r="FG154" i="12"/>
  <c r="FF154" i="12"/>
  <c r="FE154" i="12"/>
  <c r="FD154" i="12"/>
  <c r="FI153" i="12"/>
  <c r="FH153" i="12"/>
  <c r="FG153" i="12"/>
  <c r="FF153" i="12"/>
  <c r="FE153" i="12"/>
  <c r="FD153" i="12"/>
  <c r="FI152" i="12"/>
  <c r="FH152" i="12"/>
  <c r="FG152" i="12"/>
  <c r="FF152" i="12"/>
  <c r="FE152" i="12"/>
  <c r="FD152" i="12"/>
  <c r="FI151" i="12"/>
  <c r="FH151" i="12"/>
  <c r="FG151" i="12"/>
  <c r="FF151" i="12"/>
  <c r="FE151" i="12"/>
  <c r="FD151" i="12"/>
  <c r="FI150" i="12"/>
  <c r="FH150" i="12"/>
  <c r="FG150" i="12"/>
  <c r="FF150" i="12"/>
  <c r="FE150" i="12"/>
  <c r="FD150" i="12"/>
  <c r="FI149" i="12"/>
  <c r="FH149" i="12"/>
  <c r="FG149" i="12"/>
  <c r="FF149" i="12"/>
  <c r="FE149" i="12"/>
  <c r="FD149" i="12"/>
  <c r="FI148" i="12"/>
  <c r="FH148" i="12"/>
  <c r="FG148" i="12"/>
  <c r="FF148" i="12"/>
  <c r="FE148" i="12"/>
  <c r="FD148" i="12"/>
  <c r="FI147" i="12"/>
  <c r="FH147" i="12"/>
  <c r="FG147" i="12"/>
  <c r="FF147" i="12"/>
  <c r="FE147" i="12"/>
  <c r="FD147" i="12"/>
  <c r="FI146" i="12"/>
  <c r="FH146" i="12"/>
  <c r="FG146" i="12"/>
  <c r="FF146" i="12"/>
  <c r="FE146" i="12"/>
  <c r="FD146" i="12"/>
  <c r="FI145" i="12"/>
  <c r="FH145" i="12"/>
  <c r="FG145" i="12"/>
  <c r="FF145" i="12"/>
  <c r="FE145" i="12"/>
  <c r="FD145" i="12"/>
  <c r="FI144" i="12"/>
  <c r="FH144" i="12"/>
  <c r="FG144" i="12"/>
  <c r="FF144" i="12"/>
  <c r="FE144" i="12"/>
  <c r="FD144" i="12"/>
  <c r="FI143" i="12"/>
  <c r="FH143" i="12"/>
  <c r="FG143" i="12"/>
  <c r="FF143" i="12"/>
  <c r="FE143" i="12"/>
  <c r="FD143" i="12"/>
  <c r="FI142" i="12"/>
  <c r="FH142" i="12"/>
  <c r="FG142" i="12"/>
  <c r="FF142" i="12"/>
  <c r="FE142" i="12"/>
  <c r="FD142" i="12"/>
  <c r="FI141" i="12"/>
  <c r="FH141" i="12"/>
  <c r="FG141" i="12"/>
  <c r="FF141" i="12"/>
  <c r="FE141" i="12"/>
  <c r="FD141" i="12"/>
  <c r="FI140" i="12"/>
  <c r="FH140" i="12"/>
  <c r="FG140" i="12"/>
  <c r="FF140" i="12"/>
  <c r="FE140" i="12"/>
  <c r="FD140" i="12"/>
  <c r="FI139" i="12"/>
  <c r="FH139" i="12"/>
  <c r="FG139" i="12"/>
  <c r="FF139" i="12"/>
  <c r="FE139" i="12"/>
  <c r="FD139" i="12"/>
  <c r="FI138" i="12"/>
  <c r="FH138" i="12"/>
  <c r="FG138" i="12"/>
  <c r="FF138" i="12"/>
  <c r="FE138" i="12"/>
  <c r="FD138" i="12"/>
  <c r="FI137" i="12"/>
  <c r="FH137" i="12"/>
  <c r="FG137" i="12"/>
  <c r="FF137" i="12"/>
  <c r="FE137" i="12"/>
  <c r="FD137" i="12"/>
  <c r="FI136" i="12"/>
  <c r="FH136" i="12"/>
  <c r="FG136" i="12"/>
  <c r="FF136" i="12"/>
  <c r="FE136" i="12"/>
  <c r="FD136" i="12"/>
  <c r="FI135" i="12"/>
  <c r="FH135" i="12"/>
  <c r="FG135" i="12"/>
  <c r="FF135" i="12"/>
  <c r="FE135" i="12"/>
  <c r="FD135" i="12"/>
  <c r="FI134" i="12"/>
  <c r="FH134" i="12"/>
  <c r="FG134" i="12"/>
  <c r="FF134" i="12"/>
  <c r="FE134" i="12"/>
  <c r="FD134" i="12"/>
  <c r="FI133" i="12"/>
  <c r="FH133" i="12"/>
  <c r="FG133" i="12"/>
  <c r="FF133" i="12"/>
  <c r="FE133" i="12"/>
  <c r="FD133" i="12"/>
  <c r="FI132" i="12"/>
  <c r="FH132" i="12"/>
  <c r="FG132" i="12"/>
  <c r="FF132" i="12"/>
  <c r="FE132" i="12"/>
  <c r="FD132" i="12"/>
  <c r="FI131" i="12"/>
  <c r="FH131" i="12"/>
  <c r="FG131" i="12"/>
  <c r="FF131" i="12"/>
  <c r="FE131" i="12"/>
  <c r="FD131" i="12"/>
  <c r="FI130" i="12"/>
  <c r="FH130" i="12"/>
  <c r="FG130" i="12"/>
  <c r="FF130" i="12"/>
  <c r="FE130" i="12"/>
  <c r="FD130" i="12"/>
  <c r="FI129" i="12"/>
  <c r="FH129" i="12"/>
  <c r="FG129" i="12"/>
  <c r="FF129" i="12"/>
  <c r="FE129" i="12"/>
  <c r="FD129" i="12"/>
  <c r="FI128" i="12"/>
  <c r="FH128" i="12"/>
  <c r="FG128" i="12"/>
  <c r="FF128" i="12"/>
  <c r="FE128" i="12"/>
  <c r="FD128" i="12"/>
  <c r="FI127" i="12"/>
  <c r="FH127" i="12"/>
  <c r="FG127" i="12"/>
  <c r="FF127" i="12"/>
  <c r="FE127" i="12"/>
  <c r="FD127" i="12"/>
  <c r="FI126" i="12"/>
  <c r="FH126" i="12"/>
  <c r="FG126" i="12"/>
  <c r="FF126" i="12"/>
  <c r="FE126" i="12"/>
  <c r="FD126" i="12"/>
  <c r="FI125" i="12"/>
  <c r="FH125" i="12"/>
  <c r="FG125" i="12"/>
  <c r="FF125" i="12"/>
  <c r="FE125" i="12"/>
  <c r="FD125" i="12"/>
  <c r="FI124" i="12"/>
  <c r="FH124" i="12"/>
  <c r="FG124" i="12"/>
  <c r="FF124" i="12"/>
  <c r="FE124" i="12"/>
  <c r="FD124" i="12"/>
  <c r="FI123" i="12"/>
  <c r="FH123" i="12"/>
  <c r="FG123" i="12"/>
  <c r="FF123" i="12"/>
  <c r="FE123" i="12"/>
  <c r="FD123" i="12"/>
  <c r="FI122" i="12"/>
  <c r="FH122" i="12"/>
  <c r="FG122" i="12"/>
  <c r="FF122" i="12"/>
  <c r="FE122" i="12"/>
  <c r="FD122" i="12"/>
  <c r="FI121" i="12"/>
  <c r="FH121" i="12"/>
  <c r="FG121" i="12"/>
  <c r="FF121" i="12"/>
  <c r="FE121" i="12"/>
  <c r="FD121" i="12"/>
  <c r="FI120" i="12"/>
  <c r="FH120" i="12"/>
  <c r="FG120" i="12"/>
  <c r="FF120" i="12"/>
  <c r="FE120" i="12"/>
  <c r="FD120" i="12"/>
  <c r="FI119" i="12"/>
  <c r="FH119" i="12"/>
  <c r="FG119" i="12"/>
  <c r="FF119" i="12"/>
  <c r="FE119" i="12"/>
  <c r="FD119" i="12"/>
  <c r="FI118" i="12"/>
  <c r="FH118" i="12"/>
  <c r="FG118" i="12"/>
  <c r="FF118" i="12"/>
  <c r="FE118" i="12"/>
  <c r="FD118" i="12"/>
  <c r="FI117" i="12"/>
  <c r="FH117" i="12"/>
  <c r="FG117" i="12"/>
  <c r="FF117" i="12"/>
  <c r="FE117" i="12"/>
  <c r="FD117" i="12"/>
  <c r="FI116" i="12"/>
  <c r="FH116" i="12"/>
  <c r="FG116" i="12"/>
  <c r="FF116" i="12"/>
  <c r="FE116" i="12"/>
  <c r="FD116" i="12"/>
  <c r="FI115" i="12"/>
  <c r="FH115" i="12"/>
  <c r="FG115" i="12"/>
  <c r="FF115" i="12"/>
  <c r="FE115" i="12"/>
  <c r="FD115" i="12"/>
  <c r="FI114" i="12"/>
  <c r="FH114" i="12"/>
  <c r="FG114" i="12"/>
  <c r="FF114" i="12"/>
  <c r="FE114" i="12"/>
  <c r="FD114" i="12"/>
  <c r="FI113" i="12"/>
  <c r="FH113" i="12"/>
  <c r="FG113" i="12"/>
  <c r="FF113" i="12"/>
  <c r="FE113" i="12"/>
  <c r="FD113" i="12"/>
  <c r="FI112" i="12"/>
  <c r="FH112" i="12"/>
  <c r="FG112" i="12"/>
  <c r="FF112" i="12"/>
  <c r="FE112" i="12"/>
  <c r="FD112" i="12"/>
  <c r="FI111" i="12"/>
  <c r="FH111" i="12"/>
  <c r="FG111" i="12"/>
  <c r="FF111" i="12"/>
  <c r="FE111" i="12"/>
  <c r="FD111" i="12"/>
  <c r="FI110" i="12"/>
  <c r="FH110" i="12"/>
  <c r="FG110" i="12"/>
  <c r="FF110" i="12"/>
  <c r="FE110" i="12"/>
  <c r="FD110" i="12"/>
  <c r="FI109" i="12"/>
  <c r="FH109" i="12"/>
  <c r="FG109" i="12"/>
  <c r="FF109" i="12"/>
  <c r="FE109" i="12"/>
  <c r="FD109" i="12"/>
  <c r="FI108" i="12"/>
  <c r="FH108" i="12"/>
  <c r="FG108" i="12"/>
  <c r="FF108" i="12"/>
  <c r="FE108" i="12"/>
  <c r="FD108" i="12"/>
  <c r="FI107" i="12"/>
  <c r="FH107" i="12"/>
  <c r="FG107" i="12"/>
  <c r="FF107" i="12"/>
  <c r="FE107" i="12"/>
  <c r="FD107" i="12"/>
  <c r="CK107" i="12"/>
  <c r="FI106" i="12"/>
  <c r="FH106" i="12"/>
  <c r="FG106" i="12"/>
  <c r="FF106" i="12"/>
  <c r="FE106" i="12"/>
  <c r="FD106" i="12"/>
  <c r="CK106" i="12"/>
  <c r="FI105" i="12"/>
  <c r="FH105" i="12"/>
  <c r="FG105" i="12"/>
  <c r="FF105" i="12"/>
  <c r="FE105" i="12"/>
  <c r="FD105" i="12"/>
  <c r="CK105" i="12"/>
  <c r="CE105" i="12"/>
  <c r="FI104" i="12"/>
  <c r="FH104" i="12"/>
  <c r="FG104" i="12"/>
  <c r="FF104" i="12"/>
  <c r="FE104" i="12"/>
  <c r="FD104" i="12"/>
  <c r="FI103" i="12"/>
  <c r="FH103" i="12"/>
  <c r="FG103" i="12"/>
  <c r="FF103" i="12"/>
  <c r="FE103" i="12"/>
  <c r="FD103" i="12"/>
  <c r="FI102" i="12"/>
  <c r="FH102" i="12"/>
  <c r="FG102" i="12"/>
  <c r="FF102" i="12"/>
  <c r="FE102" i="12"/>
  <c r="FD102" i="12"/>
  <c r="FI101" i="12"/>
  <c r="FG101" i="12"/>
  <c r="FF101" i="12"/>
  <c r="FE101" i="12"/>
  <c r="FD101" i="12"/>
  <c r="AA38" i="12"/>
  <c r="CK104" i="12" s="1"/>
  <c r="CK115" i="12" s="1"/>
  <c r="AF37" i="12"/>
  <c r="AF36" i="12"/>
  <c r="AF35" i="12"/>
  <c r="AF34" i="12"/>
  <c r="AF33" i="12"/>
  <c r="AF32" i="12"/>
  <c r="AF31" i="12"/>
  <c r="AF30" i="12"/>
  <c r="AF29" i="12"/>
  <c r="AF28" i="12"/>
  <c r="AF27" i="12"/>
  <c r="AF26" i="12"/>
  <c r="FH101" i="12" s="1"/>
  <c r="FI181" i="11"/>
  <c r="FH181" i="11"/>
  <c r="FG181" i="11"/>
  <c r="FF181" i="11"/>
  <c r="FE181" i="11"/>
  <c r="FD181" i="11"/>
  <c r="FI180" i="11"/>
  <c r="FH180" i="11"/>
  <c r="FG180" i="11"/>
  <c r="FF180" i="11"/>
  <c r="FE180" i="11"/>
  <c r="FD180" i="11"/>
  <c r="FI179" i="11"/>
  <c r="FH179" i="11"/>
  <c r="FG179" i="11"/>
  <c r="FF179" i="11"/>
  <c r="FE179" i="11"/>
  <c r="FD179" i="11"/>
  <c r="FI178" i="11"/>
  <c r="FH178" i="11"/>
  <c r="FG178" i="11"/>
  <c r="FF178" i="11"/>
  <c r="FE178" i="11"/>
  <c r="FD178" i="11"/>
  <c r="FI177" i="11"/>
  <c r="FH177" i="11"/>
  <c r="FG177" i="11"/>
  <c r="FF177" i="11"/>
  <c r="FE177" i="11"/>
  <c r="FD177" i="11"/>
  <c r="FI176" i="11"/>
  <c r="FH176" i="11"/>
  <c r="FG176" i="11"/>
  <c r="FF176" i="11"/>
  <c r="FE176" i="11"/>
  <c r="FD176" i="11"/>
  <c r="FI175" i="11"/>
  <c r="FH175" i="11"/>
  <c r="FG175" i="11"/>
  <c r="FF175" i="11"/>
  <c r="FE175" i="11"/>
  <c r="FD175" i="11"/>
  <c r="FI174" i="11"/>
  <c r="FH174" i="11"/>
  <c r="FG174" i="11"/>
  <c r="FF174" i="11"/>
  <c r="FE174" i="11"/>
  <c r="FD174" i="11"/>
  <c r="FI173" i="11"/>
  <c r="FH173" i="11"/>
  <c r="FG173" i="11"/>
  <c r="FF173" i="11"/>
  <c r="FE173" i="11"/>
  <c r="FD173" i="11"/>
  <c r="FI172" i="11"/>
  <c r="FH172" i="11"/>
  <c r="FG172" i="11"/>
  <c r="FF172" i="11"/>
  <c r="FE172" i="11"/>
  <c r="FD172" i="11"/>
  <c r="FI171" i="11"/>
  <c r="FH171" i="11"/>
  <c r="FG171" i="11"/>
  <c r="FF171" i="11"/>
  <c r="FE171" i="11"/>
  <c r="FD171" i="11"/>
  <c r="FI170" i="11"/>
  <c r="FH170" i="11"/>
  <c r="FG170" i="11"/>
  <c r="FF170" i="11"/>
  <c r="FE170" i="11"/>
  <c r="FD170" i="11"/>
  <c r="FI169" i="11"/>
  <c r="FH169" i="11"/>
  <c r="FG169" i="11"/>
  <c r="FF169" i="11"/>
  <c r="FE169" i="11"/>
  <c r="FD169" i="11"/>
  <c r="FI168" i="11"/>
  <c r="FH168" i="11"/>
  <c r="FG168" i="11"/>
  <c r="FF168" i="11"/>
  <c r="FE168" i="11"/>
  <c r="FD168" i="11"/>
  <c r="FI167" i="11"/>
  <c r="FH167" i="11"/>
  <c r="FG167" i="11"/>
  <c r="FF167" i="11"/>
  <c r="FE167" i="11"/>
  <c r="FD167" i="11"/>
  <c r="FI166" i="11"/>
  <c r="FH166" i="11"/>
  <c r="FG166" i="11"/>
  <c r="FF166" i="11"/>
  <c r="FE166" i="11"/>
  <c r="FD166" i="11"/>
  <c r="FI165" i="11"/>
  <c r="FH165" i="11"/>
  <c r="FG165" i="11"/>
  <c r="FF165" i="11"/>
  <c r="FE165" i="11"/>
  <c r="FD165" i="11"/>
  <c r="FI164" i="11"/>
  <c r="FH164" i="11"/>
  <c r="FG164" i="11"/>
  <c r="FF164" i="11"/>
  <c r="FE164" i="11"/>
  <c r="FD164" i="11"/>
  <c r="FI163" i="11"/>
  <c r="FH163" i="11"/>
  <c r="FG163" i="11"/>
  <c r="FF163" i="11"/>
  <c r="FE163" i="11"/>
  <c r="FD163" i="11"/>
  <c r="FI162" i="11"/>
  <c r="FH162" i="11"/>
  <c r="FG162" i="11"/>
  <c r="FF162" i="11"/>
  <c r="FE162" i="11"/>
  <c r="FD162" i="11"/>
  <c r="FI161" i="11"/>
  <c r="FH161" i="11"/>
  <c r="FG161" i="11"/>
  <c r="FF161" i="11"/>
  <c r="FE161" i="11"/>
  <c r="FD161" i="11"/>
  <c r="FI160" i="11"/>
  <c r="FH160" i="11"/>
  <c r="FG160" i="11"/>
  <c r="FF160" i="11"/>
  <c r="FE160" i="11"/>
  <c r="FD160" i="11"/>
  <c r="FI159" i="11"/>
  <c r="FH159" i="11"/>
  <c r="FG159" i="11"/>
  <c r="FF159" i="11"/>
  <c r="FE159" i="11"/>
  <c r="FD159" i="11"/>
  <c r="FI158" i="11"/>
  <c r="FH158" i="11"/>
  <c r="FG158" i="11"/>
  <c r="FF158" i="11"/>
  <c r="FE158" i="11"/>
  <c r="FD158" i="11"/>
  <c r="FI157" i="11"/>
  <c r="FH157" i="11"/>
  <c r="FG157" i="11"/>
  <c r="FF157" i="11"/>
  <c r="FE157" i="11"/>
  <c r="FD157" i="11"/>
  <c r="FI156" i="11"/>
  <c r="FH156" i="11"/>
  <c r="FG156" i="11"/>
  <c r="FF156" i="11"/>
  <c r="FE156" i="11"/>
  <c r="FD156" i="11"/>
  <c r="FI155" i="11"/>
  <c r="FH155" i="11"/>
  <c r="FG155" i="11"/>
  <c r="FF155" i="11"/>
  <c r="FE155" i="11"/>
  <c r="FD155" i="11"/>
  <c r="FI154" i="11"/>
  <c r="FH154" i="11"/>
  <c r="FG154" i="11"/>
  <c r="FF154" i="11"/>
  <c r="FE154" i="11"/>
  <c r="FD154" i="11"/>
  <c r="FI153" i="11"/>
  <c r="FH153" i="11"/>
  <c r="FG153" i="11"/>
  <c r="FF153" i="11"/>
  <c r="FE153" i="11"/>
  <c r="FD153" i="11"/>
  <c r="FI152" i="11"/>
  <c r="FH152" i="11"/>
  <c r="FG152" i="11"/>
  <c r="FF152" i="11"/>
  <c r="FE152" i="11"/>
  <c r="FD152" i="11"/>
  <c r="FI151" i="11"/>
  <c r="FH151" i="11"/>
  <c r="FG151" i="11"/>
  <c r="FF151" i="11"/>
  <c r="FE151" i="11"/>
  <c r="FD151" i="11"/>
  <c r="FI150" i="11"/>
  <c r="FH150" i="11"/>
  <c r="FG150" i="11"/>
  <c r="FF150" i="11"/>
  <c r="FE150" i="11"/>
  <c r="FD150" i="11"/>
  <c r="FI149" i="11"/>
  <c r="FH149" i="11"/>
  <c r="FG149" i="11"/>
  <c r="FF149" i="11"/>
  <c r="FE149" i="11"/>
  <c r="FD149" i="11"/>
  <c r="FI148" i="11"/>
  <c r="FH148" i="11"/>
  <c r="FG148" i="11"/>
  <c r="FF148" i="11"/>
  <c r="FE148" i="11"/>
  <c r="FD148" i="11"/>
  <c r="FI147" i="11"/>
  <c r="FH147" i="11"/>
  <c r="FG147" i="11"/>
  <c r="FF147" i="11"/>
  <c r="FE147" i="11"/>
  <c r="FD147" i="11"/>
  <c r="FI146" i="11"/>
  <c r="FH146" i="11"/>
  <c r="FG146" i="11"/>
  <c r="FF146" i="11"/>
  <c r="FE146" i="11"/>
  <c r="FD146" i="11"/>
  <c r="FI145" i="11"/>
  <c r="FH145" i="11"/>
  <c r="FG145" i="11"/>
  <c r="FF145" i="11"/>
  <c r="FE145" i="11"/>
  <c r="FD145" i="11"/>
  <c r="FI144" i="11"/>
  <c r="FH144" i="11"/>
  <c r="FG144" i="11"/>
  <c r="FF144" i="11"/>
  <c r="FE144" i="11"/>
  <c r="FD144" i="11"/>
  <c r="FI143" i="11"/>
  <c r="FH143" i="11"/>
  <c r="FG143" i="11"/>
  <c r="FF143" i="11"/>
  <c r="FE143" i="11"/>
  <c r="FD143" i="11"/>
  <c r="FI142" i="11"/>
  <c r="FH142" i="11"/>
  <c r="FG142" i="11"/>
  <c r="FF142" i="11"/>
  <c r="FE142" i="11"/>
  <c r="FD142" i="11"/>
  <c r="FI141" i="11"/>
  <c r="FH141" i="11"/>
  <c r="FG141" i="11"/>
  <c r="FF141" i="11"/>
  <c r="FE141" i="11"/>
  <c r="FD141" i="11"/>
  <c r="FI140" i="11"/>
  <c r="FH140" i="11"/>
  <c r="FG140" i="11"/>
  <c r="FF140" i="11"/>
  <c r="FE140" i="11"/>
  <c r="FD140" i="11"/>
  <c r="FI139" i="11"/>
  <c r="FH139" i="11"/>
  <c r="FG139" i="11"/>
  <c r="FF139" i="11"/>
  <c r="FE139" i="11"/>
  <c r="FD139" i="11"/>
  <c r="FI138" i="11"/>
  <c r="FH138" i="11"/>
  <c r="FG138" i="11"/>
  <c r="FF138" i="11"/>
  <c r="FE138" i="11"/>
  <c r="FD138" i="11"/>
  <c r="FI137" i="11"/>
  <c r="FH137" i="11"/>
  <c r="FG137" i="11"/>
  <c r="FF137" i="11"/>
  <c r="FE137" i="11"/>
  <c r="FD137" i="11"/>
  <c r="FI136" i="11"/>
  <c r="FH136" i="11"/>
  <c r="FG136" i="11"/>
  <c r="FF136" i="11"/>
  <c r="FE136" i="11"/>
  <c r="FD136" i="11"/>
  <c r="FI135" i="11"/>
  <c r="FH135" i="11"/>
  <c r="FG135" i="11"/>
  <c r="FF135" i="11"/>
  <c r="FE135" i="11"/>
  <c r="FD135" i="11"/>
  <c r="FI134" i="11"/>
  <c r="FH134" i="11"/>
  <c r="FG134" i="11"/>
  <c r="FF134" i="11"/>
  <c r="FE134" i="11"/>
  <c r="FD134" i="11"/>
  <c r="FI133" i="11"/>
  <c r="FH133" i="11"/>
  <c r="FG133" i="11"/>
  <c r="FF133" i="11"/>
  <c r="FE133" i="11"/>
  <c r="FD133" i="11"/>
  <c r="FI132" i="11"/>
  <c r="FH132" i="11"/>
  <c r="FG132" i="11"/>
  <c r="FF132" i="11"/>
  <c r="FE132" i="11"/>
  <c r="FD132" i="11"/>
  <c r="FI131" i="11"/>
  <c r="FH131" i="11"/>
  <c r="FG131" i="11"/>
  <c r="FF131" i="11"/>
  <c r="FE131" i="11"/>
  <c r="FD131" i="11"/>
  <c r="FI130" i="11"/>
  <c r="FH130" i="11"/>
  <c r="FG130" i="11"/>
  <c r="FF130" i="11"/>
  <c r="FE130" i="11"/>
  <c r="FD130" i="11"/>
  <c r="FI129" i="11"/>
  <c r="FH129" i="11"/>
  <c r="FG129" i="11"/>
  <c r="FF129" i="11"/>
  <c r="FE129" i="11"/>
  <c r="FD129" i="11"/>
  <c r="FI128" i="11"/>
  <c r="FH128" i="11"/>
  <c r="FG128" i="11"/>
  <c r="FF128" i="11"/>
  <c r="FE128" i="11"/>
  <c r="FD128" i="11"/>
  <c r="FI127" i="11"/>
  <c r="FH127" i="11"/>
  <c r="FG127" i="11"/>
  <c r="FF127" i="11"/>
  <c r="FE127" i="11"/>
  <c r="FD127" i="11"/>
  <c r="FI126" i="11"/>
  <c r="FH126" i="11"/>
  <c r="FG126" i="11"/>
  <c r="FF126" i="11"/>
  <c r="FE126" i="11"/>
  <c r="FD126" i="11"/>
  <c r="FI125" i="11"/>
  <c r="FH125" i="11"/>
  <c r="FG125" i="11"/>
  <c r="FF125" i="11"/>
  <c r="FE125" i="11"/>
  <c r="FD125" i="11"/>
  <c r="FI124" i="11"/>
  <c r="FH124" i="11"/>
  <c r="FG124" i="11"/>
  <c r="FF124" i="11"/>
  <c r="FE124" i="11"/>
  <c r="FD124" i="11"/>
  <c r="FI123" i="11"/>
  <c r="FH123" i="11"/>
  <c r="FG123" i="11"/>
  <c r="FF123" i="11"/>
  <c r="FE123" i="11"/>
  <c r="FD123" i="11"/>
  <c r="FI122" i="11"/>
  <c r="FH122" i="11"/>
  <c r="FG122" i="11"/>
  <c r="FF122" i="11"/>
  <c r="FE122" i="11"/>
  <c r="FD122" i="11"/>
  <c r="FI121" i="11"/>
  <c r="FH121" i="11"/>
  <c r="FG121" i="11"/>
  <c r="FF121" i="11"/>
  <c r="FE121" i="11"/>
  <c r="FD121" i="11"/>
  <c r="FI120" i="11"/>
  <c r="FH120" i="11"/>
  <c r="FG120" i="11"/>
  <c r="FF120" i="11"/>
  <c r="FE120" i="11"/>
  <c r="FD120" i="11"/>
  <c r="FI119" i="11"/>
  <c r="FH119" i="11"/>
  <c r="FG119" i="11"/>
  <c r="FF119" i="11"/>
  <c r="FE119" i="11"/>
  <c r="FD119" i="11"/>
  <c r="FI118" i="11"/>
  <c r="FH118" i="11"/>
  <c r="FG118" i="11"/>
  <c r="FF118" i="11"/>
  <c r="FE118" i="11"/>
  <c r="FD118" i="11"/>
  <c r="FI117" i="11"/>
  <c r="FH117" i="11"/>
  <c r="FG117" i="11"/>
  <c r="FF117" i="11"/>
  <c r="FE117" i="11"/>
  <c r="FD117" i="11"/>
  <c r="FI116" i="11"/>
  <c r="FH116" i="11"/>
  <c r="FG116" i="11"/>
  <c r="FF116" i="11"/>
  <c r="FE116" i="11"/>
  <c r="FD116" i="11"/>
  <c r="FI115" i="11"/>
  <c r="FH115" i="11"/>
  <c r="FG115" i="11"/>
  <c r="FF115" i="11"/>
  <c r="FE115" i="11"/>
  <c r="FD115" i="11"/>
  <c r="FI114" i="11"/>
  <c r="FH114" i="11"/>
  <c r="FG114" i="11"/>
  <c r="FF114" i="11"/>
  <c r="FE114" i="11"/>
  <c r="FD114" i="11"/>
  <c r="FI113" i="11"/>
  <c r="FH113" i="11"/>
  <c r="FG113" i="11"/>
  <c r="FF113" i="11"/>
  <c r="FE113" i="11"/>
  <c r="FD113" i="11"/>
  <c r="FI112" i="11"/>
  <c r="FG112" i="11"/>
  <c r="FF112" i="11"/>
  <c r="FE112" i="11"/>
  <c r="FD112" i="11"/>
  <c r="FI111" i="11"/>
  <c r="FG111" i="11"/>
  <c r="FF111" i="11"/>
  <c r="FE111" i="11"/>
  <c r="FD111" i="11"/>
  <c r="FI110" i="11"/>
  <c r="FG110" i="11"/>
  <c r="FF110" i="11"/>
  <c r="FE110" i="11"/>
  <c r="FD110" i="11"/>
  <c r="FI109" i="11"/>
  <c r="FG109" i="11"/>
  <c r="FF109" i="11"/>
  <c r="FE109" i="11"/>
  <c r="FD109" i="11"/>
  <c r="FI108" i="11"/>
  <c r="FG108" i="11"/>
  <c r="FF108" i="11"/>
  <c r="FE108" i="11"/>
  <c r="FD108" i="11"/>
  <c r="FI107" i="11"/>
  <c r="FG107" i="11"/>
  <c r="FF107" i="11"/>
  <c r="FE107" i="11"/>
  <c r="FD107" i="11"/>
  <c r="CK107" i="11"/>
  <c r="FI106" i="11"/>
  <c r="FG106" i="11"/>
  <c r="FF106" i="11"/>
  <c r="FE106" i="11"/>
  <c r="FD106" i="11"/>
  <c r="CK106" i="11"/>
  <c r="FI105" i="11"/>
  <c r="FG105" i="11"/>
  <c r="FF105" i="11"/>
  <c r="FE105" i="11"/>
  <c r="FD105" i="11"/>
  <c r="CK105" i="11"/>
  <c r="CE105" i="11"/>
  <c r="FI104" i="11"/>
  <c r="FG104" i="11"/>
  <c r="FF104" i="11"/>
  <c r="FE104" i="11"/>
  <c r="FD104" i="11"/>
  <c r="FI103" i="11"/>
  <c r="FG103" i="11"/>
  <c r="FF103" i="11"/>
  <c r="FE103" i="11"/>
  <c r="FD103" i="11"/>
  <c r="FI102" i="11"/>
  <c r="FG102" i="11"/>
  <c r="FF102" i="11"/>
  <c r="FE102" i="11"/>
  <c r="FD102" i="11"/>
  <c r="FI101" i="11"/>
  <c r="FG101" i="11"/>
  <c r="FF101" i="11"/>
  <c r="FE101" i="11"/>
  <c r="FD101" i="11"/>
  <c r="AF37" i="11"/>
  <c r="FH112" i="11" s="1"/>
  <c r="AF36" i="11"/>
  <c r="FH111" i="11" s="1"/>
  <c r="AF35" i="11"/>
  <c r="FH110" i="11" s="1"/>
  <c r="AF34" i="11"/>
  <c r="FH109" i="11" s="1"/>
  <c r="AF33" i="11"/>
  <c r="FH108" i="11" s="1"/>
  <c r="AF32" i="11"/>
  <c r="FH107" i="11" s="1"/>
  <c r="AF31" i="11"/>
  <c r="FH106" i="11" s="1"/>
  <c r="AF30" i="11"/>
  <c r="FH105" i="11" s="1"/>
  <c r="AF29" i="11"/>
  <c r="FH104" i="11" s="1"/>
  <c r="AF28" i="11"/>
  <c r="FH103" i="11" s="1"/>
  <c r="AF27" i="11"/>
  <c r="FH102" i="11" s="1"/>
  <c r="AF26" i="11"/>
  <c r="FH101" i="11" s="1"/>
  <c r="FI181" i="10"/>
  <c r="FH181" i="10"/>
  <c r="FG181" i="10"/>
  <c r="FF181" i="10"/>
  <c r="FE181" i="10"/>
  <c r="FD181" i="10"/>
  <c r="FI180" i="10"/>
  <c r="FH180" i="10"/>
  <c r="FG180" i="10"/>
  <c r="FF180" i="10"/>
  <c r="FE180" i="10"/>
  <c r="FD180" i="10"/>
  <c r="FI179" i="10"/>
  <c r="FH179" i="10"/>
  <c r="FG179" i="10"/>
  <c r="FF179" i="10"/>
  <c r="FE179" i="10"/>
  <c r="FD179" i="10"/>
  <c r="FI178" i="10"/>
  <c r="FH178" i="10"/>
  <c r="FG178" i="10"/>
  <c r="FF178" i="10"/>
  <c r="FE178" i="10"/>
  <c r="FD178" i="10"/>
  <c r="FI177" i="10"/>
  <c r="FH177" i="10"/>
  <c r="FG177" i="10"/>
  <c r="FF177" i="10"/>
  <c r="FE177" i="10"/>
  <c r="FD177" i="10"/>
  <c r="FI176" i="10"/>
  <c r="FH176" i="10"/>
  <c r="FG176" i="10"/>
  <c r="FF176" i="10"/>
  <c r="FE176" i="10"/>
  <c r="FD176" i="10"/>
  <c r="FI175" i="10"/>
  <c r="FH175" i="10"/>
  <c r="FG175" i="10"/>
  <c r="FF175" i="10"/>
  <c r="FE175" i="10"/>
  <c r="FD175" i="10"/>
  <c r="FI174" i="10"/>
  <c r="FH174" i="10"/>
  <c r="FG174" i="10"/>
  <c r="FF174" i="10"/>
  <c r="FE174" i="10"/>
  <c r="FD174" i="10"/>
  <c r="FI173" i="10"/>
  <c r="FH173" i="10"/>
  <c r="FG173" i="10"/>
  <c r="FF173" i="10"/>
  <c r="FE173" i="10"/>
  <c r="FD173" i="10"/>
  <c r="FI172" i="10"/>
  <c r="FH172" i="10"/>
  <c r="FG172" i="10"/>
  <c r="FF172" i="10"/>
  <c r="FE172" i="10"/>
  <c r="FD172" i="10"/>
  <c r="FI171" i="10"/>
  <c r="FH171" i="10"/>
  <c r="FG171" i="10"/>
  <c r="FF171" i="10"/>
  <c r="FE171" i="10"/>
  <c r="FD171" i="10"/>
  <c r="FI170" i="10"/>
  <c r="FH170" i="10"/>
  <c r="FG170" i="10"/>
  <c r="FF170" i="10"/>
  <c r="FE170" i="10"/>
  <c r="FD170" i="10"/>
  <c r="FI169" i="10"/>
  <c r="FH169" i="10"/>
  <c r="FG169" i="10"/>
  <c r="FF169" i="10"/>
  <c r="FE169" i="10"/>
  <c r="FD169" i="10"/>
  <c r="FI168" i="10"/>
  <c r="FH168" i="10"/>
  <c r="FG168" i="10"/>
  <c r="FF168" i="10"/>
  <c r="FE168" i="10"/>
  <c r="FD168" i="10"/>
  <c r="FI167" i="10"/>
  <c r="FH167" i="10"/>
  <c r="FG167" i="10"/>
  <c r="FF167" i="10"/>
  <c r="FE167" i="10"/>
  <c r="FD167" i="10"/>
  <c r="FI166" i="10"/>
  <c r="FH166" i="10"/>
  <c r="FG166" i="10"/>
  <c r="FF166" i="10"/>
  <c r="FE166" i="10"/>
  <c r="FD166" i="10"/>
  <c r="FI165" i="10"/>
  <c r="FH165" i="10"/>
  <c r="FG165" i="10"/>
  <c r="FF165" i="10"/>
  <c r="FE165" i="10"/>
  <c r="FD165" i="10"/>
  <c r="FI164" i="10"/>
  <c r="FH164" i="10"/>
  <c r="FG164" i="10"/>
  <c r="FF164" i="10"/>
  <c r="FE164" i="10"/>
  <c r="FD164" i="10"/>
  <c r="FI163" i="10"/>
  <c r="FH163" i="10"/>
  <c r="FG163" i="10"/>
  <c r="FF163" i="10"/>
  <c r="FE163" i="10"/>
  <c r="FD163" i="10"/>
  <c r="FI162" i="10"/>
  <c r="FH162" i="10"/>
  <c r="FG162" i="10"/>
  <c r="FF162" i="10"/>
  <c r="FE162" i="10"/>
  <c r="FD162" i="10"/>
  <c r="FI161" i="10"/>
  <c r="FH161" i="10"/>
  <c r="FG161" i="10"/>
  <c r="FF161" i="10"/>
  <c r="FE161" i="10"/>
  <c r="FD161" i="10"/>
  <c r="FI160" i="10"/>
  <c r="FH160" i="10"/>
  <c r="FG160" i="10"/>
  <c r="FF160" i="10"/>
  <c r="FE160" i="10"/>
  <c r="FD160" i="10"/>
  <c r="FI159" i="10"/>
  <c r="FH159" i="10"/>
  <c r="FG159" i="10"/>
  <c r="FF159" i="10"/>
  <c r="FE159" i="10"/>
  <c r="FD159" i="10"/>
  <c r="FI158" i="10"/>
  <c r="FH158" i="10"/>
  <c r="FG158" i="10"/>
  <c r="FF158" i="10"/>
  <c r="FE158" i="10"/>
  <c r="FD158" i="10"/>
  <c r="FI157" i="10"/>
  <c r="FH157" i="10"/>
  <c r="FG157" i="10"/>
  <c r="FF157" i="10"/>
  <c r="FE157" i="10"/>
  <c r="FD157" i="10"/>
  <c r="FI156" i="10"/>
  <c r="FH156" i="10"/>
  <c r="FG156" i="10"/>
  <c r="FF156" i="10"/>
  <c r="FE156" i="10"/>
  <c r="FD156" i="10"/>
  <c r="FI155" i="10"/>
  <c r="FH155" i="10"/>
  <c r="FG155" i="10"/>
  <c r="FF155" i="10"/>
  <c r="FE155" i="10"/>
  <c r="FD155" i="10"/>
  <c r="FI154" i="10"/>
  <c r="FH154" i="10"/>
  <c r="FG154" i="10"/>
  <c r="FF154" i="10"/>
  <c r="FE154" i="10"/>
  <c r="FD154" i="10"/>
  <c r="FI153" i="10"/>
  <c r="FH153" i="10"/>
  <c r="FG153" i="10"/>
  <c r="FF153" i="10"/>
  <c r="FE153" i="10"/>
  <c r="FD153" i="10"/>
  <c r="FI152" i="10"/>
  <c r="FH152" i="10"/>
  <c r="FG152" i="10"/>
  <c r="FF152" i="10"/>
  <c r="FE152" i="10"/>
  <c r="FD152" i="10"/>
  <c r="FI151" i="10"/>
  <c r="FH151" i="10"/>
  <c r="FG151" i="10"/>
  <c r="FF151" i="10"/>
  <c r="FE151" i="10"/>
  <c r="FD151" i="10"/>
  <c r="FI150" i="10"/>
  <c r="FH150" i="10"/>
  <c r="FG150" i="10"/>
  <c r="FF150" i="10"/>
  <c r="FE150" i="10"/>
  <c r="FD150" i="10"/>
  <c r="FI149" i="10"/>
  <c r="FH149" i="10"/>
  <c r="FG149" i="10"/>
  <c r="FF149" i="10"/>
  <c r="FE149" i="10"/>
  <c r="FD149" i="10"/>
  <c r="FI148" i="10"/>
  <c r="FH148" i="10"/>
  <c r="FG148" i="10"/>
  <c r="FF148" i="10"/>
  <c r="FE148" i="10"/>
  <c r="FD148" i="10"/>
  <c r="FI147" i="10"/>
  <c r="FH147" i="10"/>
  <c r="FG147" i="10"/>
  <c r="FF147" i="10"/>
  <c r="FE147" i="10"/>
  <c r="FD147" i="10"/>
  <c r="FI146" i="10"/>
  <c r="FH146" i="10"/>
  <c r="FG146" i="10"/>
  <c r="FF146" i="10"/>
  <c r="FE146" i="10"/>
  <c r="FD146" i="10"/>
  <c r="FI145" i="10"/>
  <c r="FH145" i="10"/>
  <c r="FG145" i="10"/>
  <c r="FF145" i="10"/>
  <c r="FE145" i="10"/>
  <c r="FD145" i="10"/>
  <c r="FI144" i="10"/>
  <c r="FH144" i="10"/>
  <c r="FG144" i="10"/>
  <c r="FF144" i="10"/>
  <c r="FE144" i="10"/>
  <c r="FD144" i="10"/>
  <c r="FI143" i="10"/>
  <c r="FH143" i="10"/>
  <c r="FG143" i="10"/>
  <c r="FF143" i="10"/>
  <c r="FE143" i="10"/>
  <c r="FD143" i="10"/>
  <c r="FI142" i="10"/>
  <c r="FH142" i="10"/>
  <c r="FG142" i="10"/>
  <c r="FF142" i="10"/>
  <c r="FE142" i="10"/>
  <c r="FD142" i="10"/>
  <c r="FI141" i="10"/>
  <c r="FH141" i="10"/>
  <c r="FG141" i="10"/>
  <c r="FF141" i="10"/>
  <c r="FE141" i="10"/>
  <c r="FD141" i="10"/>
  <c r="FI140" i="10"/>
  <c r="FH140" i="10"/>
  <c r="FG140" i="10"/>
  <c r="FF140" i="10"/>
  <c r="FE140" i="10"/>
  <c r="FD140" i="10"/>
  <c r="FI139" i="10"/>
  <c r="FH139" i="10"/>
  <c r="FG139" i="10"/>
  <c r="FF139" i="10"/>
  <c r="FE139" i="10"/>
  <c r="FD139" i="10"/>
  <c r="FI138" i="10"/>
  <c r="FH138" i="10"/>
  <c r="FG138" i="10"/>
  <c r="FF138" i="10"/>
  <c r="FE138" i="10"/>
  <c r="FD138" i="10"/>
  <c r="FI137" i="10"/>
  <c r="FH137" i="10"/>
  <c r="FG137" i="10"/>
  <c r="FF137" i="10"/>
  <c r="FE137" i="10"/>
  <c r="FD137" i="10"/>
  <c r="FI136" i="10"/>
  <c r="FH136" i="10"/>
  <c r="FG136" i="10"/>
  <c r="FF136" i="10"/>
  <c r="FE136" i="10"/>
  <c r="FD136" i="10"/>
  <c r="FI135" i="10"/>
  <c r="FH135" i="10"/>
  <c r="FG135" i="10"/>
  <c r="FF135" i="10"/>
  <c r="FE135" i="10"/>
  <c r="FD135" i="10"/>
  <c r="FI134" i="10"/>
  <c r="FH134" i="10"/>
  <c r="FG134" i="10"/>
  <c r="FF134" i="10"/>
  <c r="FE134" i="10"/>
  <c r="FD134" i="10"/>
  <c r="FI133" i="10"/>
  <c r="FH133" i="10"/>
  <c r="FG133" i="10"/>
  <c r="FF133" i="10"/>
  <c r="FE133" i="10"/>
  <c r="FD133" i="10"/>
  <c r="FI132" i="10"/>
  <c r="FH132" i="10"/>
  <c r="FG132" i="10"/>
  <c r="FF132" i="10"/>
  <c r="FE132" i="10"/>
  <c r="FD132" i="10"/>
  <c r="FI131" i="10"/>
  <c r="FH131" i="10"/>
  <c r="FG131" i="10"/>
  <c r="FF131" i="10"/>
  <c r="FE131" i="10"/>
  <c r="FD131" i="10"/>
  <c r="FI130" i="10"/>
  <c r="FH130" i="10"/>
  <c r="FG130" i="10"/>
  <c r="FF130" i="10"/>
  <c r="FE130" i="10"/>
  <c r="FD130" i="10"/>
  <c r="FI129" i="10"/>
  <c r="FH129" i="10"/>
  <c r="FG129" i="10"/>
  <c r="FF129" i="10"/>
  <c r="FE129" i="10"/>
  <c r="FD129" i="10"/>
  <c r="FI128" i="10"/>
  <c r="FH128" i="10"/>
  <c r="FG128" i="10"/>
  <c r="FF128" i="10"/>
  <c r="FE128" i="10"/>
  <c r="FD128" i="10"/>
  <c r="FI127" i="10"/>
  <c r="FH127" i="10"/>
  <c r="FG127" i="10"/>
  <c r="FF127" i="10"/>
  <c r="FE127" i="10"/>
  <c r="FD127" i="10"/>
  <c r="FI126" i="10"/>
  <c r="FH126" i="10"/>
  <c r="FG126" i="10"/>
  <c r="FF126" i="10"/>
  <c r="FE126" i="10"/>
  <c r="FD126" i="10"/>
  <c r="FI125" i="10"/>
  <c r="FH125" i="10"/>
  <c r="FG125" i="10"/>
  <c r="FF125" i="10"/>
  <c r="FE125" i="10"/>
  <c r="FD125" i="10"/>
  <c r="FI124" i="10"/>
  <c r="FH124" i="10"/>
  <c r="FG124" i="10"/>
  <c r="FF124" i="10"/>
  <c r="FE124" i="10"/>
  <c r="FD124" i="10"/>
  <c r="FI123" i="10"/>
  <c r="FH123" i="10"/>
  <c r="FG123" i="10"/>
  <c r="FF123" i="10"/>
  <c r="FE123" i="10"/>
  <c r="FD123" i="10"/>
  <c r="FI122" i="10"/>
  <c r="FH122" i="10"/>
  <c r="FG122" i="10"/>
  <c r="FF122" i="10"/>
  <c r="FE122" i="10"/>
  <c r="FD122" i="10"/>
  <c r="FI121" i="10"/>
  <c r="FH121" i="10"/>
  <c r="FG121" i="10"/>
  <c r="FF121" i="10"/>
  <c r="FE121" i="10"/>
  <c r="FD121" i="10"/>
  <c r="FI120" i="10"/>
  <c r="FH120" i="10"/>
  <c r="FG120" i="10"/>
  <c r="FF120" i="10"/>
  <c r="FE120" i="10"/>
  <c r="FD120" i="10"/>
  <c r="FI119" i="10"/>
  <c r="FH119" i="10"/>
  <c r="FG119" i="10"/>
  <c r="FF119" i="10"/>
  <c r="FE119" i="10"/>
  <c r="FD119" i="10"/>
  <c r="FI118" i="10"/>
  <c r="FH118" i="10"/>
  <c r="FG118" i="10"/>
  <c r="FF118" i="10"/>
  <c r="FE118" i="10"/>
  <c r="FD118" i="10"/>
  <c r="FI117" i="10"/>
  <c r="FH117" i="10"/>
  <c r="FG117" i="10"/>
  <c r="FF117" i="10"/>
  <c r="FE117" i="10"/>
  <c r="FD117" i="10"/>
  <c r="FI116" i="10"/>
  <c r="FH116" i="10"/>
  <c r="FG116" i="10"/>
  <c r="FF116" i="10"/>
  <c r="FE116" i="10"/>
  <c r="FD116" i="10"/>
  <c r="FI115" i="10"/>
  <c r="FH115" i="10"/>
  <c r="FG115" i="10"/>
  <c r="FF115" i="10"/>
  <c r="FE115" i="10"/>
  <c r="FD115" i="10"/>
  <c r="FI114" i="10"/>
  <c r="FH114" i="10"/>
  <c r="FG114" i="10"/>
  <c r="FF114" i="10"/>
  <c r="FE114" i="10"/>
  <c r="FD114" i="10"/>
  <c r="FI113" i="10"/>
  <c r="FH113" i="10"/>
  <c r="FG113" i="10"/>
  <c r="FF113" i="10"/>
  <c r="FE113" i="10"/>
  <c r="FD113" i="10"/>
  <c r="FI112" i="10"/>
  <c r="FG112" i="10"/>
  <c r="FF112" i="10"/>
  <c r="FE112" i="10"/>
  <c r="FD112" i="10"/>
  <c r="FI111" i="10"/>
  <c r="FG111" i="10"/>
  <c r="FF111" i="10"/>
  <c r="FE111" i="10"/>
  <c r="FD111" i="10"/>
  <c r="FI110" i="10"/>
  <c r="FG110" i="10"/>
  <c r="FF110" i="10"/>
  <c r="FE110" i="10"/>
  <c r="FD110" i="10"/>
  <c r="FI109" i="10"/>
  <c r="FG109" i="10"/>
  <c r="FF109" i="10"/>
  <c r="FE109" i="10"/>
  <c r="FD109" i="10"/>
  <c r="FI108" i="10"/>
  <c r="FG108" i="10"/>
  <c r="FF108" i="10"/>
  <c r="FE108" i="10"/>
  <c r="FD108" i="10"/>
  <c r="FI107" i="10"/>
  <c r="FG107" i="10"/>
  <c r="FF107" i="10"/>
  <c r="FE107" i="10"/>
  <c r="FD107" i="10"/>
  <c r="CK107" i="10"/>
  <c r="FI106" i="10"/>
  <c r="FG106" i="10"/>
  <c r="FF106" i="10"/>
  <c r="FE106" i="10"/>
  <c r="FD106" i="10"/>
  <c r="CK106" i="10"/>
  <c r="FI105" i="10"/>
  <c r="FH105" i="10"/>
  <c r="FG105" i="10"/>
  <c r="FF105" i="10"/>
  <c r="FE105" i="10"/>
  <c r="FD105" i="10"/>
  <c r="CK105" i="10"/>
  <c r="CE105" i="10"/>
  <c r="FI104" i="10"/>
  <c r="FG104" i="10"/>
  <c r="FF104" i="10"/>
  <c r="FE104" i="10"/>
  <c r="FD104" i="10"/>
  <c r="FI103" i="10"/>
  <c r="FG103" i="10"/>
  <c r="FF103" i="10"/>
  <c r="FE103" i="10"/>
  <c r="FD103" i="10"/>
  <c r="FI102" i="10"/>
  <c r="FG102" i="10"/>
  <c r="FF102" i="10"/>
  <c r="FE102" i="10"/>
  <c r="FD102" i="10"/>
  <c r="FI101" i="10"/>
  <c r="FG101" i="10"/>
  <c r="FF101" i="10"/>
  <c r="FE101" i="10"/>
  <c r="FD101" i="10"/>
  <c r="AF37" i="10"/>
  <c r="FH112" i="10" s="1"/>
  <c r="AF36" i="10"/>
  <c r="FH111" i="10" s="1"/>
  <c r="AF35" i="10"/>
  <c r="FH110" i="10" s="1"/>
  <c r="AF34" i="10"/>
  <c r="FH109" i="10" s="1"/>
  <c r="AF33" i="10"/>
  <c r="FH108" i="10" s="1"/>
  <c r="AF32" i="10"/>
  <c r="FH107" i="10" s="1"/>
  <c r="AF31" i="10"/>
  <c r="FH106" i="10" s="1"/>
  <c r="AF30" i="10"/>
  <c r="AF29" i="10"/>
  <c r="FH104" i="10" s="1"/>
  <c r="AF28" i="10"/>
  <c r="FH103" i="10" s="1"/>
  <c r="AF27" i="10"/>
  <c r="FH102" i="10" s="1"/>
  <c r="AF26" i="10"/>
  <c r="FH101" i="10" s="1"/>
  <c r="FI181" i="9"/>
  <c r="FH181" i="9"/>
  <c r="FG181" i="9"/>
  <c r="FF181" i="9"/>
  <c r="FE181" i="9"/>
  <c r="FD181" i="9"/>
  <c r="FI180" i="9"/>
  <c r="FH180" i="9"/>
  <c r="FG180" i="9"/>
  <c r="FF180" i="9"/>
  <c r="FE180" i="9"/>
  <c r="FD180" i="9"/>
  <c r="FI179" i="9"/>
  <c r="FH179" i="9"/>
  <c r="FG179" i="9"/>
  <c r="FF179" i="9"/>
  <c r="FE179" i="9"/>
  <c r="FD179" i="9"/>
  <c r="FI178" i="9"/>
  <c r="FH178" i="9"/>
  <c r="FG178" i="9"/>
  <c r="FF178" i="9"/>
  <c r="FE178" i="9"/>
  <c r="FD178" i="9"/>
  <c r="FI177" i="9"/>
  <c r="FH177" i="9"/>
  <c r="FG177" i="9"/>
  <c r="FF177" i="9"/>
  <c r="FE177" i="9"/>
  <c r="FD177" i="9"/>
  <c r="FI176" i="9"/>
  <c r="FH176" i="9"/>
  <c r="FG176" i="9"/>
  <c r="FF176" i="9"/>
  <c r="FE176" i="9"/>
  <c r="FD176" i="9"/>
  <c r="FI175" i="9"/>
  <c r="FH175" i="9"/>
  <c r="FG175" i="9"/>
  <c r="FF175" i="9"/>
  <c r="FE175" i="9"/>
  <c r="FD175" i="9"/>
  <c r="FI174" i="9"/>
  <c r="FH174" i="9"/>
  <c r="FG174" i="9"/>
  <c r="FF174" i="9"/>
  <c r="FE174" i="9"/>
  <c r="FD174" i="9"/>
  <c r="FI173" i="9"/>
  <c r="FH173" i="9"/>
  <c r="FG173" i="9"/>
  <c r="FF173" i="9"/>
  <c r="FE173" i="9"/>
  <c r="FD173" i="9"/>
  <c r="FI172" i="9"/>
  <c r="FH172" i="9"/>
  <c r="FG172" i="9"/>
  <c r="FF172" i="9"/>
  <c r="FE172" i="9"/>
  <c r="FD172" i="9"/>
  <c r="FI171" i="9"/>
  <c r="FH171" i="9"/>
  <c r="FG171" i="9"/>
  <c r="FF171" i="9"/>
  <c r="FE171" i="9"/>
  <c r="FD171" i="9"/>
  <c r="FI170" i="9"/>
  <c r="FH170" i="9"/>
  <c r="FG170" i="9"/>
  <c r="FF170" i="9"/>
  <c r="FE170" i="9"/>
  <c r="FD170" i="9"/>
  <c r="FI169" i="9"/>
  <c r="FH169" i="9"/>
  <c r="FG169" i="9"/>
  <c r="FF169" i="9"/>
  <c r="FE169" i="9"/>
  <c r="FD169" i="9"/>
  <c r="FI168" i="9"/>
  <c r="FH168" i="9"/>
  <c r="FG168" i="9"/>
  <c r="FF168" i="9"/>
  <c r="FE168" i="9"/>
  <c r="FD168" i="9"/>
  <c r="FI167" i="9"/>
  <c r="FH167" i="9"/>
  <c r="FG167" i="9"/>
  <c r="FF167" i="9"/>
  <c r="FE167" i="9"/>
  <c r="FD167" i="9"/>
  <c r="FI166" i="9"/>
  <c r="FH166" i="9"/>
  <c r="FG166" i="9"/>
  <c r="FF166" i="9"/>
  <c r="FE166" i="9"/>
  <c r="FD166" i="9"/>
  <c r="FI165" i="9"/>
  <c r="FH165" i="9"/>
  <c r="FG165" i="9"/>
  <c r="FF165" i="9"/>
  <c r="FE165" i="9"/>
  <c r="FD165" i="9"/>
  <c r="FI164" i="9"/>
  <c r="FH164" i="9"/>
  <c r="FG164" i="9"/>
  <c r="FF164" i="9"/>
  <c r="FE164" i="9"/>
  <c r="FD164" i="9"/>
  <c r="FI163" i="9"/>
  <c r="FH163" i="9"/>
  <c r="FG163" i="9"/>
  <c r="FF163" i="9"/>
  <c r="FE163" i="9"/>
  <c r="FD163" i="9"/>
  <c r="FI162" i="9"/>
  <c r="FH162" i="9"/>
  <c r="FG162" i="9"/>
  <c r="FF162" i="9"/>
  <c r="FE162" i="9"/>
  <c r="FD162" i="9"/>
  <c r="FI161" i="9"/>
  <c r="FH161" i="9"/>
  <c r="FG161" i="9"/>
  <c r="FF161" i="9"/>
  <c r="FE161" i="9"/>
  <c r="FD161" i="9"/>
  <c r="FI160" i="9"/>
  <c r="FH160" i="9"/>
  <c r="FG160" i="9"/>
  <c r="FF160" i="9"/>
  <c r="FE160" i="9"/>
  <c r="FD160" i="9"/>
  <c r="FI159" i="9"/>
  <c r="FH159" i="9"/>
  <c r="FG159" i="9"/>
  <c r="FF159" i="9"/>
  <c r="FE159" i="9"/>
  <c r="FD159" i="9"/>
  <c r="FI158" i="9"/>
  <c r="FH158" i="9"/>
  <c r="FG158" i="9"/>
  <c r="FF158" i="9"/>
  <c r="FE158" i="9"/>
  <c r="FD158" i="9"/>
  <c r="FI157" i="9"/>
  <c r="FH157" i="9"/>
  <c r="FG157" i="9"/>
  <c r="FF157" i="9"/>
  <c r="FE157" i="9"/>
  <c r="FD157" i="9"/>
  <c r="FI156" i="9"/>
  <c r="FH156" i="9"/>
  <c r="FG156" i="9"/>
  <c r="FF156" i="9"/>
  <c r="FE156" i="9"/>
  <c r="FD156" i="9"/>
  <c r="FI155" i="9"/>
  <c r="FH155" i="9"/>
  <c r="FG155" i="9"/>
  <c r="FF155" i="9"/>
  <c r="FE155" i="9"/>
  <c r="FD155" i="9"/>
  <c r="FI154" i="9"/>
  <c r="FH154" i="9"/>
  <c r="FG154" i="9"/>
  <c r="FF154" i="9"/>
  <c r="FE154" i="9"/>
  <c r="FD154" i="9"/>
  <c r="FI153" i="9"/>
  <c r="FH153" i="9"/>
  <c r="FG153" i="9"/>
  <c r="FF153" i="9"/>
  <c r="FE153" i="9"/>
  <c r="FD153" i="9"/>
  <c r="FI152" i="9"/>
  <c r="FH152" i="9"/>
  <c r="FG152" i="9"/>
  <c r="FF152" i="9"/>
  <c r="FE152" i="9"/>
  <c r="FD152" i="9"/>
  <c r="FI151" i="9"/>
  <c r="FH151" i="9"/>
  <c r="FG151" i="9"/>
  <c r="FF151" i="9"/>
  <c r="FE151" i="9"/>
  <c r="FD151" i="9"/>
  <c r="FI150" i="9"/>
  <c r="FH150" i="9"/>
  <c r="FG150" i="9"/>
  <c r="FF150" i="9"/>
  <c r="FE150" i="9"/>
  <c r="FD150" i="9"/>
  <c r="FI149" i="9"/>
  <c r="FH149" i="9"/>
  <c r="FG149" i="9"/>
  <c r="FF149" i="9"/>
  <c r="FE149" i="9"/>
  <c r="FD149" i="9"/>
  <c r="FI148" i="9"/>
  <c r="FH148" i="9"/>
  <c r="FG148" i="9"/>
  <c r="FF148" i="9"/>
  <c r="FE148" i="9"/>
  <c r="FD148" i="9"/>
  <c r="FI147" i="9"/>
  <c r="FH147" i="9"/>
  <c r="FG147" i="9"/>
  <c r="FF147" i="9"/>
  <c r="FE147" i="9"/>
  <c r="FD147" i="9"/>
  <c r="FI146" i="9"/>
  <c r="FH146" i="9"/>
  <c r="FG146" i="9"/>
  <c r="FF146" i="9"/>
  <c r="FE146" i="9"/>
  <c r="FD146" i="9"/>
  <c r="FI145" i="9"/>
  <c r="FH145" i="9"/>
  <c r="FG145" i="9"/>
  <c r="FF145" i="9"/>
  <c r="FE145" i="9"/>
  <c r="FD145" i="9"/>
  <c r="FI144" i="9"/>
  <c r="FH144" i="9"/>
  <c r="FG144" i="9"/>
  <c r="FF144" i="9"/>
  <c r="FE144" i="9"/>
  <c r="FD144" i="9"/>
  <c r="FI143" i="9"/>
  <c r="FH143" i="9"/>
  <c r="FG143" i="9"/>
  <c r="FF143" i="9"/>
  <c r="FE143" i="9"/>
  <c r="FD143" i="9"/>
  <c r="FI142" i="9"/>
  <c r="FH142" i="9"/>
  <c r="FG142" i="9"/>
  <c r="FF142" i="9"/>
  <c r="FE142" i="9"/>
  <c r="FD142" i="9"/>
  <c r="FI141" i="9"/>
  <c r="FH141" i="9"/>
  <c r="FG141" i="9"/>
  <c r="FF141" i="9"/>
  <c r="FE141" i="9"/>
  <c r="FD141" i="9"/>
  <c r="FI140" i="9"/>
  <c r="FH140" i="9"/>
  <c r="FG140" i="9"/>
  <c r="FF140" i="9"/>
  <c r="FE140" i="9"/>
  <c r="FD140" i="9"/>
  <c r="FI139" i="9"/>
  <c r="FH139" i="9"/>
  <c r="FG139" i="9"/>
  <c r="FF139" i="9"/>
  <c r="FE139" i="9"/>
  <c r="FD139" i="9"/>
  <c r="FI138" i="9"/>
  <c r="FH138" i="9"/>
  <c r="FG138" i="9"/>
  <c r="FF138" i="9"/>
  <c r="FE138" i="9"/>
  <c r="FD138" i="9"/>
  <c r="FI137" i="9"/>
  <c r="FH137" i="9"/>
  <c r="FG137" i="9"/>
  <c r="FF137" i="9"/>
  <c r="FE137" i="9"/>
  <c r="FD137" i="9"/>
  <c r="FI136" i="9"/>
  <c r="FH136" i="9"/>
  <c r="FG136" i="9"/>
  <c r="FF136" i="9"/>
  <c r="FE136" i="9"/>
  <c r="FD136" i="9"/>
  <c r="FI135" i="9"/>
  <c r="FH135" i="9"/>
  <c r="FG135" i="9"/>
  <c r="FF135" i="9"/>
  <c r="FE135" i="9"/>
  <c r="FD135" i="9"/>
  <c r="FI134" i="9"/>
  <c r="FH134" i="9"/>
  <c r="FG134" i="9"/>
  <c r="FF134" i="9"/>
  <c r="FE134" i="9"/>
  <c r="FD134" i="9"/>
  <c r="FI133" i="9"/>
  <c r="FH133" i="9"/>
  <c r="FG133" i="9"/>
  <c r="FF133" i="9"/>
  <c r="FE133" i="9"/>
  <c r="FD133" i="9"/>
  <c r="FI132" i="9"/>
  <c r="FH132" i="9"/>
  <c r="FG132" i="9"/>
  <c r="FF132" i="9"/>
  <c r="FE132" i="9"/>
  <c r="FD132" i="9"/>
  <c r="FI131" i="9"/>
  <c r="FH131" i="9"/>
  <c r="FG131" i="9"/>
  <c r="FF131" i="9"/>
  <c r="FE131" i="9"/>
  <c r="FD131" i="9"/>
  <c r="FI130" i="9"/>
  <c r="FH130" i="9"/>
  <c r="FG130" i="9"/>
  <c r="FF130" i="9"/>
  <c r="FE130" i="9"/>
  <c r="FD130" i="9"/>
  <c r="FI129" i="9"/>
  <c r="FH129" i="9"/>
  <c r="FG129" i="9"/>
  <c r="FF129" i="9"/>
  <c r="FE129" i="9"/>
  <c r="FD129" i="9"/>
  <c r="FI128" i="9"/>
  <c r="FH128" i="9"/>
  <c r="FG128" i="9"/>
  <c r="FF128" i="9"/>
  <c r="FE128" i="9"/>
  <c r="FD128" i="9"/>
  <c r="FI127" i="9"/>
  <c r="FH127" i="9"/>
  <c r="FG127" i="9"/>
  <c r="FF127" i="9"/>
  <c r="FE127" i="9"/>
  <c r="FD127" i="9"/>
  <c r="FI126" i="9"/>
  <c r="FH126" i="9"/>
  <c r="FG126" i="9"/>
  <c r="FF126" i="9"/>
  <c r="FE126" i="9"/>
  <c r="FD126" i="9"/>
  <c r="FI125" i="9"/>
  <c r="FH125" i="9"/>
  <c r="FG125" i="9"/>
  <c r="FF125" i="9"/>
  <c r="FE125" i="9"/>
  <c r="FD125" i="9"/>
  <c r="FI124" i="9"/>
  <c r="FH124" i="9"/>
  <c r="FG124" i="9"/>
  <c r="FF124" i="9"/>
  <c r="FE124" i="9"/>
  <c r="FD124" i="9"/>
  <c r="FI123" i="9"/>
  <c r="FH123" i="9"/>
  <c r="FG123" i="9"/>
  <c r="FF123" i="9"/>
  <c r="FE123" i="9"/>
  <c r="FD123" i="9"/>
  <c r="FI122" i="9"/>
  <c r="FH122" i="9"/>
  <c r="FG122" i="9"/>
  <c r="FF122" i="9"/>
  <c r="FE122" i="9"/>
  <c r="FD122" i="9"/>
  <c r="FI121" i="9"/>
  <c r="FH121" i="9"/>
  <c r="FG121" i="9"/>
  <c r="FF121" i="9"/>
  <c r="FE121" i="9"/>
  <c r="FD121" i="9"/>
  <c r="FI120" i="9"/>
  <c r="FH120" i="9"/>
  <c r="FG120" i="9"/>
  <c r="FF120" i="9"/>
  <c r="FE120" i="9"/>
  <c r="FD120" i="9"/>
  <c r="FI119" i="9"/>
  <c r="FH119" i="9"/>
  <c r="FG119" i="9"/>
  <c r="FF119" i="9"/>
  <c r="FE119" i="9"/>
  <c r="FD119" i="9"/>
  <c r="FI118" i="9"/>
  <c r="FH118" i="9"/>
  <c r="FG118" i="9"/>
  <c r="FF118" i="9"/>
  <c r="FE118" i="9"/>
  <c r="FD118" i="9"/>
  <c r="FI117" i="9"/>
  <c r="FH117" i="9"/>
  <c r="FG117" i="9"/>
  <c r="FF117" i="9"/>
  <c r="FE117" i="9"/>
  <c r="FD117" i="9"/>
  <c r="FI116" i="9"/>
  <c r="FH116" i="9"/>
  <c r="FG116" i="9"/>
  <c r="FF116" i="9"/>
  <c r="FE116" i="9"/>
  <c r="FD116" i="9"/>
  <c r="FI115" i="9"/>
  <c r="FH115" i="9"/>
  <c r="FG115" i="9"/>
  <c r="FF115" i="9"/>
  <c r="FE115" i="9"/>
  <c r="FD115" i="9"/>
  <c r="FI114" i="9"/>
  <c r="FH114" i="9"/>
  <c r="FG114" i="9"/>
  <c r="FF114" i="9"/>
  <c r="FE114" i="9"/>
  <c r="FD114" i="9"/>
  <c r="FI113" i="9"/>
  <c r="FH113" i="9"/>
  <c r="FG113" i="9"/>
  <c r="FF113" i="9"/>
  <c r="FE113" i="9"/>
  <c r="FD113" i="9"/>
  <c r="FI112" i="9"/>
  <c r="FH112" i="9"/>
  <c r="FG112" i="9"/>
  <c r="FF112" i="9"/>
  <c r="FE112" i="9"/>
  <c r="FD112" i="9"/>
  <c r="FI111" i="9"/>
  <c r="FH111" i="9"/>
  <c r="FG111" i="9"/>
  <c r="FF111" i="9"/>
  <c r="FE111" i="9"/>
  <c r="FD111" i="9"/>
  <c r="FI110" i="9"/>
  <c r="FH110" i="9"/>
  <c r="FG110" i="9"/>
  <c r="FF110" i="9"/>
  <c r="FE110" i="9"/>
  <c r="FD110" i="9"/>
  <c r="FI109" i="9"/>
  <c r="FH109" i="9"/>
  <c r="FG109" i="9"/>
  <c r="FF109" i="9"/>
  <c r="FE109" i="9"/>
  <c r="FD109" i="9"/>
  <c r="FI108" i="9"/>
  <c r="FH108" i="9"/>
  <c r="FG108" i="9"/>
  <c r="FF108" i="9"/>
  <c r="FE108" i="9"/>
  <c r="FD108" i="9"/>
  <c r="FI107" i="9"/>
  <c r="FH107" i="9"/>
  <c r="FG107" i="9"/>
  <c r="FF107" i="9"/>
  <c r="FE107" i="9"/>
  <c r="FD107" i="9"/>
  <c r="CK107" i="9"/>
  <c r="FI106" i="9"/>
  <c r="FH106" i="9"/>
  <c r="FG106" i="9"/>
  <c r="FF106" i="9"/>
  <c r="FE106" i="9"/>
  <c r="FD106" i="9"/>
  <c r="CK106" i="9"/>
  <c r="FI105" i="9"/>
  <c r="FH105" i="9"/>
  <c r="FG105" i="9"/>
  <c r="FF105" i="9"/>
  <c r="FE105" i="9"/>
  <c r="FD105" i="9"/>
  <c r="CK105" i="9"/>
  <c r="CE105" i="9"/>
  <c r="FI104" i="9"/>
  <c r="FH104" i="9"/>
  <c r="FG104" i="9"/>
  <c r="FF104" i="9"/>
  <c r="FE104" i="9"/>
  <c r="FD104" i="9"/>
  <c r="FI103" i="9"/>
  <c r="FH103" i="9"/>
  <c r="FG103" i="9"/>
  <c r="FF103" i="9"/>
  <c r="FE103" i="9"/>
  <c r="FD103" i="9"/>
  <c r="FI102" i="9"/>
  <c r="FH102" i="9"/>
  <c r="FG102" i="9"/>
  <c r="FF102" i="9"/>
  <c r="FE102" i="9"/>
  <c r="FD102" i="9"/>
  <c r="FI101" i="9"/>
  <c r="FH101" i="9"/>
  <c r="FG101" i="9"/>
  <c r="FF101" i="9"/>
  <c r="FE101" i="9"/>
  <c r="FD101" i="9"/>
  <c r="AA38" i="9"/>
  <c r="CK104" i="9" s="1"/>
  <c r="CK115" i="9" s="1"/>
  <c r="AF37" i="9"/>
  <c r="AF36" i="9"/>
  <c r="AF35" i="9"/>
  <c r="AF34" i="9"/>
  <c r="AF33" i="9"/>
  <c r="AF32" i="9"/>
  <c r="AF31" i="9"/>
  <c r="AF30" i="9"/>
  <c r="AF29" i="9"/>
  <c r="AF28" i="9"/>
  <c r="AF27" i="9"/>
  <c r="AF26" i="9"/>
  <c r="FI181" i="8"/>
  <c r="FH181" i="8"/>
  <c r="FG181" i="8"/>
  <c r="FF181" i="8"/>
  <c r="FE181" i="8"/>
  <c r="FD181" i="8"/>
  <c r="FI180" i="8"/>
  <c r="FH180" i="8"/>
  <c r="FG180" i="8"/>
  <c r="FF180" i="8"/>
  <c r="FE180" i="8"/>
  <c r="FD180" i="8"/>
  <c r="FI179" i="8"/>
  <c r="FH179" i="8"/>
  <c r="FG179" i="8"/>
  <c r="FF179" i="8"/>
  <c r="FE179" i="8"/>
  <c r="FD179" i="8"/>
  <c r="FI178" i="8"/>
  <c r="FH178" i="8"/>
  <c r="FG178" i="8"/>
  <c r="FF178" i="8"/>
  <c r="FE178" i="8"/>
  <c r="FD178" i="8"/>
  <c r="FI177" i="8"/>
  <c r="FH177" i="8"/>
  <c r="FG177" i="8"/>
  <c r="FF177" i="8"/>
  <c r="FE177" i="8"/>
  <c r="FD177" i="8"/>
  <c r="FI176" i="8"/>
  <c r="FH176" i="8"/>
  <c r="FG176" i="8"/>
  <c r="FF176" i="8"/>
  <c r="FE176" i="8"/>
  <c r="FD176" i="8"/>
  <c r="FI175" i="8"/>
  <c r="FH175" i="8"/>
  <c r="FG175" i="8"/>
  <c r="FF175" i="8"/>
  <c r="FE175" i="8"/>
  <c r="FD175" i="8"/>
  <c r="FI174" i="8"/>
  <c r="FH174" i="8"/>
  <c r="FG174" i="8"/>
  <c r="FF174" i="8"/>
  <c r="FE174" i="8"/>
  <c r="FD174" i="8"/>
  <c r="FI173" i="8"/>
  <c r="FH173" i="8"/>
  <c r="FG173" i="8"/>
  <c r="FF173" i="8"/>
  <c r="FE173" i="8"/>
  <c r="FD173" i="8"/>
  <c r="FI172" i="8"/>
  <c r="FH172" i="8"/>
  <c r="FG172" i="8"/>
  <c r="FF172" i="8"/>
  <c r="FE172" i="8"/>
  <c r="FD172" i="8"/>
  <c r="FI171" i="8"/>
  <c r="FH171" i="8"/>
  <c r="FG171" i="8"/>
  <c r="FF171" i="8"/>
  <c r="FE171" i="8"/>
  <c r="FD171" i="8"/>
  <c r="FI170" i="8"/>
  <c r="FH170" i="8"/>
  <c r="FG170" i="8"/>
  <c r="FF170" i="8"/>
  <c r="FE170" i="8"/>
  <c r="FD170" i="8"/>
  <c r="FI169" i="8"/>
  <c r="FH169" i="8"/>
  <c r="FG169" i="8"/>
  <c r="FF169" i="8"/>
  <c r="FE169" i="8"/>
  <c r="FD169" i="8"/>
  <c r="FI168" i="8"/>
  <c r="FH168" i="8"/>
  <c r="FG168" i="8"/>
  <c r="FF168" i="8"/>
  <c r="FE168" i="8"/>
  <c r="FD168" i="8"/>
  <c r="FI167" i="8"/>
  <c r="FH167" i="8"/>
  <c r="FG167" i="8"/>
  <c r="FF167" i="8"/>
  <c r="FE167" i="8"/>
  <c r="FD167" i="8"/>
  <c r="FI166" i="8"/>
  <c r="FH166" i="8"/>
  <c r="FG166" i="8"/>
  <c r="FF166" i="8"/>
  <c r="FE166" i="8"/>
  <c r="FD166" i="8"/>
  <c r="FI165" i="8"/>
  <c r="FH165" i="8"/>
  <c r="FG165" i="8"/>
  <c r="FF165" i="8"/>
  <c r="FE165" i="8"/>
  <c r="FD165" i="8"/>
  <c r="FI164" i="8"/>
  <c r="FH164" i="8"/>
  <c r="FG164" i="8"/>
  <c r="FF164" i="8"/>
  <c r="FE164" i="8"/>
  <c r="FD164" i="8"/>
  <c r="FI163" i="8"/>
  <c r="FH163" i="8"/>
  <c r="FG163" i="8"/>
  <c r="FF163" i="8"/>
  <c r="FE163" i="8"/>
  <c r="FD163" i="8"/>
  <c r="FI162" i="8"/>
  <c r="FH162" i="8"/>
  <c r="FG162" i="8"/>
  <c r="FF162" i="8"/>
  <c r="FE162" i="8"/>
  <c r="FD162" i="8"/>
  <c r="FI161" i="8"/>
  <c r="FH161" i="8"/>
  <c r="FG161" i="8"/>
  <c r="FF161" i="8"/>
  <c r="FE161" i="8"/>
  <c r="FD161" i="8"/>
  <c r="FI160" i="8"/>
  <c r="FH160" i="8"/>
  <c r="FG160" i="8"/>
  <c r="FF160" i="8"/>
  <c r="FE160" i="8"/>
  <c r="FD160" i="8"/>
  <c r="FI159" i="8"/>
  <c r="FH159" i="8"/>
  <c r="FG159" i="8"/>
  <c r="FF159" i="8"/>
  <c r="FE159" i="8"/>
  <c r="FD159" i="8"/>
  <c r="FI158" i="8"/>
  <c r="FH158" i="8"/>
  <c r="FG158" i="8"/>
  <c r="FF158" i="8"/>
  <c r="FE158" i="8"/>
  <c r="FD158" i="8"/>
  <c r="FI157" i="8"/>
  <c r="FH157" i="8"/>
  <c r="FG157" i="8"/>
  <c r="FF157" i="8"/>
  <c r="FE157" i="8"/>
  <c r="FD157" i="8"/>
  <c r="FI156" i="8"/>
  <c r="FH156" i="8"/>
  <c r="FG156" i="8"/>
  <c r="FF156" i="8"/>
  <c r="FE156" i="8"/>
  <c r="FD156" i="8"/>
  <c r="FI155" i="8"/>
  <c r="FH155" i="8"/>
  <c r="FG155" i="8"/>
  <c r="FF155" i="8"/>
  <c r="FE155" i="8"/>
  <c r="FD155" i="8"/>
  <c r="FI154" i="8"/>
  <c r="FH154" i="8"/>
  <c r="FG154" i="8"/>
  <c r="FF154" i="8"/>
  <c r="FE154" i="8"/>
  <c r="FD154" i="8"/>
  <c r="FI153" i="8"/>
  <c r="FH153" i="8"/>
  <c r="FG153" i="8"/>
  <c r="FF153" i="8"/>
  <c r="FE153" i="8"/>
  <c r="FD153" i="8"/>
  <c r="FI152" i="8"/>
  <c r="FH152" i="8"/>
  <c r="FG152" i="8"/>
  <c r="FF152" i="8"/>
  <c r="FE152" i="8"/>
  <c r="FD152" i="8"/>
  <c r="FI151" i="8"/>
  <c r="FH151" i="8"/>
  <c r="FG151" i="8"/>
  <c r="FF151" i="8"/>
  <c r="FE151" i="8"/>
  <c r="FD151" i="8"/>
  <c r="FI150" i="8"/>
  <c r="FH150" i="8"/>
  <c r="FG150" i="8"/>
  <c r="FF150" i="8"/>
  <c r="FE150" i="8"/>
  <c r="FD150" i="8"/>
  <c r="FI149" i="8"/>
  <c r="FH149" i="8"/>
  <c r="FG149" i="8"/>
  <c r="FF149" i="8"/>
  <c r="FE149" i="8"/>
  <c r="FD149" i="8"/>
  <c r="FI148" i="8"/>
  <c r="FH148" i="8"/>
  <c r="FG148" i="8"/>
  <c r="FF148" i="8"/>
  <c r="FE148" i="8"/>
  <c r="FD148" i="8"/>
  <c r="FI147" i="8"/>
  <c r="FH147" i="8"/>
  <c r="FG147" i="8"/>
  <c r="FF147" i="8"/>
  <c r="FE147" i="8"/>
  <c r="FD147" i="8"/>
  <c r="FI146" i="8"/>
  <c r="FH146" i="8"/>
  <c r="FG146" i="8"/>
  <c r="FF146" i="8"/>
  <c r="FE146" i="8"/>
  <c r="FD146" i="8"/>
  <c r="FI145" i="8"/>
  <c r="FH145" i="8"/>
  <c r="FG145" i="8"/>
  <c r="FF145" i="8"/>
  <c r="FE145" i="8"/>
  <c r="FD145" i="8"/>
  <c r="FI144" i="8"/>
  <c r="FH144" i="8"/>
  <c r="FG144" i="8"/>
  <c r="FF144" i="8"/>
  <c r="FE144" i="8"/>
  <c r="FD144" i="8"/>
  <c r="FI143" i="8"/>
  <c r="FH143" i="8"/>
  <c r="FG143" i="8"/>
  <c r="FF143" i="8"/>
  <c r="FE143" i="8"/>
  <c r="FD143" i="8"/>
  <c r="FI142" i="8"/>
  <c r="FH142" i="8"/>
  <c r="FG142" i="8"/>
  <c r="FF142" i="8"/>
  <c r="FE142" i="8"/>
  <c r="FD142" i="8"/>
  <c r="FI141" i="8"/>
  <c r="FH141" i="8"/>
  <c r="FG141" i="8"/>
  <c r="FF141" i="8"/>
  <c r="FE141" i="8"/>
  <c r="FD141" i="8"/>
  <c r="FI140" i="8"/>
  <c r="FH140" i="8"/>
  <c r="FG140" i="8"/>
  <c r="FF140" i="8"/>
  <c r="FE140" i="8"/>
  <c r="FD140" i="8"/>
  <c r="FI139" i="8"/>
  <c r="FH139" i="8"/>
  <c r="FG139" i="8"/>
  <c r="FF139" i="8"/>
  <c r="FE139" i="8"/>
  <c r="FD139" i="8"/>
  <c r="FI138" i="8"/>
  <c r="FH138" i="8"/>
  <c r="FG138" i="8"/>
  <c r="FF138" i="8"/>
  <c r="FE138" i="8"/>
  <c r="FD138" i="8"/>
  <c r="FI137" i="8"/>
  <c r="FH137" i="8"/>
  <c r="FG137" i="8"/>
  <c r="FF137" i="8"/>
  <c r="FE137" i="8"/>
  <c r="FD137" i="8"/>
  <c r="FI136" i="8"/>
  <c r="FH136" i="8"/>
  <c r="FG136" i="8"/>
  <c r="FF136" i="8"/>
  <c r="FE136" i="8"/>
  <c r="FD136" i="8"/>
  <c r="FI135" i="8"/>
  <c r="FH135" i="8"/>
  <c r="FG135" i="8"/>
  <c r="FF135" i="8"/>
  <c r="FE135" i="8"/>
  <c r="FD135" i="8"/>
  <c r="FI134" i="8"/>
  <c r="FH134" i="8"/>
  <c r="FG134" i="8"/>
  <c r="FF134" i="8"/>
  <c r="FE134" i="8"/>
  <c r="FD134" i="8"/>
  <c r="FI133" i="8"/>
  <c r="FH133" i="8"/>
  <c r="FG133" i="8"/>
  <c r="FF133" i="8"/>
  <c r="FE133" i="8"/>
  <c r="FD133" i="8"/>
  <c r="FI132" i="8"/>
  <c r="FH132" i="8"/>
  <c r="FG132" i="8"/>
  <c r="FF132" i="8"/>
  <c r="FE132" i="8"/>
  <c r="FD132" i="8"/>
  <c r="FI131" i="8"/>
  <c r="FH131" i="8"/>
  <c r="FG131" i="8"/>
  <c r="FF131" i="8"/>
  <c r="FE131" i="8"/>
  <c r="FD131" i="8"/>
  <c r="FI130" i="8"/>
  <c r="FH130" i="8"/>
  <c r="FG130" i="8"/>
  <c r="FF130" i="8"/>
  <c r="FE130" i="8"/>
  <c r="FD130" i="8"/>
  <c r="FI129" i="8"/>
  <c r="FH129" i="8"/>
  <c r="FG129" i="8"/>
  <c r="FF129" i="8"/>
  <c r="FE129" i="8"/>
  <c r="FD129" i="8"/>
  <c r="FI128" i="8"/>
  <c r="FH128" i="8"/>
  <c r="FG128" i="8"/>
  <c r="FF128" i="8"/>
  <c r="FE128" i="8"/>
  <c r="FD128" i="8"/>
  <c r="FI127" i="8"/>
  <c r="FH127" i="8"/>
  <c r="FG127" i="8"/>
  <c r="FF127" i="8"/>
  <c r="FE127" i="8"/>
  <c r="FD127" i="8"/>
  <c r="FI126" i="8"/>
  <c r="FH126" i="8"/>
  <c r="FG126" i="8"/>
  <c r="FF126" i="8"/>
  <c r="FE126" i="8"/>
  <c r="FD126" i="8"/>
  <c r="FI125" i="8"/>
  <c r="FH125" i="8"/>
  <c r="FG125" i="8"/>
  <c r="FF125" i="8"/>
  <c r="FE125" i="8"/>
  <c r="FD125" i="8"/>
  <c r="FI124" i="8"/>
  <c r="FH124" i="8"/>
  <c r="FG124" i="8"/>
  <c r="FF124" i="8"/>
  <c r="FE124" i="8"/>
  <c r="FD124" i="8"/>
  <c r="FI123" i="8"/>
  <c r="FH123" i="8"/>
  <c r="FG123" i="8"/>
  <c r="FF123" i="8"/>
  <c r="FE123" i="8"/>
  <c r="FD123" i="8"/>
  <c r="FI122" i="8"/>
  <c r="FH122" i="8"/>
  <c r="FG122" i="8"/>
  <c r="FF122" i="8"/>
  <c r="FE122" i="8"/>
  <c r="FD122" i="8"/>
  <c r="FI121" i="8"/>
  <c r="FH121" i="8"/>
  <c r="FG121" i="8"/>
  <c r="FF121" i="8"/>
  <c r="FE121" i="8"/>
  <c r="FD121" i="8"/>
  <c r="FI120" i="8"/>
  <c r="FH120" i="8"/>
  <c r="FG120" i="8"/>
  <c r="FF120" i="8"/>
  <c r="FE120" i="8"/>
  <c r="FD120" i="8"/>
  <c r="FI119" i="8"/>
  <c r="FH119" i="8"/>
  <c r="FG119" i="8"/>
  <c r="FF119" i="8"/>
  <c r="FE119" i="8"/>
  <c r="FD119" i="8"/>
  <c r="FI118" i="8"/>
  <c r="FH118" i="8"/>
  <c r="FG118" i="8"/>
  <c r="FF118" i="8"/>
  <c r="FE118" i="8"/>
  <c r="FD118" i="8"/>
  <c r="FI117" i="8"/>
  <c r="FH117" i="8"/>
  <c r="FG117" i="8"/>
  <c r="FF117" i="8"/>
  <c r="FE117" i="8"/>
  <c r="FD117" i="8"/>
  <c r="FI116" i="8"/>
  <c r="FH116" i="8"/>
  <c r="FG116" i="8"/>
  <c r="FF116" i="8"/>
  <c r="FE116" i="8"/>
  <c r="FD116" i="8"/>
  <c r="FI115" i="8"/>
  <c r="FH115" i="8"/>
  <c r="FG115" i="8"/>
  <c r="FF115" i="8"/>
  <c r="FE115" i="8"/>
  <c r="FD115" i="8"/>
  <c r="FI114" i="8"/>
  <c r="FH114" i="8"/>
  <c r="FG114" i="8"/>
  <c r="FF114" i="8"/>
  <c r="FE114" i="8"/>
  <c r="FD114" i="8"/>
  <c r="FI113" i="8"/>
  <c r="FH113" i="8"/>
  <c r="FG113" i="8"/>
  <c r="FF113" i="8"/>
  <c r="FE113" i="8"/>
  <c r="FD113" i="8"/>
  <c r="FI112" i="8"/>
  <c r="FG112" i="8"/>
  <c r="FF112" i="8"/>
  <c r="FE112" i="8"/>
  <c r="FD112" i="8"/>
  <c r="FI111" i="8"/>
  <c r="FH111" i="8"/>
  <c r="FG111" i="8"/>
  <c r="FF111" i="8"/>
  <c r="FE111" i="8"/>
  <c r="FD111" i="8"/>
  <c r="FI110" i="8"/>
  <c r="FG110" i="8"/>
  <c r="FF110" i="8"/>
  <c r="FE110" i="8"/>
  <c r="FD110" i="8"/>
  <c r="FI109" i="8"/>
  <c r="FG109" i="8"/>
  <c r="FF109" i="8"/>
  <c r="FE109" i="8"/>
  <c r="FD109" i="8"/>
  <c r="FI108" i="8"/>
  <c r="FG108" i="8"/>
  <c r="FF108" i="8"/>
  <c r="FE108" i="8"/>
  <c r="FD108" i="8"/>
  <c r="FI107" i="8"/>
  <c r="FG107" i="8"/>
  <c r="FF107" i="8"/>
  <c r="FE107" i="8"/>
  <c r="FD107" i="8"/>
  <c r="CK107" i="8"/>
  <c r="FI106" i="8"/>
  <c r="FG106" i="8"/>
  <c r="FF106" i="8"/>
  <c r="FE106" i="8"/>
  <c r="FD106" i="8"/>
  <c r="CK106" i="8"/>
  <c r="FI105" i="8"/>
  <c r="FG105" i="8"/>
  <c r="FF105" i="8"/>
  <c r="FE105" i="8"/>
  <c r="FD105" i="8"/>
  <c r="CK105" i="8"/>
  <c r="CE105" i="8"/>
  <c r="FI104" i="8"/>
  <c r="FG104" i="8"/>
  <c r="FF104" i="8"/>
  <c r="FE104" i="8"/>
  <c r="FD104" i="8"/>
  <c r="FI103" i="8"/>
  <c r="FG103" i="8"/>
  <c r="FF103" i="8"/>
  <c r="FE103" i="8"/>
  <c r="FD103" i="8"/>
  <c r="FI102" i="8"/>
  <c r="FG102" i="8"/>
  <c r="FF102" i="8"/>
  <c r="FE102" i="8"/>
  <c r="FD102" i="8"/>
  <c r="FI101" i="8"/>
  <c r="FG101" i="8"/>
  <c r="FF101" i="8"/>
  <c r="FE101" i="8"/>
  <c r="FD101" i="8"/>
  <c r="AF37" i="8"/>
  <c r="FH112" i="8" s="1"/>
  <c r="AF36" i="8"/>
  <c r="AF35" i="8"/>
  <c r="FH110" i="8" s="1"/>
  <c r="AF34" i="8"/>
  <c r="FH109" i="8" s="1"/>
  <c r="AF33" i="8"/>
  <c r="FH108" i="8" s="1"/>
  <c r="AF32" i="8"/>
  <c r="FH107" i="8" s="1"/>
  <c r="AF31" i="8"/>
  <c r="FH106" i="8" s="1"/>
  <c r="AF30" i="8"/>
  <c r="FH105" i="8" s="1"/>
  <c r="AF29" i="8"/>
  <c r="FH104" i="8" s="1"/>
  <c r="AF28" i="8"/>
  <c r="FH103" i="8" s="1"/>
  <c r="AF27" i="8"/>
  <c r="FH102" i="8" s="1"/>
  <c r="AF26" i="8"/>
  <c r="FH101" i="8" s="1"/>
  <c r="FI181" i="7"/>
  <c r="FH181" i="7"/>
  <c r="FG181" i="7"/>
  <c r="FF181" i="7"/>
  <c r="FE181" i="7"/>
  <c r="FD181" i="7"/>
  <c r="FI180" i="7"/>
  <c r="FH180" i="7"/>
  <c r="FG180" i="7"/>
  <c r="FF180" i="7"/>
  <c r="FE180" i="7"/>
  <c r="FD180" i="7"/>
  <c r="FI179" i="7"/>
  <c r="FH179" i="7"/>
  <c r="FG179" i="7"/>
  <c r="FF179" i="7"/>
  <c r="FE179" i="7"/>
  <c r="FD179" i="7"/>
  <c r="FI178" i="7"/>
  <c r="FH178" i="7"/>
  <c r="FG178" i="7"/>
  <c r="FF178" i="7"/>
  <c r="FE178" i="7"/>
  <c r="FD178" i="7"/>
  <c r="FI177" i="7"/>
  <c r="FH177" i="7"/>
  <c r="FG177" i="7"/>
  <c r="FF177" i="7"/>
  <c r="FE177" i="7"/>
  <c r="FD177" i="7"/>
  <c r="FI176" i="7"/>
  <c r="FH176" i="7"/>
  <c r="FG176" i="7"/>
  <c r="FF176" i="7"/>
  <c r="FE176" i="7"/>
  <c r="FD176" i="7"/>
  <c r="FI175" i="7"/>
  <c r="FH175" i="7"/>
  <c r="FG175" i="7"/>
  <c r="FF175" i="7"/>
  <c r="FE175" i="7"/>
  <c r="FD175" i="7"/>
  <c r="FI174" i="7"/>
  <c r="FH174" i="7"/>
  <c r="FG174" i="7"/>
  <c r="FF174" i="7"/>
  <c r="FE174" i="7"/>
  <c r="FD174" i="7"/>
  <c r="FI173" i="7"/>
  <c r="FH173" i="7"/>
  <c r="FG173" i="7"/>
  <c r="FF173" i="7"/>
  <c r="FE173" i="7"/>
  <c r="FD173" i="7"/>
  <c r="FI172" i="7"/>
  <c r="FH172" i="7"/>
  <c r="FG172" i="7"/>
  <c r="FF172" i="7"/>
  <c r="FE172" i="7"/>
  <c r="FD172" i="7"/>
  <c r="FI171" i="7"/>
  <c r="FH171" i="7"/>
  <c r="FG171" i="7"/>
  <c r="FF171" i="7"/>
  <c r="FE171" i="7"/>
  <c r="FD171" i="7"/>
  <c r="FI170" i="7"/>
  <c r="FH170" i="7"/>
  <c r="FG170" i="7"/>
  <c r="FF170" i="7"/>
  <c r="FE170" i="7"/>
  <c r="FD170" i="7"/>
  <c r="FI169" i="7"/>
  <c r="FH169" i="7"/>
  <c r="FG169" i="7"/>
  <c r="FF169" i="7"/>
  <c r="FE169" i="7"/>
  <c r="FD169" i="7"/>
  <c r="FI168" i="7"/>
  <c r="FH168" i="7"/>
  <c r="FG168" i="7"/>
  <c r="FF168" i="7"/>
  <c r="FE168" i="7"/>
  <c r="FD168" i="7"/>
  <c r="FI167" i="7"/>
  <c r="FH167" i="7"/>
  <c r="FG167" i="7"/>
  <c r="FF167" i="7"/>
  <c r="FE167" i="7"/>
  <c r="FD167" i="7"/>
  <c r="FI166" i="7"/>
  <c r="FH166" i="7"/>
  <c r="FG166" i="7"/>
  <c r="FF166" i="7"/>
  <c r="FE166" i="7"/>
  <c r="FD166" i="7"/>
  <c r="FI165" i="7"/>
  <c r="FH165" i="7"/>
  <c r="FG165" i="7"/>
  <c r="FF165" i="7"/>
  <c r="FE165" i="7"/>
  <c r="FD165" i="7"/>
  <c r="FI164" i="7"/>
  <c r="FH164" i="7"/>
  <c r="FG164" i="7"/>
  <c r="FF164" i="7"/>
  <c r="FE164" i="7"/>
  <c r="FD164" i="7"/>
  <c r="FI163" i="7"/>
  <c r="FH163" i="7"/>
  <c r="FG163" i="7"/>
  <c r="FF163" i="7"/>
  <c r="FE163" i="7"/>
  <c r="FD163" i="7"/>
  <c r="FI162" i="7"/>
  <c r="FH162" i="7"/>
  <c r="FG162" i="7"/>
  <c r="FF162" i="7"/>
  <c r="FE162" i="7"/>
  <c r="FD162" i="7"/>
  <c r="FI161" i="7"/>
  <c r="FH161" i="7"/>
  <c r="FG161" i="7"/>
  <c r="FF161" i="7"/>
  <c r="FE161" i="7"/>
  <c r="FD161" i="7"/>
  <c r="FI160" i="7"/>
  <c r="FH160" i="7"/>
  <c r="FG160" i="7"/>
  <c r="FF160" i="7"/>
  <c r="FE160" i="7"/>
  <c r="FD160" i="7"/>
  <c r="FI159" i="7"/>
  <c r="FH159" i="7"/>
  <c r="FG159" i="7"/>
  <c r="FF159" i="7"/>
  <c r="FE159" i="7"/>
  <c r="FD159" i="7"/>
  <c r="FI158" i="7"/>
  <c r="FH158" i="7"/>
  <c r="FG158" i="7"/>
  <c r="FF158" i="7"/>
  <c r="FE158" i="7"/>
  <c r="FD158" i="7"/>
  <c r="FI157" i="7"/>
  <c r="FH157" i="7"/>
  <c r="FG157" i="7"/>
  <c r="FF157" i="7"/>
  <c r="FE157" i="7"/>
  <c r="FD157" i="7"/>
  <c r="FI156" i="7"/>
  <c r="FH156" i="7"/>
  <c r="FG156" i="7"/>
  <c r="FF156" i="7"/>
  <c r="FE156" i="7"/>
  <c r="FD156" i="7"/>
  <c r="FI155" i="7"/>
  <c r="FH155" i="7"/>
  <c r="FG155" i="7"/>
  <c r="FF155" i="7"/>
  <c r="FE155" i="7"/>
  <c r="FD155" i="7"/>
  <c r="FI154" i="7"/>
  <c r="FH154" i="7"/>
  <c r="FG154" i="7"/>
  <c r="FF154" i="7"/>
  <c r="FE154" i="7"/>
  <c r="FD154" i="7"/>
  <c r="FI153" i="7"/>
  <c r="FH153" i="7"/>
  <c r="FG153" i="7"/>
  <c r="FF153" i="7"/>
  <c r="FE153" i="7"/>
  <c r="FD153" i="7"/>
  <c r="FI152" i="7"/>
  <c r="FH152" i="7"/>
  <c r="FG152" i="7"/>
  <c r="FF152" i="7"/>
  <c r="FE152" i="7"/>
  <c r="FD152" i="7"/>
  <c r="FI151" i="7"/>
  <c r="FH151" i="7"/>
  <c r="FG151" i="7"/>
  <c r="FF151" i="7"/>
  <c r="FE151" i="7"/>
  <c r="FD151" i="7"/>
  <c r="FI150" i="7"/>
  <c r="FH150" i="7"/>
  <c r="FG150" i="7"/>
  <c r="FF150" i="7"/>
  <c r="FE150" i="7"/>
  <c r="FD150" i="7"/>
  <c r="FI149" i="7"/>
  <c r="FH149" i="7"/>
  <c r="FG149" i="7"/>
  <c r="FF149" i="7"/>
  <c r="FE149" i="7"/>
  <c r="FD149" i="7"/>
  <c r="FI148" i="7"/>
  <c r="FH148" i="7"/>
  <c r="FG148" i="7"/>
  <c r="FF148" i="7"/>
  <c r="FE148" i="7"/>
  <c r="FD148" i="7"/>
  <c r="FI147" i="7"/>
  <c r="FH147" i="7"/>
  <c r="FG147" i="7"/>
  <c r="FF147" i="7"/>
  <c r="FE147" i="7"/>
  <c r="FD147" i="7"/>
  <c r="FI146" i="7"/>
  <c r="FH146" i="7"/>
  <c r="FG146" i="7"/>
  <c r="FF146" i="7"/>
  <c r="FE146" i="7"/>
  <c r="FD146" i="7"/>
  <c r="FI145" i="7"/>
  <c r="FH145" i="7"/>
  <c r="FG145" i="7"/>
  <c r="FF145" i="7"/>
  <c r="FE145" i="7"/>
  <c r="FD145" i="7"/>
  <c r="FI144" i="7"/>
  <c r="FH144" i="7"/>
  <c r="FG144" i="7"/>
  <c r="FF144" i="7"/>
  <c r="FE144" i="7"/>
  <c r="FD144" i="7"/>
  <c r="FI143" i="7"/>
  <c r="FH143" i="7"/>
  <c r="FG143" i="7"/>
  <c r="FF143" i="7"/>
  <c r="FE143" i="7"/>
  <c r="FD143" i="7"/>
  <c r="FI142" i="7"/>
  <c r="FH142" i="7"/>
  <c r="FG142" i="7"/>
  <c r="FF142" i="7"/>
  <c r="FE142" i="7"/>
  <c r="FD142" i="7"/>
  <c r="FI141" i="7"/>
  <c r="FH141" i="7"/>
  <c r="FG141" i="7"/>
  <c r="FF141" i="7"/>
  <c r="FE141" i="7"/>
  <c r="FD141" i="7"/>
  <c r="FI140" i="7"/>
  <c r="FH140" i="7"/>
  <c r="FG140" i="7"/>
  <c r="FF140" i="7"/>
  <c r="FE140" i="7"/>
  <c r="FD140" i="7"/>
  <c r="FI139" i="7"/>
  <c r="FH139" i="7"/>
  <c r="FG139" i="7"/>
  <c r="FF139" i="7"/>
  <c r="FE139" i="7"/>
  <c r="FD139" i="7"/>
  <c r="FI138" i="7"/>
  <c r="FH138" i="7"/>
  <c r="FG138" i="7"/>
  <c r="FF138" i="7"/>
  <c r="FE138" i="7"/>
  <c r="FD138" i="7"/>
  <c r="FI137" i="7"/>
  <c r="FH137" i="7"/>
  <c r="FG137" i="7"/>
  <c r="FF137" i="7"/>
  <c r="FE137" i="7"/>
  <c r="FD137" i="7"/>
  <c r="FI136" i="7"/>
  <c r="FH136" i="7"/>
  <c r="FG136" i="7"/>
  <c r="FF136" i="7"/>
  <c r="FE136" i="7"/>
  <c r="FD136" i="7"/>
  <c r="FI135" i="7"/>
  <c r="FH135" i="7"/>
  <c r="FG135" i="7"/>
  <c r="FF135" i="7"/>
  <c r="FE135" i="7"/>
  <c r="FD135" i="7"/>
  <c r="FI134" i="7"/>
  <c r="FH134" i="7"/>
  <c r="FG134" i="7"/>
  <c r="FF134" i="7"/>
  <c r="FE134" i="7"/>
  <c r="FD134" i="7"/>
  <c r="FI133" i="7"/>
  <c r="FH133" i="7"/>
  <c r="FG133" i="7"/>
  <c r="FF133" i="7"/>
  <c r="FE133" i="7"/>
  <c r="FD133" i="7"/>
  <c r="FI132" i="7"/>
  <c r="FH132" i="7"/>
  <c r="FG132" i="7"/>
  <c r="FF132" i="7"/>
  <c r="FE132" i="7"/>
  <c r="FD132" i="7"/>
  <c r="FI131" i="7"/>
  <c r="FH131" i="7"/>
  <c r="FG131" i="7"/>
  <c r="FF131" i="7"/>
  <c r="FE131" i="7"/>
  <c r="FD131" i="7"/>
  <c r="FI130" i="7"/>
  <c r="FH130" i="7"/>
  <c r="FG130" i="7"/>
  <c r="FF130" i="7"/>
  <c r="FE130" i="7"/>
  <c r="FD130" i="7"/>
  <c r="FI129" i="7"/>
  <c r="FH129" i="7"/>
  <c r="FG129" i="7"/>
  <c r="FF129" i="7"/>
  <c r="FE129" i="7"/>
  <c r="FD129" i="7"/>
  <c r="FI128" i="7"/>
  <c r="FH128" i="7"/>
  <c r="FG128" i="7"/>
  <c r="FF128" i="7"/>
  <c r="FE128" i="7"/>
  <c r="FD128" i="7"/>
  <c r="FI127" i="7"/>
  <c r="FH127" i="7"/>
  <c r="FG127" i="7"/>
  <c r="FF127" i="7"/>
  <c r="FE127" i="7"/>
  <c r="FD127" i="7"/>
  <c r="FI126" i="7"/>
  <c r="FH126" i="7"/>
  <c r="FG126" i="7"/>
  <c r="FF126" i="7"/>
  <c r="FE126" i="7"/>
  <c r="FD126" i="7"/>
  <c r="FI125" i="7"/>
  <c r="FH125" i="7"/>
  <c r="FG125" i="7"/>
  <c r="FF125" i="7"/>
  <c r="FE125" i="7"/>
  <c r="FD125" i="7"/>
  <c r="FI124" i="7"/>
  <c r="FH124" i="7"/>
  <c r="FG124" i="7"/>
  <c r="FF124" i="7"/>
  <c r="FE124" i="7"/>
  <c r="FD124" i="7"/>
  <c r="FI123" i="7"/>
  <c r="FH123" i="7"/>
  <c r="FG123" i="7"/>
  <c r="FF123" i="7"/>
  <c r="FE123" i="7"/>
  <c r="FD123" i="7"/>
  <c r="FI122" i="7"/>
  <c r="FH122" i="7"/>
  <c r="FG122" i="7"/>
  <c r="FF122" i="7"/>
  <c r="FE122" i="7"/>
  <c r="FD122" i="7"/>
  <c r="FI121" i="7"/>
  <c r="FH121" i="7"/>
  <c r="FG121" i="7"/>
  <c r="FF121" i="7"/>
  <c r="FE121" i="7"/>
  <c r="FD121" i="7"/>
  <c r="FI120" i="7"/>
  <c r="FH120" i="7"/>
  <c r="FG120" i="7"/>
  <c r="FF120" i="7"/>
  <c r="FE120" i="7"/>
  <c r="FD120" i="7"/>
  <c r="FI119" i="7"/>
  <c r="FH119" i="7"/>
  <c r="FG119" i="7"/>
  <c r="FF119" i="7"/>
  <c r="FE119" i="7"/>
  <c r="FD119" i="7"/>
  <c r="FI118" i="7"/>
  <c r="FH118" i="7"/>
  <c r="FG118" i="7"/>
  <c r="FF118" i="7"/>
  <c r="FE118" i="7"/>
  <c r="FD118" i="7"/>
  <c r="FI117" i="7"/>
  <c r="FH117" i="7"/>
  <c r="FG117" i="7"/>
  <c r="FF117" i="7"/>
  <c r="FE117" i="7"/>
  <c r="FD117" i="7"/>
  <c r="FI116" i="7"/>
  <c r="FH116" i="7"/>
  <c r="FG116" i="7"/>
  <c r="FF116" i="7"/>
  <c r="FE116" i="7"/>
  <c r="FD116" i="7"/>
  <c r="FI115" i="7"/>
  <c r="FH115" i="7"/>
  <c r="FG115" i="7"/>
  <c r="FF115" i="7"/>
  <c r="FE115" i="7"/>
  <c r="FD115" i="7"/>
  <c r="FI114" i="7"/>
  <c r="FH114" i="7"/>
  <c r="FG114" i="7"/>
  <c r="FF114" i="7"/>
  <c r="FE114" i="7"/>
  <c r="FD114" i="7"/>
  <c r="FI113" i="7"/>
  <c r="FH113" i="7"/>
  <c r="FG113" i="7"/>
  <c r="FF113" i="7"/>
  <c r="FE113" i="7"/>
  <c r="FD113" i="7"/>
  <c r="FI112" i="7"/>
  <c r="FG112" i="7"/>
  <c r="FF112" i="7"/>
  <c r="FE112" i="7"/>
  <c r="FD112" i="7"/>
  <c r="FI111" i="7"/>
  <c r="FG111" i="7"/>
  <c r="FF111" i="7"/>
  <c r="FE111" i="7"/>
  <c r="FD111" i="7"/>
  <c r="FI110" i="7"/>
  <c r="FG110" i="7"/>
  <c r="FF110" i="7"/>
  <c r="FE110" i="7"/>
  <c r="FD110" i="7"/>
  <c r="FI109" i="7"/>
  <c r="FG109" i="7"/>
  <c r="FF109" i="7"/>
  <c r="FE109" i="7"/>
  <c r="FD109" i="7"/>
  <c r="FI108" i="7"/>
  <c r="FG108" i="7"/>
  <c r="FF108" i="7"/>
  <c r="FE108" i="7"/>
  <c r="FD108" i="7"/>
  <c r="FI107" i="7"/>
  <c r="FG107" i="7"/>
  <c r="FF107" i="7"/>
  <c r="FE107" i="7"/>
  <c r="FD107" i="7"/>
  <c r="CK107" i="7"/>
  <c r="FI106" i="7"/>
  <c r="FG106" i="7"/>
  <c r="FF106" i="7"/>
  <c r="FE106" i="7"/>
  <c r="FD106" i="7"/>
  <c r="CK106" i="7"/>
  <c r="FI105" i="7"/>
  <c r="FG105" i="7"/>
  <c r="FF105" i="7"/>
  <c r="FE105" i="7"/>
  <c r="FD105" i="7"/>
  <c r="CK105" i="7"/>
  <c r="CE105" i="7"/>
  <c r="FI104" i="7"/>
  <c r="FG104" i="7"/>
  <c r="FF104" i="7"/>
  <c r="FE104" i="7"/>
  <c r="FD104" i="7"/>
  <c r="FI103" i="7"/>
  <c r="FG103" i="7"/>
  <c r="FF103" i="7"/>
  <c r="FE103" i="7"/>
  <c r="FD103" i="7"/>
  <c r="FI102" i="7"/>
  <c r="FG102" i="7"/>
  <c r="FF102" i="7"/>
  <c r="FE102" i="7"/>
  <c r="FD102" i="7"/>
  <c r="FI101" i="7"/>
  <c r="FG101" i="7"/>
  <c r="FF101" i="7"/>
  <c r="FE101" i="7"/>
  <c r="FD101" i="7"/>
  <c r="AF37" i="7"/>
  <c r="FH112" i="7" s="1"/>
  <c r="AF36" i="7"/>
  <c r="FH111" i="7" s="1"/>
  <c r="AF35" i="7"/>
  <c r="FH110" i="7" s="1"/>
  <c r="AF34" i="7"/>
  <c r="FH109" i="7" s="1"/>
  <c r="AF33" i="7"/>
  <c r="FH108" i="7" s="1"/>
  <c r="AF32" i="7"/>
  <c r="FH107" i="7" s="1"/>
  <c r="AF31" i="7"/>
  <c r="FH106" i="7" s="1"/>
  <c r="AF30" i="7"/>
  <c r="FH105" i="7" s="1"/>
  <c r="AF29" i="7"/>
  <c r="FH104" i="7" s="1"/>
  <c r="AF28" i="7"/>
  <c r="FH103" i="7" s="1"/>
  <c r="AF27" i="7"/>
  <c r="FH102" i="7" s="1"/>
  <c r="AF26" i="7"/>
  <c r="FH101" i="7" s="1"/>
  <c r="FI181" i="6"/>
  <c r="FH181" i="6"/>
  <c r="FG181" i="6"/>
  <c r="FF181" i="6"/>
  <c r="FE181" i="6"/>
  <c r="FD181" i="6"/>
  <c r="FI180" i="6"/>
  <c r="FH180" i="6"/>
  <c r="FG180" i="6"/>
  <c r="FF180" i="6"/>
  <c r="FE180" i="6"/>
  <c r="FD180" i="6"/>
  <c r="FI179" i="6"/>
  <c r="FH179" i="6"/>
  <c r="FG179" i="6"/>
  <c r="FF179" i="6"/>
  <c r="FE179" i="6"/>
  <c r="FD179" i="6"/>
  <c r="FI178" i="6"/>
  <c r="FH178" i="6"/>
  <c r="FG178" i="6"/>
  <c r="FF178" i="6"/>
  <c r="FE178" i="6"/>
  <c r="FD178" i="6"/>
  <c r="FI177" i="6"/>
  <c r="FH177" i="6"/>
  <c r="FG177" i="6"/>
  <c r="FF177" i="6"/>
  <c r="FE177" i="6"/>
  <c r="FD177" i="6"/>
  <c r="FI176" i="6"/>
  <c r="FH176" i="6"/>
  <c r="FG176" i="6"/>
  <c r="FF176" i="6"/>
  <c r="FE176" i="6"/>
  <c r="FD176" i="6"/>
  <c r="FI175" i="6"/>
  <c r="FH175" i="6"/>
  <c r="FG175" i="6"/>
  <c r="FF175" i="6"/>
  <c r="FE175" i="6"/>
  <c r="FD175" i="6"/>
  <c r="FI174" i="6"/>
  <c r="FH174" i="6"/>
  <c r="FG174" i="6"/>
  <c r="FF174" i="6"/>
  <c r="FE174" i="6"/>
  <c r="FD174" i="6"/>
  <c r="FI173" i="6"/>
  <c r="FH173" i="6"/>
  <c r="FG173" i="6"/>
  <c r="FF173" i="6"/>
  <c r="FE173" i="6"/>
  <c r="FD173" i="6"/>
  <c r="FI172" i="6"/>
  <c r="FH172" i="6"/>
  <c r="FG172" i="6"/>
  <c r="FF172" i="6"/>
  <c r="FE172" i="6"/>
  <c r="FD172" i="6"/>
  <c r="FI171" i="6"/>
  <c r="FH171" i="6"/>
  <c r="FG171" i="6"/>
  <c r="FF171" i="6"/>
  <c r="FE171" i="6"/>
  <c r="FD171" i="6"/>
  <c r="FI170" i="6"/>
  <c r="FH170" i="6"/>
  <c r="FG170" i="6"/>
  <c r="FF170" i="6"/>
  <c r="FE170" i="6"/>
  <c r="FD170" i="6"/>
  <c r="FI169" i="6"/>
  <c r="FH169" i="6"/>
  <c r="FG169" i="6"/>
  <c r="FF169" i="6"/>
  <c r="FE169" i="6"/>
  <c r="FD169" i="6"/>
  <c r="FI168" i="6"/>
  <c r="FH168" i="6"/>
  <c r="FG168" i="6"/>
  <c r="FF168" i="6"/>
  <c r="FE168" i="6"/>
  <c r="FD168" i="6"/>
  <c r="FI167" i="6"/>
  <c r="FH167" i="6"/>
  <c r="FG167" i="6"/>
  <c r="FF167" i="6"/>
  <c r="FE167" i="6"/>
  <c r="FD167" i="6"/>
  <c r="FI166" i="6"/>
  <c r="FH166" i="6"/>
  <c r="FG166" i="6"/>
  <c r="FF166" i="6"/>
  <c r="FE166" i="6"/>
  <c r="FD166" i="6"/>
  <c r="FI165" i="6"/>
  <c r="FH165" i="6"/>
  <c r="FG165" i="6"/>
  <c r="FF165" i="6"/>
  <c r="FE165" i="6"/>
  <c r="FD165" i="6"/>
  <c r="FI164" i="6"/>
  <c r="FH164" i="6"/>
  <c r="FG164" i="6"/>
  <c r="FF164" i="6"/>
  <c r="FE164" i="6"/>
  <c r="FD164" i="6"/>
  <c r="FI163" i="6"/>
  <c r="FH163" i="6"/>
  <c r="FG163" i="6"/>
  <c r="FF163" i="6"/>
  <c r="FE163" i="6"/>
  <c r="FD163" i="6"/>
  <c r="FI162" i="6"/>
  <c r="FH162" i="6"/>
  <c r="FG162" i="6"/>
  <c r="FF162" i="6"/>
  <c r="FE162" i="6"/>
  <c r="FD162" i="6"/>
  <c r="FI161" i="6"/>
  <c r="FH161" i="6"/>
  <c r="FG161" i="6"/>
  <c r="FF161" i="6"/>
  <c r="FE161" i="6"/>
  <c r="FD161" i="6"/>
  <c r="FI160" i="6"/>
  <c r="FH160" i="6"/>
  <c r="FG160" i="6"/>
  <c r="FF160" i="6"/>
  <c r="FE160" i="6"/>
  <c r="FD160" i="6"/>
  <c r="FI159" i="6"/>
  <c r="FH159" i="6"/>
  <c r="FG159" i="6"/>
  <c r="FF159" i="6"/>
  <c r="FE159" i="6"/>
  <c r="FD159" i="6"/>
  <c r="FI158" i="6"/>
  <c r="FH158" i="6"/>
  <c r="FG158" i="6"/>
  <c r="FF158" i="6"/>
  <c r="FE158" i="6"/>
  <c r="FD158" i="6"/>
  <c r="FI157" i="6"/>
  <c r="FH157" i="6"/>
  <c r="FG157" i="6"/>
  <c r="FF157" i="6"/>
  <c r="FE157" i="6"/>
  <c r="FD157" i="6"/>
  <c r="FI156" i="6"/>
  <c r="FH156" i="6"/>
  <c r="FG156" i="6"/>
  <c r="FF156" i="6"/>
  <c r="FE156" i="6"/>
  <c r="FD156" i="6"/>
  <c r="FI155" i="6"/>
  <c r="FH155" i="6"/>
  <c r="FG155" i="6"/>
  <c r="FF155" i="6"/>
  <c r="FE155" i="6"/>
  <c r="FD155" i="6"/>
  <c r="FI154" i="6"/>
  <c r="FH154" i="6"/>
  <c r="FG154" i="6"/>
  <c r="FF154" i="6"/>
  <c r="FE154" i="6"/>
  <c r="FD154" i="6"/>
  <c r="FI153" i="6"/>
  <c r="FH153" i="6"/>
  <c r="FG153" i="6"/>
  <c r="FF153" i="6"/>
  <c r="FE153" i="6"/>
  <c r="FD153" i="6"/>
  <c r="FI152" i="6"/>
  <c r="FH152" i="6"/>
  <c r="FG152" i="6"/>
  <c r="FF152" i="6"/>
  <c r="FE152" i="6"/>
  <c r="FD152" i="6"/>
  <c r="FI151" i="6"/>
  <c r="FH151" i="6"/>
  <c r="FG151" i="6"/>
  <c r="FF151" i="6"/>
  <c r="FE151" i="6"/>
  <c r="FD151" i="6"/>
  <c r="FI150" i="6"/>
  <c r="FH150" i="6"/>
  <c r="FG150" i="6"/>
  <c r="FF150" i="6"/>
  <c r="FE150" i="6"/>
  <c r="FD150" i="6"/>
  <c r="FI149" i="6"/>
  <c r="FH149" i="6"/>
  <c r="FG149" i="6"/>
  <c r="FF149" i="6"/>
  <c r="FE149" i="6"/>
  <c r="FD149" i="6"/>
  <c r="FI148" i="6"/>
  <c r="FH148" i="6"/>
  <c r="FG148" i="6"/>
  <c r="FF148" i="6"/>
  <c r="FE148" i="6"/>
  <c r="FD148" i="6"/>
  <c r="FI147" i="6"/>
  <c r="FH147" i="6"/>
  <c r="FG147" i="6"/>
  <c r="FF147" i="6"/>
  <c r="FE147" i="6"/>
  <c r="FD147" i="6"/>
  <c r="FI146" i="6"/>
  <c r="FH146" i="6"/>
  <c r="FG146" i="6"/>
  <c r="FF146" i="6"/>
  <c r="FE146" i="6"/>
  <c r="FD146" i="6"/>
  <c r="FI145" i="6"/>
  <c r="FH145" i="6"/>
  <c r="FG145" i="6"/>
  <c r="FF145" i="6"/>
  <c r="FE145" i="6"/>
  <c r="FD145" i="6"/>
  <c r="FI144" i="6"/>
  <c r="FH144" i="6"/>
  <c r="FG144" i="6"/>
  <c r="FF144" i="6"/>
  <c r="FE144" i="6"/>
  <c r="FD144" i="6"/>
  <c r="FI143" i="6"/>
  <c r="FH143" i="6"/>
  <c r="FG143" i="6"/>
  <c r="FF143" i="6"/>
  <c r="FE143" i="6"/>
  <c r="FD143" i="6"/>
  <c r="FI142" i="6"/>
  <c r="FH142" i="6"/>
  <c r="FG142" i="6"/>
  <c r="FF142" i="6"/>
  <c r="FE142" i="6"/>
  <c r="FD142" i="6"/>
  <c r="FI141" i="6"/>
  <c r="FH141" i="6"/>
  <c r="FG141" i="6"/>
  <c r="FF141" i="6"/>
  <c r="FE141" i="6"/>
  <c r="FD141" i="6"/>
  <c r="FI140" i="6"/>
  <c r="FH140" i="6"/>
  <c r="FG140" i="6"/>
  <c r="FF140" i="6"/>
  <c r="FE140" i="6"/>
  <c r="FD140" i="6"/>
  <c r="FI139" i="6"/>
  <c r="FH139" i="6"/>
  <c r="FG139" i="6"/>
  <c r="FF139" i="6"/>
  <c r="FE139" i="6"/>
  <c r="FD139" i="6"/>
  <c r="FI138" i="6"/>
  <c r="FH138" i="6"/>
  <c r="FG138" i="6"/>
  <c r="FF138" i="6"/>
  <c r="FE138" i="6"/>
  <c r="FD138" i="6"/>
  <c r="FI137" i="6"/>
  <c r="FH137" i="6"/>
  <c r="FG137" i="6"/>
  <c r="FF137" i="6"/>
  <c r="FE137" i="6"/>
  <c r="FD137" i="6"/>
  <c r="FI136" i="6"/>
  <c r="FH136" i="6"/>
  <c r="FG136" i="6"/>
  <c r="FF136" i="6"/>
  <c r="FE136" i="6"/>
  <c r="FD136" i="6"/>
  <c r="FI135" i="6"/>
  <c r="FH135" i="6"/>
  <c r="FG135" i="6"/>
  <c r="FF135" i="6"/>
  <c r="FE135" i="6"/>
  <c r="FD135" i="6"/>
  <c r="FI134" i="6"/>
  <c r="FH134" i="6"/>
  <c r="FG134" i="6"/>
  <c r="FF134" i="6"/>
  <c r="FE134" i="6"/>
  <c r="FD134" i="6"/>
  <c r="FI133" i="6"/>
  <c r="FH133" i="6"/>
  <c r="FG133" i="6"/>
  <c r="FF133" i="6"/>
  <c r="FE133" i="6"/>
  <c r="FD133" i="6"/>
  <c r="FI132" i="6"/>
  <c r="FH132" i="6"/>
  <c r="FG132" i="6"/>
  <c r="FF132" i="6"/>
  <c r="FE132" i="6"/>
  <c r="FD132" i="6"/>
  <c r="FI131" i="6"/>
  <c r="FH131" i="6"/>
  <c r="FG131" i="6"/>
  <c r="FF131" i="6"/>
  <c r="FE131" i="6"/>
  <c r="FD131" i="6"/>
  <c r="FI130" i="6"/>
  <c r="FH130" i="6"/>
  <c r="FG130" i="6"/>
  <c r="FF130" i="6"/>
  <c r="FE130" i="6"/>
  <c r="FD130" i="6"/>
  <c r="FI129" i="6"/>
  <c r="FH129" i="6"/>
  <c r="FG129" i="6"/>
  <c r="FF129" i="6"/>
  <c r="FE129" i="6"/>
  <c r="FD129" i="6"/>
  <c r="FI128" i="6"/>
  <c r="FH128" i="6"/>
  <c r="FG128" i="6"/>
  <c r="FF128" i="6"/>
  <c r="FE128" i="6"/>
  <c r="FD128" i="6"/>
  <c r="FI127" i="6"/>
  <c r="FH127" i="6"/>
  <c r="FG127" i="6"/>
  <c r="FF127" i="6"/>
  <c r="FE127" i="6"/>
  <c r="FD127" i="6"/>
  <c r="FI126" i="6"/>
  <c r="FH126" i="6"/>
  <c r="FG126" i="6"/>
  <c r="FF126" i="6"/>
  <c r="FE126" i="6"/>
  <c r="FD126" i="6"/>
  <c r="FI125" i="6"/>
  <c r="FH125" i="6"/>
  <c r="FG125" i="6"/>
  <c r="FF125" i="6"/>
  <c r="FE125" i="6"/>
  <c r="FD125" i="6"/>
  <c r="FI124" i="6"/>
  <c r="FH124" i="6"/>
  <c r="FG124" i="6"/>
  <c r="FF124" i="6"/>
  <c r="FE124" i="6"/>
  <c r="FD124" i="6"/>
  <c r="FI123" i="6"/>
  <c r="FH123" i="6"/>
  <c r="FG123" i="6"/>
  <c r="FF123" i="6"/>
  <c r="FE123" i="6"/>
  <c r="FD123" i="6"/>
  <c r="FI122" i="6"/>
  <c r="FH122" i="6"/>
  <c r="FG122" i="6"/>
  <c r="FF122" i="6"/>
  <c r="FE122" i="6"/>
  <c r="FD122" i="6"/>
  <c r="FI121" i="6"/>
  <c r="FH121" i="6"/>
  <c r="FG121" i="6"/>
  <c r="FF121" i="6"/>
  <c r="FE121" i="6"/>
  <c r="FD121" i="6"/>
  <c r="FI120" i="6"/>
  <c r="FH120" i="6"/>
  <c r="FG120" i="6"/>
  <c r="FF120" i="6"/>
  <c r="FE120" i="6"/>
  <c r="FD120" i="6"/>
  <c r="FI119" i="6"/>
  <c r="FH119" i="6"/>
  <c r="FG119" i="6"/>
  <c r="FF119" i="6"/>
  <c r="FE119" i="6"/>
  <c r="FD119" i="6"/>
  <c r="FI118" i="6"/>
  <c r="FH118" i="6"/>
  <c r="FG118" i="6"/>
  <c r="FF118" i="6"/>
  <c r="FE118" i="6"/>
  <c r="FD118" i="6"/>
  <c r="FI117" i="6"/>
  <c r="FH117" i="6"/>
  <c r="FG117" i="6"/>
  <c r="FF117" i="6"/>
  <c r="FE117" i="6"/>
  <c r="FD117" i="6"/>
  <c r="FI116" i="6"/>
  <c r="FH116" i="6"/>
  <c r="FG116" i="6"/>
  <c r="FF116" i="6"/>
  <c r="FE116" i="6"/>
  <c r="FD116" i="6"/>
  <c r="FI115" i="6"/>
  <c r="FH115" i="6"/>
  <c r="FG115" i="6"/>
  <c r="FF115" i="6"/>
  <c r="FE115" i="6"/>
  <c r="FD115" i="6"/>
  <c r="FI114" i="6"/>
  <c r="FH114" i="6"/>
  <c r="FG114" i="6"/>
  <c r="FF114" i="6"/>
  <c r="FE114" i="6"/>
  <c r="FD114" i="6"/>
  <c r="FI113" i="6"/>
  <c r="FH113" i="6"/>
  <c r="FG113" i="6"/>
  <c r="FF113" i="6"/>
  <c r="FE113" i="6"/>
  <c r="FD113" i="6"/>
  <c r="FI112" i="6"/>
  <c r="FG112" i="6"/>
  <c r="FF112" i="6"/>
  <c r="FE112" i="6"/>
  <c r="FD112" i="6"/>
  <c r="FI111" i="6"/>
  <c r="FG111" i="6"/>
  <c r="FF111" i="6"/>
  <c r="FE111" i="6"/>
  <c r="FD111" i="6"/>
  <c r="FI110" i="6"/>
  <c r="FG110" i="6"/>
  <c r="FF110" i="6"/>
  <c r="FE110" i="6"/>
  <c r="FD110" i="6"/>
  <c r="FI109" i="6"/>
  <c r="FG109" i="6"/>
  <c r="FF109" i="6"/>
  <c r="FE109" i="6"/>
  <c r="FD109" i="6"/>
  <c r="FI108" i="6"/>
  <c r="FG108" i="6"/>
  <c r="FF108" i="6"/>
  <c r="FE108" i="6"/>
  <c r="FD108" i="6"/>
  <c r="FI107" i="6"/>
  <c r="FG107" i="6"/>
  <c r="FF107" i="6"/>
  <c r="FE107" i="6"/>
  <c r="FD107" i="6"/>
  <c r="CK107" i="6"/>
  <c r="FI106" i="6"/>
  <c r="FH106" i="6"/>
  <c r="FG106" i="6"/>
  <c r="FF106" i="6"/>
  <c r="FE106" i="6"/>
  <c r="FD106" i="6"/>
  <c r="CK106" i="6"/>
  <c r="FI105" i="6"/>
  <c r="FG105" i="6"/>
  <c r="FF105" i="6"/>
  <c r="FE105" i="6"/>
  <c r="FD105" i="6"/>
  <c r="CK105" i="6"/>
  <c r="CE105" i="6"/>
  <c r="FI104" i="6"/>
  <c r="FG104" i="6"/>
  <c r="FF104" i="6"/>
  <c r="FE104" i="6"/>
  <c r="FD104" i="6"/>
  <c r="FI103" i="6"/>
  <c r="FG103" i="6"/>
  <c r="FF103" i="6"/>
  <c r="FE103" i="6"/>
  <c r="FD103" i="6"/>
  <c r="FI102" i="6"/>
  <c r="FG102" i="6"/>
  <c r="FF102" i="6"/>
  <c r="FE102" i="6"/>
  <c r="FD102" i="6"/>
  <c r="FI101" i="6"/>
  <c r="FH101" i="6"/>
  <c r="FG101" i="6"/>
  <c r="FF101" i="6"/>
  <c r="FE101" i="6"/>
  <c r="FD101" i="6"/>
  <c r="AF37" i="6"/>
  <c r="FH112" i="6" s="1"/>
  <c r="AF36" i="6"/>
  <c r="FH111" i="6" s="1"/>
  <c r="AF35" i="6"/>
  <c r="FH110" i="6" s="1"/>
  <c r="AF34" i="6"/>
  <c r="FH109" i="6" s="1"/>
  <c r="AF33" i="6"/>
  <c r="FH108" i="6" s="1"/>
  <c r="AF32" i="6"/>
  <c r="FH107" i="6" s="1"/>
  <c r="AF31" i="6"/>
  <c r="AF30" i="6"/>
  <c r="FH105" i="6" s="1"/>
  <c r="AF29" i="6"/>
  <c r="FH104" i="6" s="1"/>
  <c r="AF28" i="6"/>
  <c r="FH103" i="6" s="1"/>
  <c r="AF27" i="6"/>
  <c r="AF26" i="6"/>
  <c r="AF37" i="1"/>
  <c r="AA38" i="1" s="1"/>
  <c r="H38" i="1" s="1"/>
  <c r="AF36" i="1"/>
  <c r="AF35" i="1"/>
  <c r="CK104" i="17" l="1"/>
  <c r="CK115" i="17" s="1"/>
  <c r="H39" i="17" s="1"/>
  <c r="H38" i="17"/>
  <c r="FH103" i="17"/>
  <c r="AA38" i="16"/>
  <c r="H38" i="16" s="1"/>
  <c r="FH102" i="16"/>
  <c r="AA38" i="15"/>
  <c r="AA38" i="13"/>
  <c r="H38" i="12"/>
  <c r="P56" i="12"/>
  <c r="H39" i="12"/>
  <c r="AA38" i="11"/>
  <c r="AA38" i="10"/>
  <c r="P56" i="9"/>
  <c r="H38" i="9"/>
  <c r="H39" i="9" s="1"/>
  <c r="AA38" i="8"/>
  <c r="AA38" i="7"/>
  <c r="AA38" i="6"/>
  <c r="CK104" i="6" s="1"/>
  <c r="CK115" i="6" s="1"/>
  <c r="P56" i="6" s="1"/>
  <c r="FH102" i="6"/>
  <c r="AF29" i="1"/>
  <c r="AF30" i="1"/>
  <c r="P56" i="17" l="1"/>
  <c r="J20" i="17"/>
  <c r="J19" i="17"/>
  <c r="CK104" i="16"/>
  <c r="CK115" i="16" s="1"/>
  <c r="H39" i="16" s="1"/>
  <c r="CK104" i="15"/>
  <c r="CK115" i="15" s="1"/>
  <c r="H38" i="15"/>
  <c r="CK104" i="13"/>
  <c r="CK115" i="13" s="1"/>
  <c r="H38" i="13"/>
  <c r="J20" i="12"/>
  <c r="J19" i="12"/>
  <c r="CK104" i="11"/>
  <c r="CK115" i="11" s="1"/>
  <c r="H38" i="11"/>
  <c r="CK104" i="10"/>
  <c r="CK115" i="10" s="1"/>
  <c r="H38" i="10"/>
  <c r="J20" i="9"/>
  <c r="J19" i="9"/>
  <c r="CK104" i="8"/>
  <c r="CK115" i="8" s="1"/>
  <c r="H38" i="8"/>
  <c r="CK104" i="7"/>
  <c r="CK115" i="7" s="1"/>
  <c r="H38" i="7"/>
  <c r="H38" i="6"/>
  <c r="H39" i="6" s="1"/>
  <c r="J20" i="6" s="1"/>
  <c r="AF28" i="1"/>
  <c r="P56" i="16" l="1"/>
  <c r="J20" i="16"/>
  <c r="J19" i="16"/>
  <c r="P56" i="15"/>
  <c r="H39" i="15"/>
  <c r="P56" i="13"/>
  <c r="H39" i="13"/>
  <c r="P56" i="11"/>
  <c r="H39" i="11"/>
  <c r="P56" i="10"/>
  <c r="H39" i="10"/>
  <c r="H39" i="8"/>
  <c r="P56" i="8"/>
  <c r="P56" i="7"/>
  <c r="H39" i="7"/>
  <c r="J19" i="6"/>
  <c r="AF32" i="1"/>
  <c r="AF31" i="1"/>
  <c r="AF27" i="1"/>
  <c r="J20" i="15" l="1"/>
  <c r="J19" i="15"/>
  <c r="J20" i="13"/>
  <c r="J19" i="13"/>
  <c r="J20" i="11"/>
  <c r="J19" i="11"/>
  <c r="J20" i="10"/>
  <c r="J19" i="10"/>
  <c r="J20" i="8"/>
  <c r="J19" i="8"/>
  <c r="J20" i="7"/>
  <c r="J19" i="7"/>
  <c r="AF33" i="1"/>
  <c r="FH110" i="1" l="1"/>
  <c r="AF34" i="1"/>
  <c r="FH109" i="1" s="1"/>
  <c r="FH112" i="1"/>
  <c r="FH106" i="1"/>
  <c r="FH105" i="1"/>
  <c r="FH104" i="1"/>
  <c r="FH103" i="1"/>
  <c r="FH102" i="1"/>
  <c r="AF26" i="1"/>
  <c r="FH101" i="1" s="1"/>
  <c r="FH107" i="1"/>
  <c r="FH108" i="1"/>
  <c r="FH135" i="1"/>
  <c r="FH134" i="1"/>
  <c r="FH132" i="1"/>
  <c r="FH130" i="1"/>
  <c r="FH127" i="1"/>
  <c r="FH126" i="1"/>
  <c r="FH125" i="1"/>
  <c r="FH124" i="1"/>
  <c r="FH123" i="1"/>
  <c r="FH122" i="1"/>
  <c r="FH120" i="1"/>
  <c r="FH119" i="1"/>
  <c r="FH118" i="1"/>
  <c r="FH117" i="1"/>
  <c r="FH116" i="1"/>
  <c r="FH115" i="1"/>
  <c r="FH114" i="1"/>
  <c r="FH113" i="1"/>
  <c r="FI181" i="1"/>
  <c r="FH181" i="1"/>
  <c r="FG181" i="1"/>
  <c r="FF181" i="1"/>
  <c r="FE181" i="1"/>
  <c r="FD181" i="1"/>
  <c r="FI180" i="1"/>
  <c r="FH180" i="1"/>
  <c r="FG180" i="1"/>
  <c r="FF180" i="1"/>
  <c r="FE180" i="1"/>
  <c r="FD180" i="1"/>
  <c r="FI179" i="1"/>
  <c r="FH179" i="1"/>
  <c r="FG179" i="1"/>
  <c r="FF179" i="1"/>
  <c r="FE179" i="1"/>
  <c r="FD179" i="1"/>
  <c r="FI178" i="1"/>
  <c r="FH178" i="1"/>
  <c r="FG178" i="1"/>
  <c r="FF178" i="1"/>
  <c r="FE178" i="1"/>
  <c r="FD178" i="1"/>
  <c r="FI177" i="1"/>
  <c r="FH177" i="1"/>
  <c r="FG177" i="1"/>
  <c r="FF177" i="1"/>
  <c r="FE177" i="1"/>
  <c r="FD177" i="1"/>
  <c r="FI176" i="1"/>
  <c r="FH176" i="1"/>
  <c r="FG176" i="1"/>
  <c r="FF176" i="1"/>
  <c r="FE176" i="1"/>
  <c r="FD176" i="1"/>
  <c r="FI175" i="1"/>
  <c r="FH175" i="1"/>
  <c r="FG175" i="1"/>
  <c r="FF175" i="1"/>
  <c r="FE175" i="1"/>
  <c r="FD175" i="1"/>
  <c r="FI174" i="1"/>
  <c r="FH174" i="1"/>
  <c r="FG174" i="1"/>
  <c r="FF174" i="1"/>
  <c r="FE174" i="1"/>
  <c r="FD174" i="1"/>
  <c r="FI173" i="1"/>
  <c r="FH173" i="1"/>
  <c r="FG173" i="1"/>
  <c r="FF173" i="1"/>
  <c r="FE173" i="1"/>
  <c r="FD173" i="1"/>
  <c r="FI172" i="1"/>
  <c r="FH172" i="1"/>
  <c r="FG172" i="1"/>
  <c r="FF172" i="1"/>
  <c r="FE172" i="1"/>
  <c r="FD172" i="1"/>
  <c r="FI171" i="1"/>
  <c r="FH171" i="1"/>
  <c r="FG171" i="1"/>
  <c r="FF171" i="1"/>
  <c r="FE171" i="1"/>
  <c r="FD171" i="1"/>
  <c r="FI170" i="1"/>
  <c r="FH170" i="1"/>
  <c r="FG170" i="1"/>
  <c r="FF170" i="1"/>
  <c r="FE170" i="1"/>
  <c r="FD170" i="1"/>
  <c r="FI169" i="1"/>
  <c r="FH169" i="1"/>
  <c r="FG169" i="1"/>
  <c r="FF169" i="1"/>
  <c r="FE169" i="1"/>
  <c r="FD169" i="1"/>
  <c r="FI168" i="1"/>
  <c r="FH168" i="1"/>
  <c r="FG168" i="1"/>
  <c r="FF168" i="1"/>
  <c r="FE168" i="1"/>
  <c r="FD168" i="1"/>
  <c r="FI167" i="1"/>
  <c r="FH167" i="1"/>
  <c r="FG167" i="1"/>
  <c r="FF167" i="1"/>
  <c r="FE167" i="1"/>
  <c r="FD167" i="1"/>
  <c r="FI166" i="1"/>
  <c r="FH166" i="1"/>
  <c r="FG166" i="1"/>
  <c r="FF166" i="1"/>
  <c r="FE166" i="1"/>
  <c r="FD166" i="1"/>
  <c r="FI165" i="1"/>
  <c r="FH165" i="1"/>
  <c r="FG165" i="1"/>
  <c r="FF165" i="1"/>
  <c r="FE165" i="1"/>
  <c r="FD165" i="1"/>
  <c r="FI164" i="1"/>
  <c r="FH164" i="1"/>
  <c r="FG164" i="1"/>
  <c r="FF164" i="1"/>
  <c r="FE164" i="1"/>
  <c r="FD164" i="1"/>
  <c r="FI163" i="1"/>
  <c r="FH163" i="1"/>
  <c r="FG163" i="1"/>
  <c r="FF163" i="1"/>
  <c r="FE163" i="1"/>
  <c r="FD163" i="1"/>
  <c r="FI162" i="1"/>
  <c r="FH162" i="1"/>
  <c r="FG162" i="1"/>
  <c r="FF162" i="1"/>
  <c r="FE162" i="1"/>
  <c r="FD162" i="1"/>
  <c r="FI161" i="1"/>
  <c r="FH161" i="1"/>
  <c r="FG161" i="1"/>
  <c r="FF161" i="1"/>
  <c r="FE161" i="1"/>
  <c r="FD161" i="1"/>
  <c r="FI160" i="1"/>
  <c r="FH160" i="1"/>
  <c r="FG160" i="1"/>
  <c r="FF160" i="1"/>
  <c r="FE160" i="1"/>
  <c r="FD160" i="1"/>
  <c r="FI159" i="1"/>
  <c r="FH159" i="1"/>
  <c r="FG159" i="1"/>
  <c r="FF159" i="1"/>
  <c r="FE159" i="1"/>
  <c r="FD159" i="1"/>
  <c r="CK107" i="1"/>
  <c r="FI158" i="1"/>
  <c r="FH158" i="1"/>
  <c r="FG158" i="1"/>
  <c r="FF158" i="1"/>
  <c r="FE158" i="1"/>
  <c r="FD158" i="1"/>
  <c r="FI157" i="1"/>
  <c r="FH157" i="1"/>
  <c r="FG157" i="1"/>
  <c r="FF157" i="1"/>
  <c r="FE157" i="1"/>
  <c r="FD157" i="1"/>
  <c r="FI156" i="1"/>
  <c r="FH156" i="1"/>
  <c r="FG156" i="1"/>
  <c r="FF156" i="1"/>
  <c r="FE156" i="1"/>
  <c r="FD156" i="1"/>
  <c r="FI155" i="1"/>
  <c r="FH155" i="1"/>
  <c r="FG155" i="1"/>
  <c r="FF155" i="1"/>
  <c r="FE155" i="1"/>
  <c r="FD155" i="1"/>
  <c r="FI154" i="1"/>
  <c r="FH154" i="1"/>
  <c r="FG154" i="1"/>
  <c r="FF154" i="1"/>
  <c r="FE154" i="1"/>
  <c r="FD154" i="1"/>
  <c r="FI153" i="1"/>
  <c r="FH153" i="1"/>
  <c r="FG153" i="1"/>
  <c r="FF153" i="1"/>
  <c r="FE153" i="1"/>
  <c r="FD153" i="1"/>
  <c r="FI152" i="1"/>
  <c r="FH152" i="1"/>
  <c r="FG152" i="1"/>
  <c r="FF152" i="1"/>
  <c r="FE152" i="1"/>
  <c r="FD152" i="1"/>
  <c r="FI151" i="1"/>
  <c r="FH151" i="1"/>
  <c r="FG151" i="1"/>
  <c r="FF151" i="1"/>
  <c r="FE151" i="1"/>
  <c r="FD151" i="1"/>
  <c r="FI150" i="1"/>
  <c r="FH150" i="1"/>
  <c r="FG150" i="1"/>
  <c r="FF150" i="1"/>
  <c r="FE150" i="1"/>
  <c r="FD150" i="1"/>
  <c r="FI149" i="1"/>
  <c r="FH149" i="1"/>
  <c r="FG149" i="1"/>
  <c r="FF149" i="1"/>
  <c r="FE149" i="1"/>
  <c r="FD149" i="1"/>
  <c r="FI148" i="1"/>
  <c r="FH148" i="1"/>
  <c r="FG148" i="1"/>
  <c r="FF148" i="1"/>
  <c r="FE148" i="1"/>
  <c r="FD148" i="1"/>
  <c r="FI147" i="1"/>
  <c r="FH147" i="1"/>
  <c r="FG147" i="1"/>
  <c r="FF147" i="1"/>
  <c r="FE147" i="1"/>
  <c r="FD147" i="1"/>
  <c r="FI146" i="1"/>
  <c r="FH146" i="1"/>
  <c r="FG146" i="1"/>
  <c r="FF146" i="1"/>
  <c r="FE146" i="1"/>
  <c r="FD146" i="1"/>
  <c r="FI145" i="1"/>
  <c r="FH145" i="1"/>
  <c r="FG145" i="1"/>
  <c r="FF145" i="1"/>
  <c r="FE145" i="1"/>
  <c r="FD145" i="1"/>
  <c r="FI144" i="1"/>
  <c r="FH144" i="1"/>
  <c r="FG144" i="1"/>
  <c r="FF144" i="1"/>
  <c r="FE144" i="1"/>
  <c r="FD144" i="1"/>
  <c r="FI143" i="1"/>
  <c r="FH143" i="1"/>
  <c r="FG143" i="1"/>
  <c r="FF143" i="1"/>
  <c r="FE143" i="1"/>
  <c r="FD143" i="1"/>
  <c r="FI142" i="1"/>
  <c r="FH142" i="1"/>
  <c r="FG142" i="1"/>
  <c r="FF142" i="1"/>
  <c r="FE142" i="1"/>
  <c r="FD142" i="1"/>
  <c r="FI141" i="1"/>
  <c r="FH141" i="1"/>
  <c r="FG141" i="1"/>
  <c r="FF141" i="1"/>
  <c r="FE141" i="1"/>
  <c r="FD141" i="1"/>
  <c r="FI140" i="1"/>
  <c r="FH140" i="1"/>
  <c r="FG140" i="1"/>
  <c r="FF140" i="1"/>
  <c r="FE140" i="1"/>
  <c r="FD140" i="1"/>
  <c r="FI139" i="1"/>
  <c r="FH139" i="1"/>
  <c r="FG139" i="1"/>
  <c r="FF139" i="1"/>
  <c r="FE139" i="1"/>
  <c r="FD139" i="1"/>
  <c r="FI138" i="1"/>
  <c r="FH138" i="1"/>
  <c r="FG138" i="1"/>
  <c r="FF138" i="1"/>
  <c r="FE138" i="1"/>
  <c r="FD138" i="1"/>
  <c r="FI137" i="1"/>
  <c r="FH137" i="1"/>
  <c r="FG137" i="1"/>
  <c r="FF137" i="1"/>
  <c r="FE137" i="1"/>
  <c r="FD137" i="1"/>
  <c r="FI136" i="1"/>
  <c r="FH136" i="1"/>
  <c r="FG136" i="1"/>
  <c r="FF136" i="1"/>
  <c r="FE136" i="1"/>
  <c r="FD136" i="1"/>
  <c r="CK106" i="1"/>
  <c r="FI135" i="1"/>
  <c r="FG135" i="1"/>
  <c r="FF135" i="1"/>
  <c r="FE135" i="1"/>
  <c r="FD135" i="1"/>
  <c r="FI134" i="1"/>
  <c r="FG134" i="1"/>
  <c r="FF134" i="1"/>
  <c r="FE134" i="1"/>
  <c r="FD134" i="1"/>
  <c r="FI133" i="1"/>
  <c r="FH133" i="1"/>
  <c r="FG133" i="1"/>
  <c r="FF133" i="1"/>
  <c r="FE133" i="1"/>
  <c r="FD133" i="1"/>
  <c r="FI132" i="1"/>
  <c r="FG132" i="1"/>
  <c r="FF132" i="1"/>
  <c r="FE132" i="1"/>
  <c r="FD132" i="1"/>
  <c r="FI131" i="1"/>
  <c r="FH131" i="1"/>
  <c r="FG131" i="1"/>
  <c r="FF131" i="1"/>
  <c r="FE131" i="1"/>
  <c r="FD131" i="1"/>
  <c r="FI130" i="1"/>
  <c r="FG130" i="1"/>
  <c r="FF130" i="1"/>
  <c r="FE130" i="1"/>
  <c r="FD130" i="1"/>
  <c r="FI129" i="1"/>
  <c r="FH129" i="1"/>
  <c r="FG129" i="1"/>
  <c r="FF129" i="1"/>
  <c r="FE129" i="1"/>
  <c r="FD129" i="1"/>
  <c r="FI128" i="1"/>
  <c r="FH128" i="1"/>
  <c r="FG128" i="1"/>
  <c r="FF128" i="1"/>
  <c r="FE128" i="1"/>
  <c r="FD128" i="1"/>
  <c r="FI127" i="1"/>
  <c r="FG127" i="1"/>
  <c r="FF127" i="1"/>
  <c r="FE127" i="1"/>
  <c r="FD127" i="1"/>
  <c r="FI126" i="1"/>
  <c r="FG126" i="1"/>
  <c r="FF126" i="1"/>
  <c r="FE126" i="1"/>
  <c r="FD126" i="1"/>
  <c r="FI125" i="1"/>
  <c r="FG125" i="1"/>
  <c r="FF125" i="1"/>
  <c r="FE125" i="1"/>
  <c r="FD125" i="1"/>
  <c r="FI124" i="1"/>
  <c r="FG124" i="1"/>
  <c r="FF124" i="1"/>
  <c r="FE124" i="1"/>
  <c r="FD124" i="1"/>
  <c r="FI123" i="1"/>
  <c r="FG123" i="1"/>
  <c r="FF123" i="1"/>
  <c r="FE123" i="1"/>
  <c r="FD123" i="1"/>
  <c r="FI122" i="1"/>
  <c r="FG122" i="1"/>
  <c r="FF122" i="1"/>
  <c r="FE122" i="1"/>
  <c r="FD122" i="1"/>
  <c r="FI121" i="1"/>
  <c r="FH121" i="1"/>
  <c r="FG121" i="1"/>
  <c r="FF121" i="1"/>
  <c r="FE121" i="1"/>
  <c r="FD121" i="1"/>
  <c r="FI120" i="1"/>
  <c r="FG120" i="1"/>
  <c r="FF120" i="1"/>
  <c r="FE120" i="1"/>
  <c r="FD120" i="1"/>
  <c r="FI119" i="1"/>
  <c r="FG119" i="1"/>
  <c r="FF119" i="1"/>
  <c r="FE119" i="1"/>
  <c r="FD119" i="1"/>
  <c r="FI118" i="1"/>
  <c r="FG118" i="1"/>
  <c r="FF118" i="1"/>
  <c r="FE118" i="1"/>
  <c r="FD118" i="1"/>
  <c r="FI117" i="1"/>
  <c r="FG117" i="1"/>
  <c r="FF117" i="1"/>
  <c r="FE117" i="1"/>
  <c r="FD117" i="1"/>
  <c r="FI116" i="1"/>
  <c r="FG116" i="1"/>
  <c r="FF116" i="1"/>
  <c r="FE116" i="1"/>
  <c r="FD116" i="1"/>
  <c r="FI115" i="1"/>
  <c r="FG115" i="1"/>
  <c r="FF115" i="1"/>
  <c r="FE115" i="1"/>
  <c r="FD115" i="1"/>
  <c r="FI114" i="1"/>
  <c r="FG114" i="1"/>
  <c r="FF114" i="1"/>
  <c r="FE114" i="1"/>
  <c r="FD114" i="1"/>
  <c r="FI113" i="1"/>
  <c r="FG113" i="1"/>
  <c r="FF113" i="1"/>
  <c r="FE113" i="1"/>
  <c r="FD113" i="1"/>
  <c r="CK105" i="1"/>
  <c r="FH111" i="1"/>
  <c r="CE105" i="1"/>
  <c r="FI102" i="1"/>
  <c r="FI103" i="1"/>
  <c r="FI104" i="1"/>
  <c r="FI105" i="1"/>
  <c r="FI106" i="1"/>
  <c r="FI107" i="1"/>
  <c r="FI108" i="1"/>
  <c r="FI109" i="1"/>
  <c r="FI110" i="1"/>
  <c r="FI111" i="1"/>
  <c r="FI112" i="1"/>
  <c r="FI101" i="1"/>
  <c r="FG102" i="1"/>
  <c r="FG103" i="1"/>
  <c r="FG104" i="1"/>
  <c r="FG105" i="1"/>
  <c r="FG106" i="1"/>
  <c r="FG107" i="1"/>
  <c r="FG108" i="1"/>
  <c r="FG109" i="1"/>
  <c r="FG110" i="1"/>
  <c r="FG111" i="1"/>
  <c r="FG112" i="1"/>
  <c r="FG101" i="1"/>
  <c r="FF102" i="1"/>
  <c r="FF103" i="1"/>
  <c r="FF104" i="1"/>
  <c r="FF105" i="1"/>
  <c r="FF106" i="1"/>
  <c r="FF107" i="1"/>
  <c r="FF108" i="1"/>
  <c r="FF109" i="1"/>
  <c r="FF110" i="1"/>
  <c r="FF111" i="1"/>
  <c r="FF112" i="1"/>
  <c r="FF101" i="1"/>
  <c r="FE102" i="1"/>
  <c r="FE103" i="1"/>
  <c r="FE104" i="1"/>
  <c r="FE105" i="1"/>
  <c r="FE106" i="1"/>
  <c r="FE107" i="1"/>
  <c r="FE108" i="1"/>
  <c r="FE109" i="1"/>
  <c r="FE110" i="1"/>
  <c r="FE111" i="1"/>
  <c r="FE112" i="1"/>
  <c r="FE101" i="1"/>
  <c r="FD102" i="1"/>
  <c r="FD103" i="1"/>
  <c r="FD104" i="1"/>
  <c r="FD105" i="1"/>
  <c r="FD106" i="1"/>
  <c r="FD107" i="1"/>
  <c r="FD108" i="1"/>
  <c r="FD109" i="1"/>
  <c r="FD110" i="1"/>
  <c r="FD111" i="1"/>
  <c r="FD112" i="1"/>
  <c r="FD101" i="1"/>
  <c r="CK104" i="1" l="1"/>
  <c r="CK115" i="1" s="1"/>
  <c r="H39" i="1" l="1"/>
  <c r="J19" i="1" s="1"/>
  <c r="P56" i="1"/>
  <c r="J20" i="1"/>
</calcChain>
</file>

<file path=xl/sharedStrings.xml><?xml version="1.0" encoding="utf-8"?>
<sst xmlns="http://schemas.openxmlformats.org/spreadsheetml/2006/main" count="1530" uniqueCount="205">
  <si>
    <t>No.</t>
    <phoneticPr fontId="4"/>
  </si>
  <si>
    <t>年</t>
    <rPh sb="0" eb="1">
      <t>ネン</t>
    </rPh>
    <phoneticPr fontId="4"/>
  </si>
  <si>
    <t>月</t>
    <rPh sb="0" eb="1">
      <t>ツキ</t>
    </rPh>
    <phoneticPr fontId="4"/>
  </si>
  <si>
    <t>御中</t>
    <rPh sb="0" eb="2">
      <t>オンチュウ</t>
    </rPh>
    <phoneticPr fontId="4"/>
  </si>
  <si>
    <t>受渡期日</t>
    <rPh sb="0" eb="2">
      <t>ウケワタシ</t>
    </rPh>
    <rPh sb="2" eb="4">
      <t>キジツ</t>
    </rPh>
    <phoneticPr fontId="4"/>
  </si>
  <si>
    <t>受渡場所</t>
    <rPh sb="0" eb="2">
      <t>ウケワタシ</t>
    </rPh>
    <rPh sb="2" eb="4">
      <t>バショ</t>
    </rPh>
    <phoneticPr fontId="4"/>
  </si>
  <si>
    <t>担当者</t>
    <rPh sb="0" eb="3">
      <t>タントウシャ</t>
    </rPh>
    <phoneticPr fontId="4"/>
  </si>
  <si>
    <t>合計金額</t>
    <rPh sb="0" eb="2">
      <t>ゴウケイ</t>
    </rPh>
    <rPh sb="2" eb="4">
      <t>キンガク</t>
    </rPh>
    <phoneticPr fontId="4"/>
  </si>
  <si>
    <t>品　　名</t>
    <rPh sb="0" eb="1">
      <t>シナ</t>
    </rPh>
    <rPh sb="3" eb="4">
      <t>メイ</t>
    </rPh>
    <phoneticPr fontId="4"/>
  </si>
  <si>
    <t>数　量</t>
    <rPh sb="0" eb="1">
      <t>カズ</t>
    </rPh>
    <rPh sb="2" eb="3">
      <t>リョウ</t>
    </rPh>
    <phoneticPr fontId="4"/>
  </si>
  <si>
    <t>金　額</t>
    <rPh sb="0" eb="1">
      <t>キン</t>
    </rPh>
    <rPh sb="2" eb="3">
      <t>ガク</t>
    </rPh>
    <phoneticPr fontId="4"/>
  </si>
  <si>
    <t>備　考</t>
    <rPh sb="0" eb="1">
      <t>ソナエ</t>
    </rPh>
    <rPh sb="2" eb="3">
      <t>コウ</t>
    </rPh>
    <phoneticPr fontId="4"/>
  </si>
  <si>
    <t>消費税</t>
    <rPh sb="0" eb="3">
      <t>ショウヒゼイ</t>
    </rPh>
    <phoneticPr fontId="4"/>
  </si>
  <si>
    <t>小 計</t>
    <rPh sb="0" eb="1">
      <t>ショウ</t>
    </rPh>
    <rPh sb="2" eb="3">
      <t>ケイ</t>
    </rPh>
    <phoneticPr fontId="4"/>
  </si>
  <si>
    <t>摘要：</t>
    <rPh sb="0" eb="2">
      <t>テキヨウ</t>
    </rPh>
    <phoneticPr fontId="4"/>
  </si>
  <si>
    <t>総計</t>
    <rPh sb="0" eb="2">
      <t>ソウケイ</t>
    </rPh>
    <phoneticPr fontId="4"/>
  </si>
  <si>
    <t>単位</t>
    <rPh sb="0" eb="2">
      <t>タンイ</t>
    </rPh>
    <phoneticPr fontId="4"/>
  </si>
  <si>
    <t>台</t>
    <rPh sb="0" eb="1">
      <t>ダイ</t>
    </rPh>
    <phoneticPr fontId="4"/>
  </si>
  <si>
    <t>％</t>
    <phoneticPr fontId="4"/>
  </si>
  <si>
    <t>個</t>
    <rPh sb="0" eb="1">
      <t>コ</t>
    </rPh>
    <phoneticPr fontId="4"/>
  </si>
  <si>
    <t>一式</t>
    <rPh sb="0" eb="2">
      <t>イッシキ</t>
    </rPh>
    <phoneticPr fontId="4"/>
  </si>
  <si>
    <t>画面表示</t>
    <rPh sb="0" eb="2">
      <t>ガメン</t>
    </rPh>
    <rPh sb="2" eb="4">
      <t>ヒョウジ</t>
    </rPh>
    <phoneticPr fontId="4"/>
  </si>
  <si>
    <t>冊</t>
    <rPh sb="0" eb="1">
      <t>サツ</t>
    </rPh>
    <phoneticPr fontId="4"/>
  </si>
  <si>
    <t>①</t>
    <phoneticPr fontId="4"/>
  </si>
  <si>
    <t>箱</t>
    <rPh sb="0" eb="1">
      <t>ハコ</t>
    </rPh>
    <phoneticPr fontId="4"/>
  </si>
  <si>
    <t>②</t>
    <phoneticPr fontId="4"/>
  </si>
  <si>
    <t>C/S</t>
    <phoneticPr fontId="4"/>
  </si>
  <si>
    <t>SET</t>
    <phoneticPr fontId="4"/>
  </si>
  <si>
    <t>画像ファイル名</t>
    <rPh sb="0" eb="2">
      <t>ガゾウ</t>
    </rPh>
    <rPh sb="6" eb="7">
      <t>メイ</t>
    </rPh>
    <phoneticPr fontId="4"/>
  </si>
  <si>
    <t>画像名</t>
    <rPh sb="0" eb="2">
      <t>ガゾウ</t>
    </rPh>
    <rPh sb="2" eb="3">
      <t>メイ</t>
    </rPh>
    <phoneticPr fontId="4"/>
  </si>
  <si>
    <t>本</t>
    <rPh sb="0" eb="1">
      <t>ホン</t>
    </rPh>
    <phoneticPr fontId="4"/>
  </si>
  <si>
    <t>会社角印</t>
    <rPh sb="0" eb="2">
      <t>カイシャ</t>
    </rPh>
    <rPh sb="2" eb="3">
      <t>カク</t>
    </rPh>
    <rPh sb="3" eb="4">
      <t>イン</t>
    </rPh>
    <phoneticPr fontId="4"/>
  </si>
  <si>
    <t>束</t>
    <rPh sb="0" eb="1">
      <t>タバ</t>
    </rPh>
    <phoneticPr fontId="4"/>
  </si>
  <si>
    <t>枚</t>
    <rPh sb="0" eb="1">
      <t>マイ</t>
    </rPh>
    <phoneticPr fontId="4"/>
  </si>
  <si>
    <t>③</t>
    <phoneticPr fontId="4"/>
  </si>
  <si>
    <t>ﾊﾟｯｸ</t>
    <phoneticPr fontId="4"/>
  </si>
  <si>
    <t>④</t>
    <phoneticPr fontId="4"/>
  </si>
  <si>
    <t>青木印</t>
    <rPh sb="0" eb="2">
      <t>アオキ</t>
    </rPh>
    <rPh sb="2" eb="3">
      <t>ジルシ</t>
    </rPh>
    <phoneticPr fontId="4"/>
  </si>
  <si>
    <t>計</t>
    <rPh sb="0" eb="1">
      <t>ケイ</t>
    </rPh>
    <phoneticPr fontId="4"/>
  </si>
  <si>
    <t>⑤</t>
    <phoneticPr fontId="4"/>
  </si>
  <si>
    <t>中田印</t>
    <rPh sb="0" eb="2">
      <t>ナカタ</t>
    </rPh>
    <rPh sb="2" eb="3">
      <t>ジルシ</t>
    </rPh>
    <phoneticPr fontId="4"/>
  </si>
  <si>
    <t>マスタパス</t>
    <phoneticPr fontId="4"/>
  </si>
  <si>
    <t>ﾏｽﾀ</t>
    <phoneticPr fontId="4"/>
  </si>
  <si>
    <t>ｷｯﾄ</t>
    <phoneticPr fontId="4"/>
  </si>
  <si>
    <t>御 見 積 書</t>
    <rPh sb="0" eb="1">
      <t>オ</t>
    </rPh>
    <rPh sb="2" eb="3">
      <t>ケン</t>
    </rPh>
    <rPh sb="4" eb="5">
      <t>セキ</t>
    </rPh>
    <rPh sb="6" eb="7">
      <t>ショ</t>
    </rPh>
    <phoneticPr fontId="4"/>
  </si>
  <si>
    <t>納　 品 　書</t>
    <rPh sb="0" eb="1">
      <t>オサム</t>
    </rPh>
    <rPh sb="3" eb="4">
      <t>シナ</t>
    </rPh>
    <rPh sb="6" eb="7">
      <t>ショ</t>
    </rPh>
    <phoneticPr fontId="4"/>
  </si>
  <si>
    <t>納 品 書 （控）</t>
    <rPh sb="0" eb="1">
      <t>オサム</t>
    </rPh>
    <rPh sb="2" eb="3">
      <t>シナ</t>
    </rPh>
    <rPh sb="4" eb="5">
      <t>ショ</t>
    </rPh>
    <rPh sb="7" eb="8">
      <t>ヒカエ</t>
    </rPh>
    <phoneticPr fontId="4"/>
  </si>
  <si>
    <t>請　 求 　書</t>
    <rPh sb="0" eb="1">
      <t>ショウ</t>
    </rPh>
    <rPh sb="3" eb="4">
      <t>モトム</t>
    </rPh>
    <rPh sb="6" eb="7">
      <t>ショ</t>
    </rPh>
    <phoneticPr fontId="4"/>
  </si>
  <si>
    <t>請 求 書 （控）</t>
    <rPh sb="0" eb="1">
      <t>ショウ</t>
    </rPh>
    <rPh sb="2" eb="3">
      <t>モトム</t>
    </rPh>
    <rPh sb="4" eb="5">
      <t>ショ</t>
    </rPh>
    <rPh sb="7" eb="8">
      <t>ヒカエ</t>
    </rPh>
    <phoneticPr fontId="4"/>
  </si>
  <si>
    <t xml:space="preserve">     タイトル</t>
    <phoneticPr fontId="4"/>
  </si>
  <si>
    <t>制御</t>
    <rPh sb="0" eb="2">
      <t>セイギョ</t>
    </rPh>
    <phoneticPr fontId="4"/>
  </si>
  <si>
    <t>敬称</t>
    <rPh sb="0" eb="2">
      <t>ケイショウ</t>
    </rPh>
    <phoneticPr fontId="4"/>
  </si>
  <si>
    <t>様</t>
    <rPh sb="0" eb="1">
      <t>サマ</t>
    </rPh>
    <phoneticPr fontId="4"/>
  </si>
  <si>
    <t>殿</t>
    <rPh sb="0" eb="1">
      <t>ドノ</t>
    </rPh>
    <phoneticPr fontId="4"/>
  </si>
  <si>
    <t>振込先：</t>
    <rPh sb="0" eb="2">
      <t>フリコミ</t>
    </rPh>
    <rPh sb="2" eb="3">
      <t>サキ</t>
    </rPh>
    <phoneticPr fontId="4"/>
  </si>
  <si>
    <t>名義：</t>
    <rPh sb="0" eb="2">
      <t>メイギ</t>
    </rPh>
    <phoneticPr fontId="4"/>
  </si>
  <si>
    <t>ﾏｽﾀﾊﾞｯｸｱｯﾌﾟ</t>
    <phoneticPr fontId="4"/>
  </si>
  <si>
    <t>ON</t>
  </si>
  <si>
    <t>ON</t>
    <phoneticPr fontId="4"/>
  </si>
  <si>
    <t>OFF</t>
    <phoneticPr fontId="4"/>
  </si>
  <si>
    <t>NO</t>
    <phoneticPr fontId="4"/>
  </si>
  <si>
    <t>明細NO</t>
    <rPh sb="0" eb="2">
      <t>メイサイ</t>
    </rPh>
    <phoneticPr fontId="4"/>
  </si>
  <si>
    <t>品名</t>
    <rPh sb="0" eb="2">
      <t>ヒンメイ</t>
    </rPh>
    <phoneticPr fontId="4"/>
  </si>
  <si>
    <t>数量</t>
    <rPh sb="0" eb="2">
      <t>スウリョウ</t>
    </rPh>
    <phoneticPr fontId="4"/>
  </si>
  <si>
    <t>金額</t>
    <rPh sb="0" eb="2">
      <t>キンガク</t>
    </rPh>
    <phoneticPr fontId="4"/>
  </si>
  <si>
    <t>備考</t>
    <rPh sb="0" eb="2">
      <t>ビコウ</t>
    </rPh>
    <phoneticPr fontId="4"/>
  </si>
  <si>
    <t>単価</t>
    <rPh sb="0" eb="2">
      <t>タンカ</t>
    </rPh>
    <phoneticPr fontId="4"/>
  </si>
  <si>
    <t>ﾃﾞｰﾀ保存ｼｰﾄ</t>
    <rPh sb="4" eb="6">
      <t>ホゾン</t>
    </rPh>
    <phoneticPr fontId="4"/>
  </si>
  <si>
    <t>鑑</t>
    <rPh sb="0" eb="1">
      <t>カガミ</t>
    </rPh>
    <phoneticPr fontId="4"/>
  </si>
  <si>
    <t>明細</t>
    <rPh sb="0" eb="2">
      <t>メイサイ</t>
    </rPh>
    <phoneticPr fontId="4"/>
  </si>
  <si>
    <t>データﾊﾟｽ</t>
    <phoneticPr fontId="4"/>
  </si>
  <si>
    <t>会社角印.gif</t>
    <phoneticPr fontId="4"/>
  </si>
  <si>
    <t>青木印.gif</t>
    <rPh sb="0" eb="2">
      <t>アオキ</t>
    </rPh>
    <rPh sb="2" eb="3">
      <t>イン</t>
    </rPh>
    <phoneticPr fontId="4"/>
  </si>
  <si>
    <t>中田印.gif</t>
    <rPh sb="0" eb="2">
      <t>ナカタ</t>
    </rPh>
    <rPh sb="2" eb="3">
      <t>イン</t>
    </rPh>
    <phoneticPr fontId="4"/>
  </si>
  <si>
    <t>CODE</t>
    <phoneticPr fontId="4"/>
  </si>
  <si>
    <t>データ保存　1.xls</t>
    <rPh sb="3" eb="5">
      <t>ホゾン</t>
    </rPh>
    <phoneticPr fontId="4"/>
  </si>
  <si>
    <t>マスタ 1.xls</t>
    <phoneticPr fontId="4"/>
  </si>
  <si>
    <t>十六銀行　柳ヶ瀬支店　普通：0777577</t>
    <phoneticPr fontId="4"/>
  </si>
  <si>
    <t>ｶ)ﾘﾝｼｭﾝﾄﾞｳ</t>
    <phoneticPr fontId="4"/>
  </si>
  <si>
    <t>林印.png</t>
    <rPh sb="0" eb="1">
      <t>ハヤシ</t>
    </rPh>
    <rPh sb="1" eb="2">
      <t>イン</t>
    </rPh>
    <phoneticPr fontId="4"/>
  </si>
  <si>
    <t>林印</t>
    <rPh sb="0" eb="1">
      <t>ハヤシ</t>
    </rPh>
    <rPh sb="1" eb="2">
      <t>イン</t>
    </rPh>
    <phoneticPr fontId="4"/>
  </si>
  <si>
    <t>佐藤印</t>
    <rPh sb="0" eb="2">
      <t>サトウ</t>
    </rPh>
    <rPh sb="2" eb="3">
      <t>イン</t>
    </rPh>
    <phoneticPr fontId="4"/>
  </si>
  <si>
    <t>佐藤.png</t>
    <rPh sb="0" eb="2">
      <t>サトウ</t>
    </rPh>
    <phoneticPr fontId="4"/>
  </si>
  <si>
    <t>C:\Documents and Settings\sato\My Documents\シンプル見積書\</t>
    <phoneticPr fontId="4"/>
  </si>
  <si>
    <t>00-F-20-75-29-7C</t>
    <phoneticPr fontId="4"/>
  </si>
  <si>
    <t>日</t>
    <rPh sb="0" eb="1">
      <t>ニチ</t>
    </rPh>
    <phoneticPr fontId="4"/>
  </si>
  <si>
    <t>田中　健吾</t>
    <rPh sb="0" eb="2">
      <t>タナカ</t>
    </rPh>
    <phoneticPr fontId="4"/>
  </si>
  <si>
    <t>税込合計</t>
    <rPh sb="0" eb="2">
      <t>ゼイコ</t>
    </rPh>
    <rPh sb="2" eb="4">
      <t>ゴウケイ</t>
    </rPh>
    <phoneticPr fontId="4"/>
  </si>
  <si>
    <t>税別単価</t>
    <rPh sb="0" eb="2">
      <t>ゼイベツ</t>
    </rPh>
    <rPh sb="2" eb="3">
      <t>タン</t>
    </rPh>
    <rPh sb="3" eb="4">
      <t>アタイ</t>
    </rPh>
    <phoneticPr fontId="4"/>
  </si>
  <si>
    <t>令和</t>
    <rPh sb="0" eb="2">
      <t>レイワ</t>
    </rPh>
    <phoneticPr fontId="4"/>
  </si>
  <si>
    <t>現金支払</t>
    <rPh sb="0" eb="4">
      <t>ゲンキンシハラ</t>
    </rPh>
    <phoneticPr fontId="4"/>
  </si>
  <si>
    <t>末締め末現金払い</t>
    <rPh sb="0" eb="2">
      <t>マツジ</t>
    </rPh>
    <rPh sb="3" eb="4">
      <t>マツ</t>
    </rPh>
    <rPh sb="4" eb="6">
      <t>ゲンキン</t>
    </rPh>
    <rPh sb="6" eb="7">
      <t>バラ</t>
    </rPh>
    <phoneticPr fontId="4"/>
  </si>
  <si>
    <t>貴社指定場所</t>
    <rPh sb="0" eb="2">
      <t>キシャ</t>
    </rPh>
    <rPh sb="2" eb="6">
      <t>シテイバショ</t>
    </rPh>
    <phoneticPr fontId="4"/>
  </si>
  <si>
    <t>茨城営業所内</t>
    <rPh sb="0" eb="2">
      <t>イバラギ</t>
    </rPh>
    <rPh sb="2" eb="5">
      <t>エイギョウショ</t>
    </rPh>
    <rPh sb="5" eb="6">
      <t>ナイ</t>
    </rPh>
    <phoneticPr fontId="4"/>
  </si>
  <si>
    <t>岐阜市内客先</t>
    <rPh sb="0" eb="3">
      <t>ギフシ</t>
    </rPh>
    <rPh sb="3" eb="4">
      <t>ナイ</t>
    </rPh>
    <rPh sb="4" eb="6">
      <t>キャクサキ</t>
    </rPh>
    <phoneticPr fontId="4"/>
  </si>
  <si>
    <t>横浜市内客先</t>
    <rPh sb="0" eb="3">
      <t>ヨコハマシ</t>
    </rPh>
    <rPh sb="3" eb="4">
      <t>ナイ</t>
    </rPh>
    <phoneticPr fontId="4"/>
  </si>
  <si>
    <t>岡崎市内客先</t>
    <rPh sb="0" eb="4">
      <t>オカザキシナイ</t>
    </rPh>
    <phoneticPr fontId="4"/>
  </si>
  <si>
    <t>函館市内客先</t>
    <rPh sb="0" eb="4">
      <t>ハコダテシナイ</t>
    </rPh>
    <phoneticPr fontId="4"/>
  </si>
  <si>
    <t>四日市市内客先</t>
    <rPh sb="0" eb="5">
      <t>ヨッカイチシナイ</t>
    </rPh>
    <phoneticPr fontId="4"/>
  </si>
  <si>
    <t>行田市内客先</t>
    <rPh sb="0" eb="1">
      <t>イ</t>
    </rPh>
    <rPh sb="1" eb="2">
      <t>タ</t>
    </rPh>
    <rPh sb="2" eb="3">
      <t>シ</t>
    </rPh>
    <rPh sb="3" eb="4">
      <t>ナイ</t>
    </rPh>
    <phoneticPr fontId="4"/>
  </si>
  <si>
    <t>大阪市内客先</t>
    <rPh sb="0" eb="4">
      <t>オオサカシナイ</t>
    </rPh>
    <phoneticPr fontId="4"/>
  </si>
  <si>
    <t>千葉県内客先</t>
    <rPh sb="0" eb="4">
      <t>チバケンナイ</t>
    </rPh>
    <phoneticPr fontId="4"/>
  </si>
  <si>
    <t>大塚刷毛製造株式会社</t>
    <rPh sb="0" eb="2">
      <t>オオツカ</t>
    </rPh>
    <rPh sb="2" eb="4">
      <t>ハケ</t>
    </rPh>
    <rPh sb="4" eb="6">
      <t>セイゾウ</t>
    </rPh>
    <rPh sb="6" eb="10">
      <t>カブシキガイシャ</t>
    </rPh>
    <phoneticPr fontId="4"/>
  </si>
  <si>
    <t>〒160-8511</t>
    <phoneticPr fontId="4"/>
  </si>
  <si>
    <t>東京都新宿区四谷4-1</t>
    <phoneticPr fontId="4"/>
  </si>
  <si>
    <t>加工デモ＝送料設置操作講習同日開催となります。</t>
    <rPh sb="0" eb="2">
      <t>カコウ</t>
    </rPh>
    <phoneticPr fontId="4"/>
  </si>
  <si>
    <t>東京都内</t>
    <rPh sb="0" eb="4">
      <t>トウキョウトナイ</t>
    </rPh>
    <phoneticPr fontId="4"/>
  </si>
  <si>
    <t>４トン車、駐車代別途</t>
    <rPh sb="3" eb="4">
      <t>シャ</t>
    </rPh>
    <rPh sb="5" eb="10">
      <t>チュウシャダイベット</t>
    </rPh>
    <phoneticPr fontId="4"/>
  </si>
  <si>
    <t>新潟市内</t>
    <rPh sb="0" eb="2">
      <t>ニイガタ</t>
    </rPh>
    <rPh sb="2" eb="4">
      <t>シナイ</t>
    </rPh>
    <phoneticPr fontId="4"/>
  </si>
  <si>
    <t>FL-LCW 1500w加工デモ　二泊三日　ハイエース使用</t>
    <rPh sb="12" eb="14">
      <t>カコウ</t>
    </rPh>
    <rPh sb="17" eb="21">
      <t>ニハクミッカ</t>
    </rPh>
    <rPh sb="27" eb="29">
      <t>シヨウ</t>
    </rPh>
    <phoneticPr fontId="4"/>
  </si>
  <si>
    <t>FL-LCW 1500w加工デモ　一泊二日　ハイエース使用</t>
    <rPh sb="12" eb="14">
      <t>カコウ</t>
    </rPh>
    <phoneticPr fontId="4"/>
  </si>
  <si>
    <t>FL-LCW 1500w　加工デモ　日帰り　ハイエース使用</t>
    <rPh sb="13" eb="15">
      <t>カコウ</t>
    </rPh>
    <rPh sb="18" eb="20">
      <t>ヒガエ</t>
    </rPh>
    <phoneticPr fontId="4"/>
  </si>
  <si>
    <t>FL-LCW 1500w　加工デモ　一泊二日　公共交通</t>
    <rPh sb="13" eb="15">
      <t>カコウ</t>
    </rPh>
    <rPh sb="23" eb="27">
      <t>コウキョウコウツウ</t>
    </rPh>
    <phoneticPr fontId="4"/>
  </si>
  <si>
    <t>FL-LCW 1500w加工デモ　一泊二日　　公共交通</t>
    <rPh sb="12" eb="14">
      <t>カコウ</t>
    </rPh>
    <rPh sb="17" eb="21">
      <t>イッパクフツカ</t>
    </rPh>
    <phoneticPr fontId="4"/>
  </si>
  <si>
    <t>FL-LCW 1500w　加工デモ　一泊二日　公共交通</t>
    <rPh sb="13" eb="15">
      <t>カコウ</t>
    </rPh>
    <phoneticPr fontId="4"/>
  </si>
  <si>
    <t>FL-LCW 1500w　加工デモ　一泊二日　　公共交通</t>
    <rPh sb="13" eb="15">
      <t>カコウ</t>
    </rPh>
    <phoneticPr fontId="4"/>
  </si>
  <si>
    <t>FL-LCW 1500w　加工デモ　一泊二日　　公共交通</t>
    <rPh sb="13" eb="15">
      <t>カコウ</t>
    </rPh>
    <rPh sb="18" eb="22">
      <t>イッパクフツカ</t>
    </rPh>
    <phoneticPr fontId="4"/>
  </si>
  <si>
    <t>FL2504075</t>
    <phoneticPr fontId="4"/>
  </si>
  <si>
    <t>福島県内</t>
    <rPh sb="0" eb="3">
      <t>フクシマケン</t>
    </rPh>
    <rPh sb="3" eb="4">
      <t>ナイ</t>
    </rPh>
    <phoneticPr fontId="4"/>
  </si>
  <si>
    <t>長野県伊那市</t>
    <phoneticPr fontId="4"/>
  </si>
  <si>
    <t>FL-LCW 1500w搬入講習費二泊三日　社用車</t>
    <rPh sb="12" eb="14">
      <t>ハンニュウ</t>
    </rPh>
    <rPh sb="14" eb="16">
      <t>コウシュウ</t>
    </rPh>
    <rPh sb="16" eb="17">
      <t>ヒ</t>
    </rPh>
    <rPh sb="17" eb="21">
      <t>ニハクミッカ</t>
    </rPh>
    <rPh sb="22" eb="25">
      <t>シャヨウシャ</t>
    </rPh>
    <phoneticPr fontId="4"/>
  </si>
  <si>
    <t>FL-LCW 1500w搬入講習費一泊二日　社用車</t>
    <rPh sb="12" eb="14">
      <t>ハンニュウ</t>
    </rPh>
    <rPh sb="14" eb="16">
      <t>コウシュウ</t>
    </rPh>
    <rPh sb="16" eb="17">
      <t>ヒ</t>
    </rPh>
    <rPh sb="17" eb="21">
      <t>イッパクフツカ</t>
    </rPh>
    <phoneticPr fontId="4"/>
  </si>
  <si>
    <t>FL-LCW 1500w搬入講習費一泊二日　公共</t>
    <rPh sb="12" eb="14">
      <t>ハンニュウ</t>
    </rPh>
    <rPh sb="14" eb="16">
      <t>コウシュウ</t>
    </rPh>
    <rPh sb="16" eb="17">
      <t>ヒ</t>
    </rPh>
    <rPh sb="17" eb="21">
      <t>イッパクフツカ</t>
    </rPh>
    <rPh sb="22" eb="24">
      <t>コウキョウ</t>
    </rPh>
    <phoneticPr fontId="4"/>
  </si>
  <si>
    <t>仙台市</t>
    <rPh sb="0" eb="3">
      <t>センダイシ</t>
    </rPh>
    <phoneticPr fontId="4"/>
  </si>
  <si>
    <t>名古屋支店</t>
    <phoneticPr fontId="4"/>
  </si>
  <si>
    <t>高山市組合向け</t>
    <phoneticPr fontId="4"/>
  </si>
  <si>
    <t>FL-LCW1500wデモ機持参講習社用車使用日帰平日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ヘイジツ</t>
    </rPh>
    <phoneticPr fontId="4"/>
  </si>
  <si>
    <t>FL-LCW1500wデモ機持参講習社用車使用日帰土日</t>
    <rPh sb="13" eb="16">
      <t>キジサン</t>
    </rPh>
    <rPh sb="16" eb="18">
      <t>コウシュウ</t>
    </rPh>
    <rPh sb="18" eb="20">
      <t>シャヨウ</t>
    </rPh>
    <rPh sb="20" eb="21">
      <t>シャ</t>
    </rPh>
    <rPh sb="21" eb="23">
      <t>シヨウ</t>
    </rPh>
    <rPh sb="23" eb="25">
      <t>ヒガエ</t>
    </rPh>
    <rPh sb="25" eb="27">
      <t>ドニチ</t>
    </rPh>
    <phoneticPr fontId="4"/>
  </si>
  <si>
    <t>石川県金沢市</t>
    <phoneticPr fontId="4"/>
  </si>
  <si>
    <t>FL-LCW1500w　新品購入持参　一泊二日　社用車</t>
    <rPh sb="12" eb="16">
      <t>シンピンコウニュウ</t>
    </rPh>
    <rPh sb="16" eb="18">
      <t>ジサン</t>
    </rPh>
    <rPh sb="19" eb="23">
      <t>イッパクフツカ</t>
    </rPh>
    <rPh sb="24" eb="27">
      <t>シャヨウシャ</t>
    </rPh>
    <phoneticPr fontId="4"/>
  </si>
  <si>
    <t>消費税10％</t>
    <rPh sb="0" eb="3">
      <t>ショウヒゼイ</t>
    </rPh>
    <phoneticPr fontId="4"/>
  </si>
  <si>
    <t>FL-LCW1500w加工デモ一泊二日  金土　公共交通</t>
    <rPh sb="11" eb="13">
      <t>カコウ</t>
    </rPh>
    <rPh sb="15" eb="19">
      <t>イッパクフツカ</t>
    </rPh>
    <phoneticPr fontId="4"/>
  </si>
  <si>
    <t>岐阜市展示場</t>
    <rPh sb="0" eb="3">
      <t>ギフシ</t>
    </rPh>
    <rPh sb="3" eb="6">
      <t>テンジジョウ</t>
    </rPh>
    <phoneticPr fontId="4"/>
  </si>
  <si>
    <t>休日割増　土日祝込み　デモ　展示場使用最低2名</t>
    <rPh sb="0" eb="4">
      <t>キュウジツワリマシ</t>
    </rPh>
    <rPh sb="5" eb="7">
      <t>ドニチ</t>
    </rPh>
    <rPh sb="7" eb="8">
      <t>シュク</t>
    </rPh>
    <rPh sb="8" eb="9">
      <t>コ</t>
    </rPh>
    <rPh sb="14" eb="17">
      <t>テンジジョウ</t>
    </rPh>
    <rPh sb="17" eb="19">
      <t>シヨウ</t>
    </rPh>
    <rPh sb="19" eb="21">
      <t>サイテイ</t>
    </rPh>
    <rPh sb="22" eb="23">
      <t>メイ</t>
    </rPh>
    <phoneticPr fontId="4"/>
  </si>
  <si>
    <t>八木自動車様</t>
    <rPh sb="0" eb="5">
      <t>ヤギジドウシャ</t>
    </rPh>
    <rPh sb="5" eb="6">
      <t>サマ</t>
    </rPh>
    <phoneticPr fontId="4"/>
  </si>
  <si>
    <t>FL-LCW 講習費一泊二日　公共交通</t>
    <rPh sb="7" eb="9">
      <t>コウシュウ</t>
    </rPh>
    <rPh sb="9" eb="10">
      <t>ヒ</t>
    </rPh>
    <rPh sb="10" eb="14">
      <t>イッパクフツカ</t>
    </rPh>
    <rPh sb="15" eb="17">
      <t>コウキョウ</t>
    </rPh>
    <rPh sb="17" eb="19">
      <t>コウツウ</t>
    </rPh>
    <phoneticPr fontId="4"/>
  </si>
  <si>
    <t>八木自動車　〒028-7912 岩手県九戸郡洋野町種市第３２地割５９番地３</t>
    <rPh sb="0" eb="5">
      <t>ヤギジドウシャ</t>
    </rPh>
    <phoneticPr fontId="4"/>
  </si>
  <si>
    <t>調整</t>
    <rPh sb="0" eb="2">
      <t>チョウセイ</t>
    </rPh>
    <phoneticPr fontId="4"/>
  </si>
  <si>
    <t>　訪問先　八木自動車追加</t>
    <rPh sb="1" eb="4">
      <t>ホウモンサキ</t>
    </rPh>
    <rPh sb="5" eb="10">
      <t>ヤギジドウシャ</t>
    </rPh>
    <rPh sb="10" eb="12">
      <t>ツイカ</t>
    </rPh>
    <phoneticPr fontId="4"/>
  </si>
  <si>
    <t>FL-LCW 講習費一泊二日公共交通　　</t>
    <rPh sb="7" eb="9">
      <t>コウシュウ</t>
    </rPh>
    <rPh sb="9" eb="10">
      <t>ヒ</t>
    </rPh>
    <rPh sb="10" eb="14">
      <t>イッパクフツカ</t>
    </rPh>
    <rPh sb="14" eb="16">
      <t>コウキョウ</t>
    </rPh>
    <rPh sb="16" eb="18">
      <t>コウツウ</t>
    </rPh>
    <phoneticPr fontId="4"/>
  </si>
  <si>
    <t>FL2507145</t>
    <phoneticPr fontId="4"/>
  </si>
  <si>
    <t>交通費前日値引き調整</t>
    <rPh sb="3" eb="5">
      <t>ゼンジツ</t>
    </rPh>
    <phoneticPr fontId="4"/>
  </si>
  <si>
    <t>前日講習値引き調整</t>
    <rPh sb="0" eb="2">
      <t>ゼンジツ</t>
    </rPh>
    <rPh sb="2" eb="4">
      <t>コウシュウ</t>
    </rPh>
    <phoneticPr fontId="4"/>
  </si>
  <si>
    <t>デモ先　有限会社アキラックス　石川県金沢市専光寺町カ44-2</t>
    <rPh sb="2" eb="3">
      <t>サキ</t>
    </rPh>
    <phoneticPr fontId="4"/>
  </si>
  <si>
    <t>FL-LCW 講習費一泊二日　ハイエース使用　</t>
    <rPh sb="7" eb="9">
      <t>コウシュウ</t>
    </rPh>
    <rPh sb="9" eb="10">
      <t>ヒ</t>
    </rPh>
    <rPh sb="10" eb="14">
      <t>イッパクフツカ</t>
    </rPh>
    <rPh sb="20" eb="22">
      <t>シヨウ</t>
    </rPh>
    <phoneticPr fontId="4"/>
  </si>
  <si>
    <t>　デモ用サンプル材料持参</t>
    <rPh sb="3" eb="4">
      <t>ヨウ</t>
    </rPh>
    <rPh sb="8" eb="10">
      <t>ザイリョウ</t>
    </rPh>
    <rPh sb="10" eb="12">
      <t>ジサン</t>
    </rPh>
    <phoneticPr fontId="4"/>
  </si>
  <si>
    <t>　出張旅費</t>
    <phoneticPr fontId="4"/>
  </si>
  <si>
    <t>　セットアップ</t>
    <phoneticPr fontId="4"/>
  </si>
  <si>
    <t>　デモ時間17：00～19：00</t>
    <rPh sb="3" eb="5">
      <t>ジカン</t>
    </rPh>
    <phoneticPr fontId="4"/>
  </si>
  <si>
    <t>FL2509265</t>
    <phoneticPr fontId="4"/>
  </si>
  <si>
    <t>見積書有効期限発効後３０日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</si>
  <si>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　デモ機持込　RSD-SUNMAX-FL-LCW 1500w</t>
    <rPh sb="3" eb="4">
      <t>キ</t>
    </rPh>
    <rPh sb="4" eb="6">
      <t>モチコミ</t>
    </rPh>
    <phoneticPr fontId="4"/>
  </si>
  <si>
    <t>デモ先　高崎市内</t>
    <rPh sb="2" eb="3">
      <t>サキ</t>
    </rPh>
    <rPh sb="4" eb="7">
      <t>タカサキシ</t>
    </rPh>
    <rPh sb="7" eb="8">
      <t>ナイ</t>
    </rPh>
    <phoneticPr fontId="4"/>
  </si>
  <si>
    <t>　デモ時間15：00～17：00　高崎市の研修センター</t>
    <rPh sb="3" eb="5">
      <t>ジカン</t>
    </rPh>
    <phoneticPr fontId="4"/>
  </si>
  <si>
    <t>　デモ時間は上記どちらか</t>
    <rPh sb="3" eb="5">
      <t>ジカン</t>
    </rPh>
    <phoneticPr fontId="4"/>
  </si>
  <si>
    <t>　デモ時間13：30～15：30　高崎市のユーザー</t>
    <rPh sb="3" eb="5">
      <t>ジカン</t>
    </rPh>
    <phoneticPr fontId="4"/>
  </si>
  <si>
    <t>　デモ用保護メガネ</t>
    <rPh sb="3" eb="4">
      <t>ヨウ</t>
    </rPh>
    <rPh sb="4" eb="6">
      <t>ホゴ</t>
    </rPh>
    <phoneticPr fontId="4"/>
  </si>
  <si>
    <t>　電源以外デモ実施物は弊社準備</t>
    <rPh sb="1" eb="5">
      <t>デンゲンイガイ</t>
    </rPh>
    <rPh sb="7" eb="9">
      <t>ジッシ</t>
    </rPh>
    <rPh sb="9" eb="10">
      <t>ブツ</t>
    </rPh>
    <rPh sb="11" eb="13">
      <t>ヘイシャ</t>
    </rPh>
    <rPh sb="13" eb="15">
      <t>ジュンビ</t>
    </rPh>
    <phoneticPr fontId="4"/>
  </si>
  <si>
    <t>　デモ　準備　セットアップ</t>
    <rPh sb="4" eb="6">
      <t>ジュンビ</t>
    </rPh>
    <phoneticPr fontId="4"/>
  </si>
  <si>
    <t>FL2511055</t>
    <phoneticPr fontId="4"/>
  </si>
  <si>
    <t>FL-LCW 出張デモ費</t>
    <rPh sb="7" eb="9">
      <t>シュッチョウ</t>
    </rPh>
    <rPh sb="11" eb="12">
      <t>ヒ</t>
    </rPh>
    <phoneticPr fontId="4"/>
  </si>
  <si>
    <t>応相談</t>
    <rPh sb="0" eb="3">
      <t>オウソウダン</t>
    </rPh>
    <phoneticPr fontId="4"/>
  </si>
  <si>
    <t>和歌山県離島除く</t>
    <rPh sb="0" eb="4">
      <t>ワカヤマケン</t>
    </rPh>
    <rPh sb="4" eb="7">
      <t>リトウノゾ</t>
    </rPh>
    <phoneticPr fontId="4"/>
  </si>
  <si>
    <t>神奈川県藤沢市</t>
    <phoneticPr fontId="4"/>
  </si>
  <si>
    <t>CLCセットアップ講習社用車納品　平日　1泊二日</t>
    <rPh sb="17" eb="19">
      <t>ヘイジツ</t>
    </rPh>
    <rPh sb="21" eb="24">
      <t>パクフツカ</t>
    </rPh>
    <phoneticPr fontId="4"/>
  </si>
  <si>
    <t>LCWセットアップ講習社用車納品　平日　1泊二日</t>
    <rPh sb="17" eb="19">
      <t>ヘイジツ</t>
    </rPh>
    <rPh sb="21" eb="24">
      <t>パクフツカ</t>
    </rPh>
    <phoneticPr fontId="4"/>
  </si>
  <si>
    <t>FL2511195</t>
    <phoneticPr fontId="4"/>
  </si>
  <si>
    <t>広島県</t>
    <rPh sb="0" eb="3">
      <t>ヒロシマケン</t>
    </rPh>
    <phoneticPr fontId="4"/>
  </si>
  <si>
    <t>大阪</t>
    <rPh sb="0" eb="2">
      <t>オオサカ</t>
    </rPh>
    <phoneticPr fontId="4"/>
  </si>
  <si>
    <t>セットアップ・設置・操作講習　公共交通　広島駅1泊2日</t>
    <rPh sb="15" eb="17">
      <t>コウキョウ</t>
    </rPh>
    <rPh sb="17" eb="19">
      <t>コウツウ</t>
    </rPh>
    <rPh sb="20" eb="23">
      <t>ヒロシマエキ</t>
    </rPh>
    <rPh sb="24" eb="25">
      <t>パク</t>
    </rPh>
    <rPh sb="26" eb="27">
      <t>ニチ</t>
    </rPh>
    <phoneticPr fontId="4"/>
  </si>
  <si>
    <t>FL2511205</t>
    <phoneticPr fontId="4"/>
  </si>
  <si>
    <t>セットアップ作業・設置作業・操作講習　乗用車移動日帰り</t>
    <rPh sb="19" eb="22">
      <t>ジョウヨウシャ</t>
    </rPh>
    <rPh sb="22" eb="24">
      <t>イドウ</t>
    </rPh>
    <rPh sb="24" eb="26">
      <t>ヒガエ</t>
    </rPh>
    <phoneticPr fontId="4"/>
  </si>
  <si>
    <t>　レーザー安全教育講習　</t>
    <rPh sb="5" eb="9">
      <t>アンゼンキョウイク</t>
    </rPh>
    <rPh sb="9" eb="11">
      <t>コウシュウ</t>
    </rPh>
    <phoneticPr fontId="4"/>
  </si>
  <si>
    <t>弊社展示場</t>
    <rPh sb="0" eb="5">
      <t>ヘイシャテンジジョウ</t>
    </rPh>
    <phoneticPr fontId="4"/>
  </si>
  <si>
    <t>　受講者　4名</t>
    <rPh sb="1" eb="4">
      <t>ジュコウシャ</t>
    </rPh>
    <rPh sb="6" eb="7">
      <t>メイ</t>
    </rPh>
    <phoneticPr fontId="4"/>
  </si>
  <si>
    <t>FL2512255</t>
    <phoneticPr fontId="4"/>
  </si>
  <si>
    <t>FL-PLC 出張デモ費</t>
    <rPh sb="7" eb="9">
      <t>シュッチョウ</t>
    </rPh>
    <rPh sb="11" eb="12">
      <t>ヒ</t>
    </rPh>
    <phoneticPr fontId="4"/>
  </si>
  <si>
    <t>デモ先　軽井沢</t>
    <rPh sb="2" eb="3">
      <t>サキ</t>
    </rPh>
    <rPh sb="4" eb="7">
      <t>カルイザワ</t>
    </rPh>
    <phoneticPr fontId="4"/>
  </si>
  <si>
    <t>電源１００V　10A　ご用意ください。</t>
    <rPh sb="0" eb="2">
      <t>デンゲン</t>
    </rPh>
    <rPh sb="12" eb="14">
      <t>ヨウイ</t>
    </rPh>
    <phoneticPr fontId="4"/>
  </si>
  <si>
    <t>デモ時間　11時～15時　目安</t>
    <rPh sb="2" eb="4">
      <t>ジカン</t>
    </rPh>
    <rPh sb="7" eb="8">
      <t>ジ</t>
    </rPh>
    <rPh sb="11" eb="12">
      <t>ジ</t>
    </rPh>
    <rPh sb="13" eb="15">
      <t>メヤス</t>
    </rPh>
    <phoneticPr fontId="4"/>
  </si>
  <si>
    <t>FL2602125</t>
    <phoneticPr fontId="4"/>
  </si>
  <si>
    <t>　日帰り対応　軽井沢　社用車使用　片道280キロ　＠300</t>
    <rPh sb="1" eb="3">
      <t>ヒガエ</t>
    </rPh>
    <rPh sb="4" eb="6">
      <t>タイオウ</t>
    </rPh>
    <rPh sb="7" eb="10">
      <t>カルイザワ</t>
    </rPh>
    <rPh sb="11" eb="14">
      <t>シャヨウシャ</t>
    </rPh>
    <rPh sb="14" eb="16">
      <t>シヨウ</t>
    </rPh>
    <rPh sb="17" eb="19">
      <t>カタミチ</t>
    </rPh>
    <phoneticPr fontId="4"/>
  </si>
  <si>
    <t>条件</t>
    <rPh sb="0" eb="2">
      <t>ジョウケン</t>
    </rPh>
    <phoneticPr fontId="4"/>
  </si>
  <si>
    <t>「RSD-SUNMAX-FL-LCW-CLC剝離専用機</t>
    <phoneticPr fontId="4"/>
  </si>
  <si>
    <t>　　セットアップ　操作講習費　</t>
    <rPh sb="9" eb="13">
      <t>ソウサコウシュウ</t>
    </rPh>
    <rPh sb="13" eb="14">
      <t>ヒ</t>
    </rPh>
    <phoneticPr fontId="4"/>
  </si>
  <si>
    <t>　</t>
    <phoneticPr fontId="4"/>
  </si>
  <si>
    <t>FL2602205</t>
    <phoneticPr fontId="4"/>
  </si>
  <si>
    <t>見積書有効期限発効後60日</t>
    <rPh sb="0" eb="3">
      <t>ミツモリショ</t>
    </rPh>
    <rPh sb="3" eb="7">
      <t>ユウコウキゲン</t>
    </rPh>
    <rPh sb="7" eb="10">
      <t>ハッコウゴ</t>
    </rPh>
    <rPh sb="12" eb="13">
      <t>ニチ</t>
    </rPh>
    <phoneticPr fontId="4"/>
  </si>
  <si>
    <t>　　搬入費　自社配送P/G車使用　片道500キロ</t>
    <rPh sb="6" eb="10">
      <t>ジシャハイソウ</t>
    </rPh>
    <rPh sb="13" eb="14">
      <t>シャ</t>
    </rPh>
    <rPh sb="14" eb="16">
      <t>シヨウ</t>
    </rPh>
    <rPh sb="17" eb="19">
      <t>カタミチ</t>
    </rPh>
    <phoneticPr fontId="4"/>
  </si>
  <si>
    <t>福島県郡山市</t>
    <phoneticPr fontId="4"/>
  </si>
  <si>
    <t>「RSD-SUNMAX-FL-LCW-PRO　3IN1</t>
    <phoneticPr fontId="4"/>
  </si>
  <si>
    <t>電源200V　30A　ご用意ください。</t>
    <rPh sb="0" eb="2">
      <t>デンゲン</t>
    </rPh>
    <rPh sb="12" eb="14">
      <t>ヨウイ</t>
    </rPh>
    <phoneticPr fontId="4"/>
  </si>
  <si>
    <t>　　出張　デモ費</t>
    <rPh sb="2" eb="4">
      <t>シュッチョウ</t>
    </rPh>
    <rPh sb="7" eb="8">
      <t>ヒ</t>
    </rPh>
    <phoneticPr fontId="4"/>
  </si>
  <si>
    <t>　前泊費</t>
    <rPh sb="1" eb="3">
      <t>ゼンパク</t>
    </rPh>
    <rPh sb="3" eb="4">
      <t>ヒ</t>
    </rPh>
    <phoneticPr fontId="4"/>
  </si>
  <si>
    <t>場所：福島県郡山市内
時間帯：９時～１２時まで【３時間開催】</t>
    <phoneticPr fontId="4"/>
  </si>
  <si>
    <t>FL2602255</t>
    <phoneticPr fontId="4"/>
  </si>
  <si>
    <t>　　搬入自社配送　片道550キロ　＠300</t>
    <rPh sb="4" eb="8">
      <t>ジシャハイソウ</t>
    </rPh>
    <rPh sb="9" eb="11">
      <t>カタミチ</t>
    </rPh>
    <phoneticPr fontId="4"/>
  </si>
  <si>
    <t>〒433-8118 静岡県浜松市中央区高丘西１丁目１３−３９</t>
    <phoneticPr fontId="4"/>
  </si>
  <si>
    <t>配送場所</t>
    <rPh sb="0" eb="4">
      <t>ハイソウバショ</t>
    </rPh>
    <phoneticPr fontId="4"/>
  </si>
  <si>
    <t>フルテック（株）配送センター</t>
    <phoneticPr fontId="4"/>
  </si>
  <si>
    <t>配送費　日帰り　4/4展示会当日　片道150キロ　＠300</t>
    <rPh sb="0" eb="3">
      <t>ハイソウヒ</t>
    </rPh>
    <rPh sb="4" eb="6">
      <t>ヒガエ</t>
    </rPh>
    <rPh sb="11" eb="16">
      <t>テンジカイトウジツ</t>
    </rPh>
    <rPh sb="17" eb="19">
      <t>カタミチ</t>
    </rPh>
    <phoneticPr fontId="4"/>
  </si>
  <si>
    <t>　1日分燃料</t>
    <rPh sb="2" eb="3">
      <t>ニチ</t>
    </rPh>
    <rPh sb="3" eb="4">
      <t>ブン</t>
    </rPh>
    <rPh sb="4" eb="6">
      <t>ネンリョウ</t>
    </rPh>
    <phoneticPr fontId="4"/>
  </si>
  <si>
    <t>発電機　ディーゼル　25KVA　レンタル4月4日　1日</t>
    <rPh sb="0" eb="3">
      <t>ハツデンキ</t>
    </rPh>
    <rPh sb="21" eb="22">
      <t>ガツ</t>
    </rPh>
    <rPh sb="23" eb="24">
      <t>ニチ</t>
    </rPh>
    <rPh sb="26" eb="27">
      <t>ニチ</t>
    </rPh>
    <phoneticPr fontId="4"/>
  </si>
  <si>
    <t>　出張費</t>
    <rPh sb="1" eb="3">
      <t>シュッチョウ</t>
    </rPh>
    <rPh sb="3" eb="4">
      <t>ヒ</t>
    </rPh>
    <phoneticPr fontId="4"/>
  </si>
  <si>
    <t>FL-LCW-PRO　出張デモ</t>
    <rPh sb="11" eb="13">
      <t>シュッチョウ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</si>
</sst>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176" formatCode="&quot;¥&quot;#,##0;&quot;¥&quot;\-#,##0;"/>
    <numFmt numFmtId="177" formatCode="#,##0;&quot;△ &quot;#,##0"/>
    <numFmt numFmtId="178" formatCode="&quot;¥&quot;#,##0;&quot;¥&quot;\-##,##0;"/>
    <numFmt numFmtId="179" formatCode="#,##0_);[Red]\(#,##0\)"/>
    <numFmt numFmtId="180" formatCode="#,##0;&quot;△ &quot;#,##0;"/>
  </numFmts>
  <fonts count="3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indexed="22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8000"/>
      <name val="ＭＳ Ｐゴシック"/>
      <family val="3"/>
      <charset val="128"/>
    </font>
    <font>
      <sz val="9"/>
      <color rgb="FF00008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8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i/>
      <sz val="22"/>
      <color theme="0"/>
      <name val="ＭＳ Ｐゴシック"/>
      <family val="3"/>
      <charset val="128"/>
    </font>
    <font>
      <b/>
      <sz val="16"/>
      <color theme="0"/>
      <name val="ＭＳ Ｐゴシック"/>
      <family val="3"/>
      <charset val="128"/>
    </font>
    <font>
      <sz val="14"/>
      <color theme="0"/>
      <name val="ＭＳ Ｐゴシック"/>
      <family val="3"/>
      <charset val="128"/>
    </font>
    <font>
      <b/>
      <i/>
      <sz val="22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ck">
        <color indexed="64"/>
      </bottom>
      <diagonal/>
    </border>
    <border>
      <left/>
      <right/>
      <top style="dashed">
        <color indexed="64"/>
      </top>
      <bottom style="thick">
        <color indexed="64"/>
      </bottom>
      <diagonal/>
    </border>
    <border>
      <left/>
      <right style="medium">
        <color indexed="64"/>
      </right>
      <top style="dashed">
        <color indexed="64"/>
      </top>
      <bottom style="thick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4" xfId="0" applyFont="1" applyFill="1" applyBorder="1" applyAlignment="1" applyProtection="1">
      <alignment horizontal="left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14" fillId="3" borderId="5" xfId="0" applyFont="1" applyFill="1" applyBorder="1"/>
    <xf numFmtId="0" fontId="2" fillId="3" borderId="3" xfId="0" applyFont="1" applyFill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5" xfId="0" applyFont="1" applyFill="1" applyBorder="1"/>
    <xf numFmtId="0" fontId="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vertical="center"/>
    </xf>
    <xf numFmtId="0" fontId="16" fillId="0" borderId="0" xfId="0" applyFont="1" applyAlignment="1">
      <alignment wrapText="1"/>
    </xf>
    <xf numFmtId="0" fontId="16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2" fillId="4" borderId="4" xfId="0" applyFont="1" applyFill="1" applyBorder="1"/>
    <xf numFmtId="0" fontId="2" fillId="4" borderId="6" xfId="0" applyFont="1" applyFill="1" applyBorder="1"/>
    <xf numFmtId="0" fontId="2" fillId="4" borderId="5" xfId="0" applyFont="1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11" xfId="0" applyFill="1" applyBorder="1"/>
    <xf numFmtId="0" fontId="0" fillId="2" borderId="12" xfId="0" applyFill="1" applyBorder="1"/>
    <xf numFmtId="0" fontId="1" fillId="0" borderId="3" xfId="0" applyFont="1" applyBorder="1"/>
    <xf numFmtId="0" fontId="0" fillId="4" borderId="3" xfId="0" applyFill="1" applyBorder="1"/>
    <xf numFmtId="0" fontId="2" fillId="2" borderId="0" xfId="0" applyFont="1" applyFill="1" applyAlignment="1">
      <alignment horizontal="left" vertical="center"/>
    </xf>
    <xf numFmtId="0" fontId="1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4" fillId="2" borderId="0" xfId="0" applyFont="1" applyFill="1"/>
    <xf numFmtId="0" fontId="2" fillId="2" borderId="0" xfId="0" applyFont="1" applyFill="1" applyAlignment="1">
      <alignment vertical="center"/>
    </xf>
    <xf numFmtId="0" fontId="1" fillId="0" borderId="0" xfId="0" applyFont="1"/>
    <xf numFmtId="0" fontId="10" fillId="0" borderId="0" xfId="0" applyFont="1"/>
    <xf numFmtId="177" fontId="0" fillId="0" borderId="0" xfId="0" applyNumberFormat="1"/>
    <xf numFmtId="0" fontId="0" fillId="4" borderId="3" xfId="0" applyFill="1" applyBorder="1" applyAlignment="1">
      <alignment horizontal="center"/>
    </xf>
    <xf numFmtId="0" fontId="0" fillId="0" borderId="3" xfId="0" applyBorder="1"/>
    <xf numFmtId="180" fontId="0" fillId="0" borderId="3" xfId="0" applyNumberFormat="1" applyBorder="1"/>
    <xf numFmtId="0" fontId="3" fillId="2" borderId="0" xfId="0" applyFont="1" applyFill="1" applyAlignment="1">
      <alignment horizontal="right" wrapText="1"/>
    </xf>
    <xf numFmtId="7" fontId="0" fillId="2" borderId="0" xfId="0" applyNumberFormat="1" applyFill="1"/>
    <xf numFmtId="7" fontId="0" fillId="0" borderId="0" xfId="0" applyNumberFormat="1" applyAlignment="1">
      <alignment horizontal="center" vertical="center"/>
    </xf>
    <xf numFmtId="7" fontId="0" fillId="0" borderId="0" xfId="0" applyNumberFormat="1"/>
    <xf numFmtId="0" fontId="17" fillId="0" borderId="0" xfId="1" applyAlignment="1" applyProtection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5" fillId="0" borderId="0" xfId="0" applyFont="1"/>
    <xf numFmtId="0" fontId="0" fillId="0" borderId="1" xfId="0" applyBorder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5" fillId="2" borderId="0" xfId="0" applyFont="1" applyFill="1"/>
    <xf numFmtId="176" fontId="29" fillId="0" borderId="0" xfId="0" applyNumberFormat="1" applyFont="1" applyAlignment="1">
      <alignment horizontal="right"/>
    </xf>
    <xf numFmtId="176" fontId="32" fillId="0" borderId="0" xfId="0" applyNumberFormat="1" applyFont="1" applyAlignment="1">
      <alignment horizontal="right"/>
    </xf>
    <xf numFmtId="0" fontId="15" fillId="4" borderId="3" xfId="0" applyFont="1" applyFill="1" applyBorder="1" applyAlignment="1">
      <alignment horizontal="center" vertical="center"/>
    </xf>
    <xf numFmtId="49" fontId="17" fillId="0" borderId="3" xfId="1" applyNumberFormat="1" applyFill="1" applyBorder="1" applyAlignment="1" applyProtection="1">
      <alignment horizontal="left" vertical="center"/>
    </xf>
    <xf numFmtId="49" fontId="11" fillId="0" borderId="3" xfId="0" applyNumberFormat="1" applyFont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right" vertical="center"/>
    </xf>
    <xf numFmtId="179" fontId="0" fillId="3" borderId="3" xfId="0" applyNumberForma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15" fillId="2" borderId="0" xfId="0" applyFont="1" applyFill="1" applyAlignment="1">
      <alignment horizontal="center" vertical="center"/>
    </xf>
    <xf numFmtId="49" fontId="17" fillId="2" borderId="0" xfId="1" applyNumberFormat="1" applyFill="1" applyBorder="1" applyAlignment="1" applyProtection="1">
      <alignment horizontal="left" vertical="center"/>
    </xf>
    <xf numFmtId="49" fontId="11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79" fontId="0" fillId="2" borderId="0" xfId="0" applyNumberFormat="1" applyFill="1" applyAlignment="1">
      <alignment horizontal="right"/>
    </xf>
    <xf numFmtId="0" fontId="2" fillId="2" borderId="0" xfId="0" applyFont="1" applyFill="1" applyAlignment="1">
      <alignment horizontal="left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15" fillId="0" borderId="28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29" xfId="0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5" fillId="0" borderId="34" xfId="1" applyFont="1" applyBorder="1" applyAlignment="1" applyProtection="1">
      <alignment horizontal="left" wrapText="1"/>
    </xf>
    <xf numFmtId="0" fontId="15" fillId="0" borderId="35" xfId="1" applyFont="1" applyBorder="1" applyAlignment="1" applyProtection="1">
      <alignment horizontal="left" wrapText="1"/>
    </xf>
    <xf numFmtId="0" fontId="15" fillId="0" borderId="36" xfId="1" applyFont="1" applyBorder="1" applyAlignment="1" applyProtection="1">
      <alignment horizontal="left" wrapText="1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4" borderId="23" xfId="0" applyFill="1" applyBorder="1" applyAlignment="1">
      <alignment horizontal="center" vertical="center"/>
    </xf>
    <xf numFmtId="176" fontId="12" fillId="0" borderId="4" xfId="0" applyNumberFormat="1" applyFont="1" applyBorder="1" applyAlignment="1">
      <alignment horizontal="right" vertical="center"/>
    </xf>
    <xf numFmtId="176" fontId="12" fillId="0" borderId="6" xfId="0" applyNumberFormat="1" applyFont="1" applyBorder="1" applyAlignment="1">
      <alignment horizontal="right" vertical="center"/>
    </xf>
    <xf numFmtId="176" fontId="12" fillId="0" borderId="5" xfId="0" applyNumberFormat="1" applyFont="1" applyBorder="1" applyAlignment="1">
      <alignment horizontal="right" vertical="center"/>
    </xf>
    <xf numFmtId="180" fontId="12" fillId="0" borderId="4" xfId="0" applyNumberFormat="1" applyFont="1" applyBorder="1" applyAlignment="1">
      <alignment horizontal="right" vertical="center"/>
    </xf>
    <xf numFmtId="180" fontId="12" fillId="0" borderId="6" xfId="0" applyNumberFormat="1" applyFont="1" applyBorder="1" applyAlignment="1">
      <alignment horizontal="right" vertical="center"/>
    </xf>
    <xf numFmtId="180" fontId="12" fillId="0" borderId="5" xfId="0" applyNumberFormat="1" applyFont="1" applyBorder="1" applyAlignment="1">
      <alignment horizontal="right" vertical="center"/>
    </xf>
    <xf numFmtId="0" fontId="10" fillId="5" borderId="4" xfId="0" applyFont="1" applyFill="1" applyBorder="1" applyAlignment="1">
      <alignment horizontal="left" vertical="center" wrapText="1"/>
    </xf>
    <xf numFmtId="0" fontId="10" fillId="5" borderId="6" xfId="0" applyFont="1" applyFill="1" applyBorder="1" applyAlignment="1">
      <alignment horizontal="left" vertical="center" wrapText="1"/>
    </xf>
    <xf numFmtId="0" fontId="10" fillId="5" borderId="19" xfId="0" applyFont="1" applyFill="1" applyBorder="1" applyAlignment="1">
      <alignment horizontal="left" vertical="center" wrapText="1"/>
    </xf>
    <xf numFmtId="0" fontId="0" fillId="4" borderId="2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178" fontId="5" fillId="0" borderId="20" xfId="0" applyNumberFormat="1" applyFont="1" applyBorder="1" applyAlignment="1">
      <alignment horizontal="right" vertical="center"/>
    </xf>
    <xf numFmtId="178" fontId="5" fillId="0" borderId="21" xfId="0" applyNumberFormat="1" applyFont="1" applyBorder="1" applyAlignment="1">
      <alignment horizontal="right" vertical="center"/>
    </xf>
    <xf numFmtId="178" fontId="5" fillId="0" borderId="27" xfId="0" applyNumberFormat="1" applyFont="1" applyBorder="1" applyAlignment="1">
      <alignment horizontal="right" vertical="center"/>
    </xf>
    <xf numFmtId="0" fontId="10" fillId="0" borderId="20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180" fontId="11" fillId="0" borderId="23" xfId="0" applyNumberFormat="1" applyFont="1" applyBorder="1" applyAlignment="1">
      <alignment horizontal="left" vertical="center" wrapText="1"/>
    </xf>
    <xf numFmtId="180" fontId="11" fillId="0" borderId="6" xfId="0" applyNumberFormat="1" applyFont="1" applyBorder="1" applyAlignment="1">
      <alignment horizontal="left" vertical="center" wrapText="1"/>
    </xf>
    <xf numFmtId="180" fontId="11" fillId="0" borderId="5" xfId="0" applyNumberFormat="1" applyFont="1" applyBorder="1" applyAlignment="1">
      <alignment horizontal="left" vertical="center" wrapText="1"/>
    </xf>
    <xf numFmtId="180" fontId="9" fillId="0" borderId="4" xfId="0" applyNumberFormat="1" applyFont="1" applyBorder="1" applyAlignment="1">
      <alignment horizontal="right" vertical="center"/>
    </xf>
    <xf numFmtId="180" fontId="9" fillId="0" borderId="6" xfId="0" applyNumberFormat="1" applyFont="1" applyBorder="1" applyAlignment="1">
      <alignment horizontal="right" vertical="center"/>
    </xf>
    <xf numFmtId="180" fontId="0" fillId="0" borderId="6" xfId="0" applyNumberFormat="1" applyBorder="1" applyAlignment="1">
      <alignment horizontal="left" vertical="center"/>
    </xf>
    <xf numFmtId="180" fontId="0" fillId="0" borderId="5" xfId="0" applyNumberFormat="1" applyBorder="1" applyAlignment="1">
      <alignment horizontal="left" vertical="center"/>
    </xf>
    <xf numFmtId="180" fontId="9" fillId="0" borderId="5" xfId="0" applyNumberFormat="1" applyFont="1" applyBorder="1" applyAlignment="1">
      <alignment horizontal="right" vertical="center"/>
    </xf>
    <xf numFmtId="180" fontId="10" fillId="0" borderId="4" xfId="0" applyNumberFormat="1" applyFont="1" applyBorder="1" applyAlignment="1">
      <alignment horizontal="left" vertical="center" wrapText="1"/>
    </xf>
    <xf numFmtId="180" fontId="10" fillId="0" borderId="6" xfId="0" applyNumberFormat="1" applyFont="1" applyBorder="1" applyAlignment="1">
      <alignment horizontal="left" vertical="center" wrapText="1"/>
    </xf>
    <xf numFmtId="180" fontId="10" fillId="0" borderId="19" xfId="0" applyNumberFormat="1" applyFont="1" applyBorder="1" applyAlignment="1">
      <alignment horizontal="left" vertical="center" wrapText="1"/>
    </xf>
    <xf numFmtId="180" fontId="9" fillId="0" borderId="7" xfId="0" applyNumberFormat="1" applyFont="1" applyBorder="1" applyAlignment="1">
      <alignment horizontal="right" vertical="center"/>
    </xf>
    <xf numFmtId="180" fontId="9" fillId="0" borderId="8" xfId="0" applyNumberFormat="1" applyFont="1" applyBorder="1" applyAlignment="1">
      <alignment horizontal="right" vertical="center"/>
    </xf>
    <xf numFmtId="180" fontId="0" fillId="0" borderId="8" xfId="0" applyNumberFormat="1" applyBorder="1" applyAlignment="1">
      <alignment horizontal="left" vertical="center"/>
    </xf>
    <xf numFmtId="180" fontId="0" fillId="0" borderId="9" xfId="0" applyNumberFormat="1" applyBorder="1" applyAlignment="1">
      <alignment horizontal="left" vertical="center"/>
    </xf>
    <xf numFmtId="180" fontId="9" fillId="0" borderId="9" xfId="0" applyNumberFormat="1" applyFont="1" applyBorder="1" applyAlignment="1">
      <alignment horizontal="right" vertical="center"/>
    </xf>
    <xf numFmtId="0" fontId="0" fillId="4" borderId="17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right" vertical="center"/>
    </xf>
    <xf numFmtId="176" fontId="32" fillId="0" borderId="18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49" fontId="10" fillId="0" borderId="0" xfId="0" applyNumberFormat="1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/>
    </xf>
    <xf numFmtId="0" fontId="11" fillId="0" borderId="0" xfId="1" applyFont="1" applyAlignment="1" applyProtection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76" fontId="29" fillId="0" borderId="0" xfId="0" applyNumberFormat="1" applyFont="1" applyAlignment="1">
      <alignment horizontal="right" vertical="center"/>
    </xf>
    <xf numFmtId="176" fontId="29" fillId="0" borderId="18" xfId="0" applyNumberFormat="1" applyFont="1" applyBorder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80" fontId="15" fillId="0" borderId="4" xfId="0" applyNumberFormat="1" applyFont="1" applyBorder="1" applyAlignment="1">
      <alignment horizontal="left" vertical="center" wrapText="1"/>
    </xf>
    <xf numFmtId="180" fontId="15" fillId="0" borderId="6" xfId="0" applyNumberFormat="1" applyFont="1" applyBorder="1" applyAlignment="1">
      <alignment horizontal="left" vertical="center" wrapText="1"/>
    </xf>
    <xf numFmtId="180" fontId="15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5" borderId="19" xfId="0" applyFont="1" applyFill="1" applyBorder="1" applyAlignment="1">
      <alignment horizontal="left" vertical="center" wrapText="1"/>
    </xf>
    <xf numFmtId="180" fontId="15" fillId="0" borderId="23" xfId="0" applyNumberFormat="1" applyFont="1" applyBorder="1" applyAlignment="1">
      <alignment horizontal="left" vertical="center" wrapText="1"/>
    </xf>
    <xf numFmtId="180" fontId="15" fillId="0" borderId="5" xfId="0" applyNumberFormat="1" applyFont="1" applyBorder="1" applyAlignment="1">
      <alignment horizontal="left" vertical="center" wrapText="1"/>
    </xf>
    <xf numFmtId="178" fontId="30" fillId="0" borderId="20" xfId="0" applyNumberFormat="1" applyFont="1" applyBorder="1" applyAlignment="1">
      <alignment horizontal="right" vertical="center"/>
    </xf>
    <xf numFmtId="178" fontId="30" fillId="0" borderId="21" xfId="0" applyNumberFormat="1" applyFont="1" applyBorder="1" applyAlignment="1">
      <alignment horizontal="right" vertical="center"/>
    </xf>
    <xf numFmtId="178" fontId="30" fillId="0" borderId="27" xfId="0" applyNumberFormat="1" applyFont="1" applyBorder="1" applyAlignment="1">
      <alignment horizontal="right" vertical="center"/>
    </xf>
    <xf numFmtId="176" fontId="31" fillId="0" borderId="4" xfId="0" applyNumberFormat="1" applyFont="1" applyBorder="1" applyAlignment="1">
      <alignment horizontal="right" vertical="center"/>
    </xf>
    <xf numFmtId="176" fontId="31" fillId="0" borderId="6" xfId="0" applyNumberFormat="1" applyFont="1" applyBorder="1" applyAlignment="1">
      <alignment horizontal="right" vertical="center"/>
    </xf>
    <xf numFmtId="176" fontId="31" fillId="0" borderId="5" xfId="0" applyNumberFormat="1" applyFont="1" applyBorder="1" applyAlignment="1">
      <alignment horizontal="right" vertical="center"/>
    </xf>
    <xf numFmtId="180" fontId="31" fillId="0" borderId="4" xfId="0" applyNumberFormat="1" applyFont="1" applyBorder="1" applyAlignment="1">
      <alignment horizontal="right" vertical="center"/>
    </xf>
    <xf numFmtId="180" fontId="31" fillId="0" borderId="6" xfId="0" applyNumberFormat="1" applyFont="1" applyBorder="1" applyAlignment="1">
      <alignment horizontal="right" vertical="center"/>
    </xf>
    <xf numFmtId="180" fontId="31" fillId="0" borderId="5" xfId="0" applyNumberFormat="1" applyFont="1" applyBorder="1" applyAlignment="1">
      <alignment horizontal="righ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ctrlProps/ctrlProp80.xml><?xml version="1.0" encoding="utf-8"?>
<formControlPr xmlns="http://schemas.microsoft.com/office/spreadsheetml/2009/9/main" objectType="Button" lockText="1"/>
</file>

<file path=xl/ctrlProps/ctrlProp81.xml><?xml version="1.0" encoding="utf-8"?>
<formControlPr xmlns="http://schemas.microsoft.com/office/spreadsheetml/2009/9/main" objectType="Button" lockText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Button" lockText="1"/>
</file>

<file path=xl/ctrlProps/ctrlProp84.xml><?xml version="1.0" encoding="utf-8"?>
<formControlPr xmlns="http://schemas.microsoft.com/office/spreadsheetml/2009/9/main" objectType="Button" lockText="1"/>
</file>

<file path=xl/ctrlProps/ctrlProp85.xml><?xml version="1.0" encoding="utf-8"?>
<formControlPr xmlns="http://schemas.microsoft.com/office/spreadsheetml/2009/9/main" objectType="Button" lockText="1"/>
</file>

<file path=xl/ctrlProps/ctrlProp86.xml><?xml version="1.0" encoding="utf-8"?>
<formControlPr xmlns="http://schemas.microsoft.com/office/spreadsheetml/2009/9/main" objectType="Button" lockText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Button" lockText="1"/>
</file>

<file path=xl/ctrlProps/ctrlProp89.xml><?xml version="1.0" encoding="utf-8"?>
<formControlPr xmlns="http://schemas.microsoft.com/office/spreadsheetml/2009/9/main" objectType="Button" lockText="1"/>
</file>

<file path=xl/ctrlProps/ctrlProp90.xml><?xml version="1.0" encoding="utf-8"?>
<formControlPr xmlns="http://schemas.microsoft.com/office/spreadsheetml/2009/9/main" objectType="Button" lockText="1"/>
</file>

<file path=xl/ctrlProps/ctrlProp91.xml><?xml version="1.0" encoding="utf-8"?>
<formControlPr xmlns="http://schemas.microsoft.com/office/spreadsheetml/2009/9/main" objectType="Button" lockText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Button" lockText="1"/>
</file>

<file path=xl/ctrlProps/ctrlProp94.xml><?xml version="1.0" encoding="utf-8"?>
<formControlPr xmlns="http://schemas.microsoft.com/office/spreadsheetml/2009/9/main" objectType="Button" lockText="1"/>
</file>

<file path=xl/ctrlProps/ctrlProp95.xml><?xml version="1.0" encoding="utf-8"?>
<formControlPr xmlns="http://schemas.microsoft.com/office/spreadsheetml/2009/9/main" objectType="Button" lockText="1"/>
</file>

<file path=xl/ctrlProps/ctrlProp96.xml><?xml version="1.0" encoding="utf-8"?>
<formControlPr xmlns="http://schemas.microsoft.com/office/spreadsheetml/2009/9/main" objectType="Button" lockText="1"/>
</file>

<file path=xl/ctrlProps/ctrlProp97.xml><?xml version="1.0" encoding="utf-8"?>
<formControlPr xmlns="http://schemas.microsoft.com/office/spreadsheetml/2009/9/main" objectType="Button" lockText="1"/>
</file>

<file path=xl/ctrlProps/ctrlProp98.xml><?xml version="1.0" encoding="utf-8"?>
<formControlPr xmlns="http://schemas.microsoft.com/office/spreadsheetml/2009/9/main" objectType="Button" lockText="1"/>
</file>

<file path=xl/ctrlProps/ctrlProp99.xml><?xml version="1.0" encoding="utf-8"?>
<formControlPr xmlns="http://schemas.microsoft.com/office/spreadsheetml/2009/9/main" objectType="Button" lockText="1"/>
</file>

<file path=xl/ctrlProps/ctrlProp100.xml><?xml version="1.0" encoding="utf-8"?>
<formControlPr xmlns="http://schemas.microsoft.com/office/spreadsheetml/2009/9/main" objectType="Button" lockText="1"/>
</file>

<file path=xl/ctrlProps/ctrlProp101.xml><?xml version="1.0" encoding="utf-8"?>
<formControlPr xmlns="http://schemas.microsoft.com/office/spreadsheetml/2009/9/main" objectType="Button" lockText="1"/>
</file>

<file path=xl/ctrlProps/ctrlProp102.xml><?xml version="1.0" encoding="utf-8"?>
<formControlPr xmlns="http://schemas.microsoft.com/office/spreadsheetml/2009/9/main" objectType="Button" lockText="1"/>
</file>

<file path=xl/ctrlProps/ctrlProp103.xml><?xml version="1.0" encoding="utf-8"?>
<formControlPr xmlns="http://schemas.microsoft.com/office/spreadsheetml/2009/9/main" objectType="Button" lockText="1"/>
</file>

<file path=xl/ctrlProps/ctrlProp104.xml><?xml version="1.0" encoding="utf-8"?>
<formControlPr xmlns="http://schemas.microsoft.com/office/spreadsheetml/2009/9/main" objectType="Button" lockText="1"/>
</file>

<file path=xl/ctrlProps/ctrlProp105.xml><?xml version="1.0" encoding="utf-8"?>
<formControlPr xmlns="http://schemas.microsoft.com/office/spreadsheetml/2009/9/main" objectType="Button" lockText="1"/>
</file>

<file path=xl/ctrlProps/ctrlProp106.xml><?xml version="1.0" encoding="utf-8"?>
<formControlPr xmlns="http://schemas.microsoft.com/office/spreadsheetml/2009/9/main" objectType="Button" lockText="1"/>
</file>

<file path=xl/ctrlProps/ctrlProp107.xml><?xml version="1.0" encoding="utf-8"?>
<formControlPr xmlns="http://schemas.microsoft.com/office/spreadsheetml/2009/9/main" objectType="Button" lockText="1"/>
</file>

<file path=xl/ctrlProps/ctrlProp108.xml><?xml version="1.0" encoding="utf-8"?>
<formControlPr xmlns="http://schemas.microsoft.com/office/spreadsheetml/2009/9/main" objectType="Button" lockText="1"/>
</file>

<file path=xl/ctrlProps/ctrlProp109.xml><?xml version="1.0" encoding="utf-8"?>
<formControlPr xmlns="http://schemas.microsoft.com/office/spreadsheetml/2009/9/main" objectType="Button" lockText="1"/>
</file>

<file path=xl/ctrlProps/ctrlProp110.xml><?xml version="1.0" encoding="utf-8"?>
<formControlPr xmlns="http://schemas.microsoft.com/office/spreadsheetml/2009/9/main" objectType="Button" lockText="1"/>
</file>

<file path=xl/ctrlProps/ctrlProp111.xml><?xml version="1.0" encoding="utf-8"?>
<formControlPr xmlns="http://schemas.microsoft.com/office/spreadsheetml/2009/9/main" objectType="Button" lockText="1"/>
</file>

<file path=xl/ctrlProps/ctrlProp112.xml><?xml version="1.0" encoding="utf-8"?>
<formControlPr xmlns="http://schemas.microsoft.com/office/spreadsheetml/2009/9/main" objectType="Button" lockText="1"/>
</file>

<file path=xl/ctrlProps/ctrlProp113.xml><?xml version="1.0" encoding="utf-8"?>
<formControlPr xmlns="http://schemas.microsoft.com/office/spreadsheetml/2009/9/main" objectType="Button" lockText="1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Button" lockText="1"/>
</file>

<file path=xl/ctrlProps/ctrlProp116.xml><?xml version="1.0" encoding="utf-8"?>
<formControlPr xmlns="http://schemas.microsoft.com/office/spreadsheetml/2009/9/main" objectType="Button" lockText="1"/>
</file>

<file path=xl/ctrlProps/ctrlProp117.xml><?xml version="1.0" encoding="utf-8"?>
<formControlPr xmlns="http://schemas.microsoft.com/office/spreadsheetml/2009/9/main" objectType="Button" lockText="1"/>
</file>

<file path=xl/ctrlProps/ctrlProp118.xml><?xml version="1.0" encoding="utf-8"?>
<formControlPr xmlns="http://schemas.microsoft.com/office/spreadsheetml/2009/9/main" objectType="Button" lockText="1"/>
</file>

<file path=xl/ctrlProps/ctrlProp119.xml><?xml version="1.0" encoding="utf-8"?>
<formControlPr xmlns="http://schemas.microsoft.com/office/spreadsheetml/2009/9/main" objectType="Button" lockText="1"/>
</file>

<file path=xl/ctrlProps/ctrlProp120.xml><?xml version="1.0" encoding="utf-8"?>
<formControlPr xmlns="http://schemas.microsoft.com/office/spreadsheetml/2009/9/main" objectType="Button" lockText="1"/>
</file>

<file path=xl/ctrlProps/ctrlProp121.xml><?xml version="1.0" encoding="utf-8"?>
<formControlPr xmlns="http://schemas.microsoft.com/office/spreadsheetml/2009/9/main" objectType="Button" lockText="1"/>
</file>

<file path=xl/ctrlProps/ctrlProp122.xml><?xml version="1.0" encoding="utf-8"?>
<formControlPr xmlns="http://schemas.microsoft.com/office/spreadsheetml/2009/9/main" objectType="Button" lockText="1"/>
</file>

<file path=xl/ctrlProps/ctrlProp123.xml><?xml version="1.0" encoding="utf-8"?>
<formControlPr xmlns="http://schemas.microsoft.com/office/spreadsheetml/2009/9/main" objectType="Button" lockText="1"/>
</file>

<file path=xl/ctrlProps/ctrlProp124.xml><?xml version="1.0" encoding="utf-8"?>
<formControlPr xmlns="http://schemas.microsoft.com/office/spreadsheetml/2009/9/main" objectType="Button" lockText="1"/>
</file>

<file path=xl/ctrlProps/ctrlProp125.xml><?xml version="1.0" encoding="utf-8"?>
<formControlPr xmlns="http://schemas.microsoft.com/office/spreadsheetml/2009/9/main" objectType="Button" lockText="1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Button" lockText="1"/>
</file>

<file path=xl/ctrlProps/ctrlProp129.xml><?xml version="1.0" encoding="utf-8"?>
<formControlPr xmlns="http://schemas.microsoft.com/office/spreadsheetml/2009/9/main" objectType="Button" lockText="1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Button" lockText="1"/>
</file>

<file path=xl/ctrlProps/ctrlProp132.xml><?xml version="1.0" encoding="utf-8"?>
<formControlPr xmlns="http://schemas.microsoft.com/office/spreadsheetml/2009/9/main" objectType="Button" lockText="1"/>
</file>

<file path=xl/ctrlProps/ctrlProp133.xml><?xml version="1.0" encoding="utf-8"?>
<formControlPr xmlns="http://schemas.microsoft.com/office/spreadsheetml/2009/9/main" objectType="Button" lockText="1"/>
</file>

<file path=xl/ctrlProps/ctrlProp134.xml><?xml version="1.0" encoding="utf-8"?>
<formControlPr xmlns="http://schemas.microsoft.com/office/spreadsheetml/2009/9/main" objectType="Button" lockText="1"/>
</file>

<file path=xl/ctrlProps/ctrlProp135.xml><?xml version="1.0" encoding="utf-8"?>
<formControlPr xmlns="http://schemas.microsoft.com/office/spreadsheetml/2009/9/main" objectType="Button" lockText="1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Button" lockText="1"/>
</file>

<file path=xl/ctrlProps/ctrlProp138.xml><?xml version="1.0" encoding="utf-8"?>
<formControlPr xmlns="http://schemas.microsoft.com/office/spreadsheetml/2009/9/main" objectType="Button" lockText="1"/>
</file>

<file path=xl/ctrlProps/ctrlProp139.xml><?xml version="1.0" encoding="utf-8"?>
<formControlPr xmlns="http://schemas.microsoft.com/office/spreadsheetml/2009/9/main" objectType="Button" lockText="1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Button" lockText="1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Button" lockText="1"/>
</file>

<file path=xl/ctrlProps/ctrlProp144.xml><?xml version="1.0" encoding="utf-8"?>
<formControlPr xmlns="http://schemas.microsoft.com/office/spreadsheetml/2009/9/main" objectType="Button" lockText="1"/>
</file>

<file path=xl/ctrlProps/ctrlProp145.xml><?xml version="1.0" encoding="utf-8"?>
<formControlPr xmlns="http://schemas.microsoft.com/office/spreadsheetml/2009/9/main" objectType="Button" lockText="1"/>
</file>

<file path=xl/ctrlProps/ctrlProp146.xml><?xml version="1.0" encoding="utf-8"?>
<formControlPr xmlns="http://schemas.microsoft.com/office/spreadsheetml/2009/9/main" objectType="Button" lockText="1"/>
</file>

<file path=xl/ctrlProps/ctrlProp147.xml><?xml version="1.0" encoding="utf-8"?>
<formControlPr xmlns="http://schemas.microsoft.com/office/spreadsheetml/2009/9/main" objectType="Button" lockText="1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Button" lockText="1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ctrlProps/ctrlProp153.xml><?xml version="1.0" encoding="utf-8"?>
<formControlPr xmlns="http://schemas.microsoft.com/office/spreadsheetml/2009/9/main" objectType="Button" lockText="1"/>
</file>

<file path=xl/ctrlProps/ctrlProp154.xml><?xml version="1.0" encoding="utf-8"?>
<formControlPr xmlns="http://schemas.microsoft.com/office/spreadsheetml/2009/9/main" objectType="Button" lockText="1"/>
</file>

<file path=xl/ctrlProps/ctrlProp155.xml><?xml version="1.0" encoding="utf-8"?>
<formControlPr xmlns="http://schemas.microsoft.com/office/spreadsheetml/2009/9/main" objectType="Button" lockText="1"/>
</file>

<file path=xl/ctrlProps/ctrlProp156.xml><?xml version="1.0" encoding="utf-8"?>
<formControlPr xmlns="http://schemas.microsoft.com/office/spreadsheetml/2009/9/main" objectType="Button" lockText="1"/>
</file>

<file path=xl/ctrlProps/ctrlProp157.xml><?xml version="1.0" encoding="utf-8"?>
<formControlPr xmlns="http://schemas.microsoft.com/office/spreadsheetml/2009/9/main" objectType="Button" lockText="1"/>
</file>

<file path=xl/ctrlProps/ctrlProp158.xml><?xml version="1.0" encoding="utf-8"?>
<formControlPr xmlns="http://schemas.microsoft.com/office/spreadsheetml/2009/9/main" objectType="Button" lockText="1"/>
</file>

<file path=xl/ctrlProps/ctrlProp159.xml><?xml version="1.0" encoding="utf-8"?>
<formControlPr xmlns="http://schemas.microsoft.com/office/spreadsheetml/2009/9/main" objectType="Button" lockText="1"/>
</file>

<file path=xl/ctrlProps/ctrlProp160.xml><?xml version="1.0" encoding="utf-8"?>
<formControlPr xmlns="http://schemas.microsoft.com/office/spreadsheetml/2009/9/main" objectType="Button" lockText="1"/>
</file>

<file path=xl/ctrlProps/ctrlProp161.xml><?xml version="1.0" encoding="utf-8"?>
<formControlPr xmlns="http://schemas.microsoft.com/office/spreadsheetml/2009/9/main" objectType="Button" lockText="1"/>
</file>

<file path=xl/ctrlProps/ctrlProp162.xml><?xml version="1.0" encoding="utf-8"?>
<formControlPr xmlns="http://schemas.microsoft.com/office/spreadsheetml/2009/9/main" objectType="Button" lockText="1"/>
</file>

<file path=xl/ctrlProps/ctrlProp163.xml><?xml version="1.0" encoding="utf-8"?>
<formControlPr xmlns="http://schemas.microsoft.com/office/spreadsheetml/2009/9/main" objectType="Button" lockText="1"/>
</file>

<file path=xl/ctrlProps/ctrlProp164.xml><?xml version="1.0" encoding="utf-8"?>
<formControlPr xmlns="http://schemas.microsoft.com/office/spreadsheetml/2009/9/main" objectType="Button" lockText="1"/>
</file>

<file path=xl/ctrlProps/ctrlProp165.xml><?xml version="1.0" encoding="utf-8"?>
<formControlPr xmlns="http://schemas.microsoft.com/office/spreadsheetml/2009/9/main" objectType="Button" lockText="1"/>
</file>

<file path=xl/ctrlProps/ctrlProp166.xml><?xml version="1.0" encoding="utf-8"?>
<formControlPr xmlns="http://schemas.microsoft.com/office/spreadsheetml/2009/9/main" objectType="Button" lockText="1"/>
</file>

<file path=xl/ctrlProps/ctrlProp167.xml><?xml version="1.0" encoding="utf-8"?>
<formControlPr xmlns="http://schemas.microsoft.com/office/spreadsheetml/2009/9/main" objectType="Button" lockText="1"/>
</file>

<file path=xl/ctrlProps/ctrlProp168.xml><?xml version="1.0" encoding="utf-8"?>
<formControlPr xmlns="http://schemas.microsoft.com/office/spreadsheetml/2009/9/main" objectType="Button" lockText="1"/>
</file>

<file path=xl/ctrlProps/ctrlProp169.xml><?xml version="1.0" encoding="utf-8"?>
<formControlPr xmlns="http://schemas.microsoft.com/office/spreadsheetml/2009/9/main" objectType="Button" lockText="1"/>
</file>

<file path=xl/ctrlProps/ctrlProp170.xml><?xml version="1.0" encoding="utf-8"?>
<formControlPr xmlns="http://schemas.microsoft.com/office/spreadsheetml/2009/9/main" objectType="Button" lockText="1"/>
</file>

<file path=xl/ctrlProps/ctrlProp171.xml><?xml version="1.0" encoding="utf-8"?>
<formControlPr xmlns="http://schemas.microsoft.com/office/spreadsheetml/2009/9/main" objectType="Button" lockText="1"/>
</file>

<file path=xl/ctrlProps/ctrlProp172.xml><?xml version="1.0" encoding="utf-8"?>
<formControlPr xmlns="http://schemas.microsoft.com/office/spreadsheetml/2009/9/main" objectType="Button" lockText="1"/>
</file>

<file path=xl/ctrlProps/ctrlProp173.xml><?xml version="1.0" encoding="utf-8"?>
<formControlPr xmlns="http://schemas.microsoft.com/office/spreadsheetml/2009/9/main" objectType="Button" lockText="1"/>
</file>

<file path=xl/ctrlProps/ctrlProp174.xml><?xml version="1.0" encoding="utf-8"?>
<formControlPr xmlns="http://schemas.microsoft.com/office/spreadsheetml/2009/9/main" objectType="Button" lockText="1"/>
</file>

<file path=xl/ctrlProps/ctrlProp175.xml><?xml version="1.0" encoding="utf-8"?>
<formControlPr xmlns="http://schemas.microsoft.com/office/spreadsheetml/2009/9/main" objectType="Button" lockText="1"/>
</file>

<file path=xl/ctrlProps/ctrlProp176.xml><?xml version="1.0" encoding="utf-8"?>
<formControlPr xmlns="http://schemas.microsoft.com/office/spreadsheetml/2009/9/main" objectType="Button" lockText="1"/>
</file>

<file path=xl/ctrlProps/ctrlProp177.xml><?xml version="1.0" encoding="utf-8"?>
<formControlPr xmlns="http://schemas.microsoft.com/office/spreadsheetml/2009/9/main" objectType="Button" lockText="1"/>
</file>

<file path=xl/ctrlProps/ctrlProp178.xml><?xml version="1.0" encoding="utf-8"?>
<formControlPr xmlns="http://schemas.microsoft.com/office/spreadsheetml/2009/9/main" objectType="Button" lockText="1"/>
</file>

<file path=xl/ctrlProps/ctrlProp179.xml><?xml version="1.0" encoding="utf-8"?>
<formControlPr xmlns="http://schemas.microsoft.com/office/spreadsheetml/2009/9/main" objectType="Button" lockText="1"/>
</file>

<file path=xl/ctrlProps/ctrlProp180.xml><?xml version="1.0" encoding="utf-8"?>
<formControlPr xmlns="http://schemas.microsoft.com/office/spreadsheetml/2009/9/main" objectType="Button" lockText="1"/>
</file>

<file path=xl/ctrlProps/ctrlProp181.xml><?xml version="1.0" encoding="utf-8"?>
<formControlPr xmlns="http://schemas.microsoft.com/office/spreadsheetml/2009/9/main" objectType="Button" lockText="1"/>
</file>

<file path=xl/ctrlProps/ctrlProp182.xml><?xml version="1.0" encoding="utf-8"?>
<formControlPr xmlns="http://schemas.microsoft.com/office/spreadsheetml/2009/9/main" objectType="Button" lockText="1"/>
</file>

<file path=xl/ctrlProps/ctrlProp183.xml><?xml version="1.0" encoding="utf-8"?>
<formControlPr xmlns="http://schemas.microsoft.com/office/spreadsheetml/2009/9/main" objectType="Button" lockText="1"/>
</file>

<file path=xl/ctrlProps/ctrlProp184.xml><?xml version="1.0" encoding="utf-8"?>
<formControlPr xmlns="http://schemas.microsoft.com/office/spreadsheetml/2009/9/main" objectType="Button" lockText="1"/>
</file>

<file path=xl/ctrlProps/ctrlProp185.xml><?xml version="1.0" encoding="utf-8"?>
<formControlPr xmlns="http://schemas.microsoft.com/office/spreadsheetml/2009/9/main" objectType="Button" lockText="1"/>
</file>

<file path=xl/ctrlProps/ctrlProp186.xml><?xml version="1.0" encoding="utf-8"?>
<formControlPr xmlns="http://schemas.microsoft.com/office/spreadsheetml/2009/9/main" objectType="Button" lockText="1"/>
</file>

<file path=xl/ctrlProps/ctrlProp187.xml><?xml version="1.0" encoding="utf-8"?>
<formControlPr xmlns="http://schemas.microsoft.com/office/spreadsheetml/2009/9/main" objectType="Button" lockText="1"/>
</file>

<file path=xl/ctrlProps/ctrlProp188.xml><?xml version="1.0" encoding="utf-8"?>
<formControlPr xmlns="http://schemas.microsoft.com/office/spreadsheetml/2009/9/main" objectType="Button" lockText="1"/>
</file>

<file path=xl/ctrlProps/ctrlProp189.xml><?xml version="1.0" encoding="utf-8"?>
<formControlPr xmlns="http://schemas.microsoft.com/office/spreadsheetml/2009/9/main" objectType="Button" lockText="1"/>
</file>

<file path=xl/ctrlProps/ctrlProp190.xml><?xml version="1.0" encoding="utf-8"?>
<formControlPr xmlns="http://schemas.microsoft.com/office/spreadsheetml/2009/9/main" objectType="Button" lockText="1"/>
</file>

<file path=xl/ctrlProps/ctrlProp191.xml><?xml version="1.0" encoding="utf-8"?>
<formControlPr xmlns="http://schemas.microsoft.com/office/spreadsheetml/2009/9/main" objectType="Button" lockText="1"/>
</file>

<file path=xl/ctrlProps/ctrlProp192.xml><?xml version="1.0" encoding="utf-8"?>
<formControlPr xmlns="http://schemas.microsoft.com/office/spreadsheetml/2009/9/main" objectType="Button" lockText="1"/>
</file>

<file path=xl/ctrlProps/ctrlProp193.xml><?xml version="1.0" encoding="utf-8"?>
<formControlPr xmlns="http://schemas.microsoft.com/office/spreadsheetml/2009/9/main" objectType="Button" lockText="1"/>
</file>

<file path=xl/ctrlProps/ctrlProp194.xml><?xml version="1.0" encoding="utf-8"?>
<formControlPr xmlns="http://schemas.microsoft.com/office/spreadsheetml/2009/9/main" objectType="Button" lockText="1"/>
</file>

<file path=xl/ctrlProps/ctrlProp195.xml><?xml version="1.0" encoding="utf-8"?>
<formControlPr xmlns="http://schemas.microsoft.com/office/spreadsheetml/2009/9/main" objectType="Button" lockText="1"/>
</file>

<file path=xl/ctrlProps/ctrlProp196.xml><?xml version="1.0" encoding="utf-8"?>
<formControlPr xmlns="http://schemas.microsoft.com/office/spreadsheetml/2009/9/main" objectType="Button" lockText="1"/>
</file>

<file path=xl/ctrlProps/ctrlProp197.xml><?xml version="1.0" encoding="utf-8"?>
<formControlPr xmlns="http://schemas.microsoft.com/office/spreadsheetml/2009/9/main" objectType="Button" lockText="1"/>
</file>

<file path=xl/ctrlProps/ctrlProp198.xml><?xml version="1.0" encoding="utf-8"?>
<formControlPr xmlns="http://schemas.microsoft.com/office/spreadsheetml/2009/9/main" objectType="Button" lockText="1"/>
</file>

<file path=xl/ctrlProps/ctrlProp199.xml><?xml version="1.0" encoding="utf-8"?>
<formControlPr xmlns="http://schemas.microsoft.com/office/spreadsheetml/2009/9/main" objectType="Button" lockText="1"/>
</file>

<file path=xl/ctrlProps/ctrlProp200.xml><?xml version="1.0" encoding="utf-8"?>
<formControlPr xmlns="http://schemas.microsoft.com/office/spreadsheetml/2009/9/main" objectType="Button" lockText="1"/>
</file>

<file path=xl/ctrlProps/ctrlProp201.xml><?xml version="1.0" encoding="utf-8"?>
<formControlPr xmlns="http://schemas.microsoft.com/office/spreadsheetml/2009/9/main" objectType="Button" lockText="1"/>
</file>

<file path=xl/ctrlProps/ctrlProp202.xml><?xml version="1.0" encoding="utf-8"?>
<formControlPr xmlns="http://schemas.microsoft.com/office/spreadsheetml/2009/9/main" objectType="Button" lockText="1"/>
</file>

<file path=xl/ctrlProps/ctrlProp203.xml><?xml version="1.0" encoding="utf-8"?>
<formControlPr xmlns="http://schemas.microsoft.com/office/spreadsheetml/2009/9/main" objectType="Button" lockText="1"/>
</file>

<file path=xl/ctrlProps/ctrlProp204.xml><?xml version="1.0" encoding="utf-8"?>
<formControlPr xmlns="http://schemas.microsoft.com/office/spreadsheetml/2009/9/main" objectType="Button" lockText="1"/>
</file>

<file path=xl/ctrlProps/ctrlProp205.xml><?xml version="1.0" encoding="utf-8"?>
<formControlPr xmlns="http://schemas.microsoft.com/office/spreadsheetml/2009/9/main" objectType="Button" lockText="1"/>
</file>

<file path=xl/ctrlProps/ctrlProp206.xml><?xml version="1.0" encoding="utf-8"?>
<formControlPr xmlns="http://schemas.microsoft.com/office/spreadsheetml/2009/9/main" objectType="Button" lockText="1"/>
</file>

<file path=xl/ctrlProps/ctrlProp207.xml><?xml version="1.0" encoding="utf-8"?>
<formControlPr xmlns="http://schemas.microsoft.com/office/spreadsheetml/2009/9/main" objectType="Button" lockText="1"/>
</file>

<file path=xl/ctrlProps/ctrlProp208.xml><?xml version="1.0" encoding="utf-8"?>
<formControlPr xmlns="http://schemas.microsoft.com/office/spreadsheetml/2009/9/main" objectType="Button" lockText="1"/>
</file>

<file path=xl/ctrlProps/ctrlProp209.xml><?xml version="1.0" encoding="utf-8"?>
<formControlPr xmlns="http://schemas.microsoft.com/office/spreadsheetml/2009/9/main" objectType="Button" lockText="1"/>
</file>

<file path=xl/ctrlProps/ctrlProp210.xml><?xml version="1.0" encoding="utf-8"?>
<formControlPr xmlns="http://schemas.microsoft.com/office/spreadsheetml/2009/9/main" objectType="Button" lockText="1"/>
</file>

<file path=xl/ctrlProps/ctrlProp211.xml><?xml version="1.0" encoding="utf-8"?>
<formControlPr xmlns="http://schemas.microsoft.com/office/spreadsheetml/2009/9/main" objectType="Button" lockText="1"/>
</file>

<file path=xl/ctrlProps/ctrlProp212.xml><?xml version="1.0" encoding="utf-8"?>
<formControlPr xmlns="http://schemas.microsoft.com/office/spreadsheetml/2009/9/main" objectType="Button" lockText="1"/>
</file>

<file path=xl/ctrlProps/ctrlProp213.xml><?xml version="1.0" encoding="utf-8"?>
<formControlPr xmlns="http://schemas.microsoft.com/office/spreadsheetml/2009/9/main" objectType="Button" lockText="1"/>
</file>

<file path=xl/ctrlProps/ctrlProp214.xml><?xml version="1.0" encoding="utf-8"?>
<formControlPr xmlns="http://schemas.microsoft.com/office/spreadsheetml/2009/9/main" objectType="Button" lockText="1"/>
</file>

<file path=xl/ctrlProps/ctrlProp215.xml><?xml version="1.0" encoding="utf-8"?>
<formControlPr xmlns="http://schemas.microsoft.com/office/spreadsheetml/2009/9/main" objectType="Button" lockText="1"/>
</file>

<file path=xl/ctrlProps/ctrlProp216.xml><?xml version="1.0" encoding="utf-8"?>
<formControlPr xmlns="http://schemas.microsoft.com/office/spreadsheetml/2009/9/main" objectType="Button" lockText="1"/>
</file>

<file path=xl/ctrlProps/ctrlProp217.xml><?xml version="1.0" encoding="utf-8"?>
<formControlPr xmlns="http://schemas.microsoft.com/office/spreadsheetml/2009/9/main" objectType="Button" lockText="1"/>
</file>

<file path=xl/ctrlProps/ctrlProp218.xml><?xml version="1.0" encoding="utf-8"?>
<formControlPr xmlns="http://schemas.microsoft.com/office/spreadsheetml/2009/9/main" objectType="Button" lockText="1"/>
</file>

<file path=xl/ctrlProps/ctrlProp219.xml><?xml version="1.0" encoding="utf-8"?>
<formControlPr xmlns="http://schemas.microsoft.com/office/spreadsheetml/2009/9/main" objectType="Button" lockText="1"/>
</file>

<file path=xl/ctrlProps/ctrlProp220.xml><?xml version="1.0" encoding="utf-8"?>
<formControlPr xmlns="http://schemas.microsoft.com/office/spreadsheetml/2009/9/main" objectType="Button" lockText="1"/>
</file>

<file path=xl/ctrlProps/ctrlProp221.xml><?xml version="1.0" encoding="utf-8"?>
<formControlPr xmlns="http://schemas.microsoft.com/office/spreadsheetml/2009/9/main" objectType="Button" lockText="1"/>
</file>

<file path=xl/ctrlProps/ctrlProp222.xml><?xml version="1.0" encoding="utf-8"?>
<formControlPr xmlns="http://schemas.microsoft.com/office/spreadsheetml/2009/9/main" objectType="Button" lockText="1"/>
</file>

<file path=xl/ctrlProps/ctrlProp223.xml><?xml version="1.0" encoding="utf-8"?>
<formControlPr xmlns="http://schemas.microsoft.com/office/spreadsheetml/2009/9/main" objectType="Button" lockText="1"/>
</file>

<file path=xl/ctrlProps/ctrlProp224.xml><?xml version="1.0" encoding="utf-8"?>
<formControlPr xmlns="http://schemas.microsoft.com/office/spreadsheetml/2009/9/main" objectType="Button" lockText="1"/>
</file>

<file path=xl/ctrlProps/ctrlProp225.xml><?xml version="1.0" encoding="utf-8"?>
<formControlPr xmlns="http://schemas.microsoft.com/office/spreadsheetml/2009/9/main" objectType="Button" lockText="1"/>
</file>

<file path=xl/ctrlProps/ctrlProp226.xml><?xml version="1.0" encoding="utf-8"?>
<formControlPr xmlns="http://schemas.microsoft.com/office/spreadsheetml/2009/9/main" objectType="Button" lockText="1"/>
</file>

<file path=xl/ctrlProps/ctrlProp227.xml><?xml version="1.0" encoding="utf-8"?>
<formControlPr xmlns="http://schemas.microsoft.com/office/spreadsheetml/2009/9/main" objectType="Button" lockText="1"/>
</file>

<file path=xl/ctrlProps/ctrlProp228.xml><?xml version="1.0" encoding="utf-8"?>
<formControlPr xmlns="http://schemas.microsoft.com/office/spreadsheetml/2009/9/main" objectType="Button" lockText="1"/>
</file>

<file path=xl/ctrlProps/ctrlProp229.xml><?xml version="1.0" encoding="utf-8"?>
<formControlPr xmlns="http://schemas.microsoft.com/office/spreadsheetml/2009/9/main" objectType="Button" lockText="1"/>
</file>

<file path=xl/ctrlProps/ctrlProp230.xml><?xml version="1.0" encoding="utf-8"?>
<formControlPr xmlns="http://schemas.microsoft.com/office/spreadsheetml/2009/9/main" objectType="Button" lockText="1"/>
</file>

<file path=xl/ctrlProps/ctrlProp231.xml><?xml version="1.0" encoding="utf-8"?>
<formControlPr xmlns="http://schemas.microsoft.com/office/spreadsheetml/2009/9/main" objectType="Button" lockText="1"/>
</file>

<file path=xl/ctrlProps/ctrlProp232.xml><?xml version="1.0" encoding="utf-8"?>
<formControlPr xmlns="http://schemas.microsoft.com/office/spreadsheetml/2009/9/main" objectType="Button" lockText="1"/>
</file>

<file path=xl/ctrlProps/ctrlProp233.xml><?xml version="1.0" encoding="utf-8"?>
<formControlPr xmlns="http://schemas.microsoft.com/office/spreadsheetml/2009/9/main" objectType="Button" lockText="1"/>
</file>

<file path=xl/ctrlProps/ctrlProp234.xml><?xml version="1.0" encoding="utf-8"?>
<formControlPr xmlns="http://schemas.microsoft.com/office/spreadsheetml/2009/9/main" objectType="Button" lockText="1"/>
</file>

<file path=xl/ctrlProps/ctrlProp235.xml><?xml version="1.0" encoding="utf-8"?>
<formControlPr xmlns="http://schemas.microsoft.com/office/spreadsheetml/2009/9/main" objectType="Button" lockText="1"/>
</file>

<file path=xl/ctrlProps/ctrlProp236.xml><?xml version="1.0" encoding="utf-8"?>
<formControlPr xmlns="http://schemas.microsoft.com/office/spreadsheetml/2009/9/main" objectType="Button" lockText="1"/>
</file>

<file path=xl/ctrlProps/ctrlProp237.xml><?xml version="1.0" encoding="utf-8"?>
<formControlPr xmlns="http://schemas.microsoft.com/office/spreadsheetml/2009/9/main" objectType="Button" lockText="1"/>
</file>

<file path=xl/ctrlProps/ctrlProp238.xml><?xml version="1.0" encoding="utf-8"?>
<formControlPr xmlns="http://schemas.microsoft.com/office/spreadsheetml/2009/9/main" objectType="Button" lockText="1"/>
</file>

<file path=xl/ctrlProps/ctrlProp239.xml><?xml version="1.0" encoding="utf-8"?>
<formControlPr xmlns="http://schemas.microsoft.com/office/spreadsheetml/2009/9/main" objectType="Button" lockText="1"/>
</file>

<file path=xl/ctrlProps/ctrlProp240.xml><?xml version="1.0" encoding="utf-8"?>
<formControlPr xmlns="http://schemas.microsoft.com/office/spreadsheetml/2009/9/main" objectType="Button" lockText="1"/>
</file>

<file path=xl/ctrlProps/ctrlProp241.xml><?xml version="1.0" encoding="utf-8"?>
<formControlPr xmlns="http://schemas.microsoft.com/office/spreadsheetml/2009/9/main" objectType="Button" lockText="1"/>
</file>

<file path=xl/ctrlProps/ctrlProp242.xml><?xml version="1.0" encoding="utf-8"?>
<formControlPr xmlns="http://schemas.microsoft.com/office/spreadsheetml/2009/9/main" objectType="Button" lockText="1"/>
</file>

<file path=xl/ctrlProps/ctrlProp243.xml><?xml version="1.0" encoding="utf-8"?>
<formControlPr xmlns="http://schemas.microsoft.com/office/spreadsheetml/2009/9/main" objectType="Button" lockText="1"/>
</file>

<file path=xl/ctrlProps/ctrlProp244.xml><?xml version="1.0" encoding="utf-8"?>
<formControlPr xmlns="http://schemas.microsoft.com/office/spreadsheetml/2009/9/main" objectType="Button" lockText="1"/>
</file>

<file path=xl/ctrlProps/ctrlProp245.xml><?xml version="1.0" encoding="utf-8"?>
<formControlPr xmlns="http://schemas.microsoft.com/office/spreadsheetml/2009/9/main" objectType="Button" lockText="1"/>
</file>

<file path=xl/ctrlProps/ctrlProp246.xml><?xml version="1.0" encoding="utf-8"?>
<formControlPr xmlns="http://schemas.microsoft.com/office/spreadsheetml/2009/9/main" objectType="Button" lockText="1"/>
</file>

<file path=xl/ctrlProps/ctrlProp247.xml><?xml version="1.0" encoding="utf-8"?>
<formControlPr xmlns="http://schemas.microsoft.com/office/spreadsheetml/2009/9/main" objectType="Button" lockText="1"/>
</file>

<file path=xl/ctrlProps/ctrlProp248.xml><?xml version="1.0" encoding="utf-8"?>
<formControlPr xmlns="http://schemas.microsoft.com/office/spreadsheetml/2009/9/main" objectType="Button" lockText="1"/>
</file>

<file path=xl/ctrlProps/ctrlProp249.xml><?xml version="1.0" encoding="utf-8"?>
<formControlPr xmlns="http://schemas.microsoft.com/office/spreadsheetml/2009/9/main" objectType="Button" lockText="1"/>
</file>

<file path=xl/ctrlProps/ctrlProp250.xml><?xml version="1.0" encoding="utf-8"?>
<formControlPr xmlns="http://schemas.microsoft.com/office/spreadsheetml/2009/9/main" objectType="Button" lockText="1"/>
</file>

<file path=xl/ctrlProps/ctrlProp251.xml><?xml version="1.0" encoding="utf-8"?>
<formControlPr xmlns="http://schemas.microsoft.com/office/spreadsheetml/2009/9/main" objectType="Button" lockText="1"/>
</file>

<file path=xl/ctrlProps/ctrlProp252.xml><?xml version="1.0" encoding="utf-8"?>
<formControlPr xmlns="http://schemas.microsoft.com/office/spreadsheetml/2009/9/main" objectType="Button" lockText="1"/>
</file>

<file path=xl/ctrlProps/ctrlProp253.xml><?xml version="1.0" encoding="utf-8"?>
<formControlPr xmlns="http://schemas.microsoft.com/office/spreadsheetml/2009/9/main" objectType="Button" lockText="1"/>
</file>

<file path=xl/ctrlProps/ctrlProp254.xml><?xml version="1.0" encoding="utf-8"?>
<formControlPr xmlns="http://schemas.microsoft.com/office/spreadsheetml/2009/9/main" objectType="Button" lockText="1"/>
</file>

<file path=xl/ctrlProps/ctrlProp255.xml><?xml version="1.0" encoding="utf-8"?>
<formControlPr xmlns="http://schemas.microsoft.com/office/spreadsheetml/2009/9/main" objectType="Button" lockText="1"/>
</file>

<file path=xl/ctrlProps/ctrlProp256.xml><?xml version="1.0" encoding="utf-8"?>
<formControlPr xmlns="http://schemas.microsoft.com/office/spreadsheetml/2009/9/main" objectType="Button" lockText="1"/>
</file>

<file path=xl/ctrlProps/ctrlProp257.xml><?xml version="1.0" encoding="utf-8"?>
<formControlPr xmlns="http://schemas.microsoft.com/office/spreadsheetml/2009/9/main" objectType="Button" lockText="1"/>
</file>

<file path=xl/ctrlProps/ctrlProp258.xml><?xml version="1.0" encoding="utf-8"?>
<formControlPr xmlns="http://schemas.microsoft.com/office/spreadsheetml/2009/9/main" objectType="Button" lockText="1"/>
</file>

<file path=xl/ctrlProps/ctrlProp259.xml><?xml version="1.0" encoding="utf-8"?>
<formControlPr xmlns="http://schemas.microsoft.com/office/spreadsheetml/2009/9/main" objectType="Button" lockText="1"/>
</file>

<file path=xl/ctrlProps/ctrlProp260.xml><?xml version="1.0" encoding="utf-8"?>
<formControlPr xmlns="http://schemas.microsoft.com/office/spreadsheetml/2009/9/main" objectType="Button" lockText="1"/>
</file>

<file path=xl/ctrlProps/ctrlProp261.xml><?xml version="1.0" encoding="utf-8"?>
<formControlPr xmlns="http://schemas.microsoft.com/office/spreadsheetml/2009/9/main" objectType="Button" lockText="1"/>
</file>

<file path=xl/ctrlProps/ctrlProp262.xml><?xml version="1.0" encoding="utf-8"?>
<formControlPr xmlns="http://schemas.microsoft.com/office/spreadsheetml/2009/9/main" objectType="Button" lockText="1"/>
</file>

<file path=xl/ctrlProps/ctrlProp263.xml><?xml version="1.0" encoding="utf-8"?>
<formControlPr xmlns="http://schemas.microsoft.com/office/spreadsheetml/2009/9/main" objectType="Button" lockText="1"/>
</file>

<file path=xl/ctrlProps/ctrlProp264.xml><?xml version="1.0" encoding="utf-8"?>
<formControlPr xmlns="http://schemas.microsoft.com/office/spreadsheetml/2009/9/main" objectType="Button" lockText="1"/>
</file>

<file path=xl/ctrlProps/ctrlProp265.xml><?xml version="1.0" encoding="utf-8"?>
<formControlPr xmlns="http://schemas.microsoft.com/office/spreadsheetml/2009/9/main" objectType="Button" lockText="1"/>
</file>

<file path=xl/ctrlProps/ctrlProp266.xml><?xml version="1.0" encoding="utf-8"?>
<formControlPr xmlns="http://schemas.microsoft.com/office/spreadsheetml/2009/9/main" objectType="Button" lockText="1"/>
</file>

<file path=xl/ctrlProps/ctrlProp267.xml><?xml version="1.0" encoding="utf-8"?>
<formControlPr xmlns="http://schemas.microsoft.com/office/spreadsheetml/2009/9/main" objectType="Button" lockText="1"/>
</file>

<file path=xl/ctrlProps/ctrlProp268.xml><?xml version="1.0" encoding="utf-8"?>
<formControlPr xmlns="http://schemas.microsoft.com/office/spreadsheetml/2009/9/main" objectType="Button" lockText="1"/>
</file>

<file path=xl/ctrlProps/ctrlProp269.xml><?xml version="1.0" encoding="utf-8"?>
<formControlPr xmlns="http://schemas.microsoft.com/office/spreadsheetml/2009/9/main" objectType="Button" lockText="1"/>
</file>

<file path=xl/ctrlProps/ctrlProp270.xml><?xml version="1.0" encoding="utf-8"?>
<formControlPr xmlns="http://schemas.microsoft.com/office/spreadsheetml/2009/9/main" objectType="Button" lockText="1"/>
</file>

<file path=xl/ctrlProps/ctrlProp271.xml><?xml version="1.0" encoding="utf-8"?>
<formControlPr xmlns="http://schemas.microsoft.com/office/spreadsheetml/2009/9/main" objectType="Button" lockText="1"/>
</file>

<file path=xl/ctrlProps/ctrlProp272.xml><?xml version="1.0" encoding="utf-8"?>
<formControlPr xmlns="http://schemas.microsoft.com/office/spreadsheetml/2009/9/main" objectType="Button" lockText="1"/>
</file>

<file path=xl/ctrlProps/ctrlProp273.xml><?xml version="1.0" encoding="utf-8"?>
<formControlPr xmlns="http://schemas.microsoft.com/office/spreadsheetml/2009/9/main" objectType="Button" lockText="1"/>
</file>

<file path=xl/ctrlProps/ctrlProp274.xml><?xml version="1.0" encoding="utf-8"?>
<formControlPr xmlns="http://schemas.microsoft.com/office/spreadsheetml/2009/9/main" objectType="Button" lockText="1"/>
</file>

<file path=xl/ctrlProps/ctrlProp275.xml><?xml version="1.0" encoding="utf-8"?>
<formControlPr xmlns="http://schemas.microsoft.com/office/spreadsheetml/2009/9/main" objectType="Button" lockText="1"/>
</file>

<file path=xl/ctrlProps/ctrlProp276.xml><?xml version="1.0" encoding="utf-8"?>
<formControlPr xmlns="http://schemas.microsoft.com/office/spreadsheetml/2009/9/main" objectType="Button" lockText="1"/>
</file>

<file path=xl/ctrlProps/ctrlProp277.xml><?xml version="1.0" encoding="utf-8"?>
<formControlPr xmlns="http://schemas.microsoft.com/office/spreadsheetml/2009/9/main" objectType="Button" lockText="1"/>
</file>

<file path=xl/ctrlProps/ctrlProp278.xml><?xml version="1.0" encoding="utf-8"?>
<formControlPr xmlns="http://schemas.microsoft.com/office/spreadsheetml/2009/9/main" objectType="Button" lockText="1"/>
</file>

<file path=xl/ctrlProps/ctrlProp279.xml><?xml version="1.0" encoding="utf-8"?>
<formControlPr xmlns="http://schemas.microsoft.com/office/spreadsheetml/2009/9/main" objectType="Button" lockText="1"/>
</file>

<file path=xl/ctrlProps/ctrlProp280.xml><?xml version="1.0" encoding="utf-8"?>
<formControlPr xmlns="http://schemas.microsoft.com/office/spreadsheetml/2009/9/main" objectType="Button" lockText="1"/>
</file>

<file path=xl/ctrlProps/ctrlProp281.xml><?xml version="1.0" encoding="utf-8"?>
<formControlPr xmlns="http://schemas.microsoft.com/office/spreadsheetml/2009/9/main" objectType="Button" lockText="1"/>
</file>

<file path=xl/ctrlProps/ctrlProp282.xml><?xml version="1.0" encoding="utf-8"?>
<formControlPr xmlns="http://schemas.microsoft.com/office/spreadsheetml/2009/9/main" objectType="Button" lockText="1"/>
</file>

<file path=xl/ctrlProps/ctrlProp283.xml><?xml version="1.0" encoding="utf-8"?>
<formControlPr xmlns="http://schemas.microsoft.com/office/spreadsheetml/2009/9/main" objectType="Button" lockText="1"/>
</file>

<file path=xl/ctrlProps/ctrlProp284.xml><?xml version="1.0" encoding="utf-8"?>
<formControlPr xmlns="http://schemas.microsoft.com/office/spreadsheetml/2009/9/main" objectType="Button" lockText="1"/>
</file>

<file path=xl/ctrlProps/ctrlProp285.xml><?xml version="1.0" encoding="utf-8"?>
<formControlPr xmlns="http://schemas.microsoft.com/office/spreadsheetml/2009/9/main" objectType="Button" lockText="1"/>
</file>

<file path=xl/ctrlProps/ctrlProp286.xml><?xml version="1.0" encoding="utf-8"?>
<formControlPr xmlns="http://schemas.microsoft.com/office/spreadsheetml/2009/9/main" objectType="Button" lockText="1"/>
</file>

<file path=xl/ctrlProps/ctrlProp287.xml><?xml version="1.0" encoding="utf-8"?>
<formControlPr xmlns="http://schemas.microsoft.com/office/spreadsheetml/2009/9/main" objectType="Button" lockText="1"/>
</file>

<file path=xl/ctrlProps/ctrlProp288.xml><?xml version="1.0" encoding="utf-8"?>
<formControlPr xmlns="http://schemas.microsoft.com/office/spreadsheetml/2009/9/main" objectType="Button" lockText="1"/>
</file>

<file path=xl/ctrlProps/ctrlProp289.xml><?xml version="1.0" encoding="utf-8"?>
<formControlPr xmlns="http://schemas.microsoft.com/office/spreadsheetml/2009/9/main" objectType="Button" lockText="1"/>
</file>

<file path=xl/ctrlProps/ctrlProp290.xml><?xml version="1.0" encoding="utf-8"?>
<formControlPr xmlns="http://schemas.microsoft.com/office/spreadsheetml/2009/9/main" objectType="Button" lockText="1"/>
</file>

<file path=xl/ctrlProps/ctrlProp291.xml><?xml version="1.0" encoding="utf-8"?>
<formControlPr xmlns="http://schemas.microsoft.com/office/spreadsheetml/2009/9/main" objectType="Button" lockText="1"/>
</file>

<file path=xl/ctrlProps/ctrlProp292.xml><?xml version="1.0" encoding="utf-8"?>
<formControlPr xmlns="http://schemas.microsoft.com/office/spreadsheetml/2009/9/main" objectType="Button" lockText="1"/>
</file>

<file path=xl/ctrlProps/ctrlProp293.xml><?xml version="1.0" encoding="utf-8"?>
<formControlPr xmlns="http://schemas.microsoft.com/office/spreadsheetml/2009/9/main" objectType="Button" lockText="1"/>
</file>

<file path=xl/ctrlProps/ctrlProp294.xml><?xml version="1.0" encoding="utf-8"?>
<formControlPr xmlns="http://schemas.microsoft.com/office/spreadsheetml/2009/9/main" objectType="Button" lockText="1"/>
</file>

<file path=xl/ctrlProps/ctrlProp295.xml><?xml version="1.0" encoding="utf-8"?>
<formControlPr xmlns="http://schemas.microsoft.com/office/spreadsheetml/2009/9/main" objectType="Button" lockText="1"/>
</file>

<file path=xl/ctrlProps/ctrlProp296.xml><?xml version="1.0" encoding="utf-8"?>
<formControlPr xmlns="http://schemas.microsoft.com/office/spreadsheetml/2009/9/main" objectType="Button" lockText="1"/>
</file>

<file path=xl/ctrlProps/ctrlProp297.xml><?xml version="1.0" encoding="utf-8"?>
<formControlPr xmlns="http://schemas.microsoft.com/office/spreadsheetml/2009/9/main" objectType="Button" lockText="1"/>
</file>

<file path=xl/ctrlProps/ctrlProp298.xml><?xml version="1.0" encoding="utf-8"?>
<formControlPr xmlns="http://schemas.microsoft.com/office/spreadsheetml/2009/9/main" objectType="Button" lockText="1"/>
</file>

<file path=xl/ctrlProps/ctrlProp299.xml><?xml version="1.0" encoding="utf-8"?>
<formControlPr xmlns="http://schemas.microsoft.com/office/spreadsheetml/2009/9/main" objectType="Button" lockText="1"/>
</file>

<file path=xl/ctrlProps/ctrlProp300.xml><?xml version="1.0" encoding="utf-8"?>
<formControlPr xmlns="http://schemas.microsoft.com/office/spreadsheetml/2009/9/main" objectType="Button" lockText="1"/>
</file>

<file path=xl/ctrlProps/ctrlProp301.xml><?xml version="1.0" encoding="utf-8"?>
<formControlPr xmlns="http://schemas.microsoft.com/office/spreadsheetml/2009/9/main" objectType="Button" lockText="1"/>
</file>

<file path=xl/ctrlProps/ctrlProp302.xml><?xml version="1.0" encoding="utf-8"?>
<formControlPr xmlns="http://schemas.microsoft.com/office/spreadsheetml/2009/9/main" objectType="Button" lockText="1"/>
</file>

<file path=xl/ctrlProps/ctrlProp303.xml><?xml version="1.0" encoding="utf-8"?>
<formControlPr xmlns="http://schemas.microsoft.com/office/spreadsheetml/2009/9/main" objectType="Button" lockText="1"/>
</file>

<file path=xl/ctrlProps/ctrlProp304.xml><?xml version="1.0" encoding="utf-8"?>
<formControlPr xmlns="http://schemas.microsoft.com/office/spreadsheetml/2009/9/main" objectType="Button" lockText="1"/>
</file>

<file path=xl/ctrlProps/ctrlProp305.xml><?xml version="1.0" encoding="utf-8"?>
<formControlPr xmlns="http://schemas.microsoft.com/office/spreadsheetml/2009/9/main" objectType="Button" lockText="1"/>
</file>

<file path=xl/ctrlProps/ctrlProp306.xml><?xml version="1.0" encoding="utf-8"?>
<formControlPr xmlns="http://schemas.microsoft.com/office/spreadsheetml/2009/9/main" objectType="Button" lockText="1"/>
</file>

<file path=xl/ctrlProps/ctrlProp307.xml><?xml version="1.0" encoding="utf-8"?>
<formControlPr xmlns="http://schemas.microsoft.com/office/spreadsheetml/2009/9/main" objectType="Button" lockText="1"/>
</file>

<file path=xl/ctrlProps/ctrlProp308.xml><?xml version="1.0" encoding="utf-8"?>
<formControlPr xmlns="http://schemas.microsoft.com/office/spreadsheetml/2009/9/main" objectType="Button" lockText="1"/>
</file>

<file path=xl/ctrlProps/ctrlProp309.xml><?xml version="1.0" encoding="utf-8"?>
<formControlPr xmlns="http://schemas.microsoft.com/office/spreadsheetml/2009/9/main" objectType="Button" lockText="1"/>
</file>

<file path=xl/ctrlProps/ctrlProp310.xml><?xml version="1.0" encoding="utf-8"?>
<formControlPr xmlns="http://schemas.microsoft.com/office/spreadsheetml/2009/9/main" objectType="Button" lockText="1"/>
</file>

<file path=xl/ctrlProps/ctrlProp311.xml><?xml version="1.0" encoding="utf-8"?>
<formControlPr xmlns="http://schemas.microsoft.com/office/spreadsheetml/2009/9/main" objectType="Button" lockText="1"/>
</file>

<file path=xl/ctrlProps/ctrlProp312.xml><?xml version="1.0" encoding="utf-8"?>
<formControlPr xmlns="http://schemas.microsoft.com/office/spreadsheetml/2009/9/main" objectType="Button" lockText="1"/>
</file>

<file path=xl/ctrlProps/ctrlProp313.xml><?xml version="1.0" encoding="utf-8"?>
<formControlPr xmlns="http://schemas.microsoft.com/office/spreadsheetml/2009/9/main" objectType="Button" lockText="1"/>
</file>

<file path=xl/ctrlProps/ctrlProp314.xml><?xml version="1.0" encoding="utf-8"?>
<formControlPr xmlns="http://schemas.microsoft.com/office/spreadsheetml/2009/9/main" objectType="Button" lockText="1"/>
</file>

<file path=xl/ctrlProps/ctrlProp315.xml><?xml version="1.0" encoding="utf-8"?>
<formControlPr xmlns="http://schemas.microsoft.com/office/spreadsheetml/2009/9/main" objectType="Button" lockText="1"/>
</file>

<file path=xl/ctrlProps/ctrlProp316.xml><?xml version="1.0" encoding="utf-8"?>
<formControlPr xmlns="http://schemas.microsoft.com/office/spreadsheetml/2009/9/main" objectType="Button" lockText="1"/>
</file>

<file path=xl/ctrlProps/ctrlProp317.xml><?xml version="1.0" encoding="utf-8"?>
<formControlPr xmlns="http://schemas.microsoft.com/office/spreadsheetml/2009/9/main" objectType="Button" lockText="1"/>
</file>

<file path=xl/ctrlProps/ctrlProp318.xml><?xml version="1.0" encoding="utf-8"?>
<formControlPr xmlns="http://schemas.microsoft.com/office/spreadsheetml/2009/9/main" objectType="Button" lockText="1"/>
</file>

<file path=xl/ctrlProps/ctrlProp319.xml><?xml version="1.0" encoding="utf-8"?>
<formControlPr xmlns="http://schemas.microsoft.com/office/spreadsheetml/2009/9/main" objectType="Button" lockText="1"/>
</file>

<file path=xl/ctrlProps/ctrlProp320.xml><?xml version="1.0" encoding="utf-8"?>
<formControlPr xmlns="http://schemas.microsoft.com/office/spreadsheetml/2009/9/main" objectType="Button" lockText="1"/>
</file>

<file path=xl/ctrlProps/ctrlProp321.xml><?xml version="1.0" encoding="utf-8"?>
<formControlPr xmlns="http://schemas.microsoft.com/office/spreadsheetml/2009/9/main" objectType="Button" lockText="1"/>
</file>

<file path=xl/ctrlProps/ctrlProp322.xml><?xml version="1.0" encoding="utf-8"?>
<formControlPr xmlns="http://schemas.microsoft.com/office/spreadsheetml/2009/9/main" objectType="Button" lockText="1"/>
</file>

<file path=xl/ctrlProps/ctrlProp323.xml><?xml version="1.0" encoding="utf-8"?>
<formControlPr xmlns="http://schemas.microsoft.com/office/spreadsheetml/2009/9/main" objectType="Button" lockText="1"/>
</file>

<file path=xl/ctrlProps/ctrlProp324.xml><?xml version="1.0" encoding="utf-8"?>
<formControlPr xmlns="http://schemas.microsoft.com/office/spreadsheetml/2009/9/main" objectType="Button" lockText="1"/>
</file>

<file path=xl/ctrlProps/ctrlProp325.xml><?xml version="1.0" encoding="utf-8"?>
<formControlPr xmlns="http://schemas.microsoft.com/office/spreadsheetml/2009/9/main" objectType="Button" lockText="1"/>
</file>

<file path=xl/ctrlProps/ctrlProp326.xml><?xml version="1.0" encoding="utf-8"?>
<formControlPr xmlns="http://schemas.microsoft.com/office/spreadsheetml/2009/9/main" objectType="Button" lockText="1"/>
</file>

<file path=xl/ctrlProps/ctrlProp327.xml><?xml version="1.0" encoding="utf-8"?>
<formControlPr xmlns="http://schemas.microsoft.com/office/spreadsheetml/2009/9/main" objectType="Button" lockText="1"/>
</file>

<file path=xl/ctrlProps/ctrlProp328.xml><?xml version="1.0" encoding="utf-8"?>
<formControlPr xmlns="http://schemas.microsoft.com/office/spreadsheetml/2009/9/main" objectType="Button" lockText="1"/>
</file>

<file path=xl/ctrlProps/ctrlProp329.xml><?xml version="1.0" encoding="utf-8"?>
<formControlPr xmlns="http://schemas.microsoft.com/office/spreadsheetml/2009/9/main" objectType="Button" lockText="1"/>
</file>

<file path=xl/ctrlProps/ctrlProp330.xml><?xml version="1.0" encoding="utf-8"?>
<formControlPr xmlns="http://schemas.microsoft.com/office/spreadsheetml/2009/9/main" objectType="Button" lockText="1"/>
</file>

<file path=xl/ctrlProps/ctrlProp331.xml><?xml version="1.0" encoding="utf-8"?>
<formControlPr xmlns="http://schemas.microsoft.com/office/spreadsheetml/2009/9/main" objectType="Button" lockText="1"/>
</file>

<file path=xl/ctrlProps/ctrlProp332.xml><?xml version="1.0" encoding="utf-8"?>
<formControlPr xmlns="http://schemas.microsoft.com/office/spreadsheetml/2009/9/main" objectType="Button" lockText="1"/>
</file>

<file path=xl/ctrlProps/ctrlProp333.xml><?xml version="1.0" encoding="utf-8"?>
<formControlPr xmlns="http://schemas.microsoft.com/office/spreadsheetml/2009/9/main" objectType="Button" lockText="1"/>
</file>

<file path=xl/ctrlProps/ctrlProp334.xml><?xml version="1.0" encoding="utf-8"?>
<formControlPr xmlns="http://schemas.microsoft.com/office/spreadsheetml/2009/9/main" objectType="Button" lockText="1"/>
</file>

<file path=xl/ctrlProps/ctrlProp335.xml><?xml version="1.0" encoding="utf-8"?>
<formControlPr xmlns="http://schemas.microsoft.com/office/spreadsheetml/2009/9/main" objectType="Button" lockText="1"/>
</file>

<file path=xl/ctrlProps/ctrlProp336.xml><?xml version="1.0" encoding="utf-8"?>
<formControlPr xmlns="http://schemas.microsoft.com/office/spreadsheetml/2009/9/main" objectType="Button" lockText="1"/>
</file>

<file path=xl/ctrlProps/ctrlProp337.xml><?xml version="1.0" encoding="utf-8"?>
<formControlPr xmlns="http://schemas.microsoft.com/office/spreadsheetml/2009/9/main" objectType="Button" lockText="1"/>
</file>

<file path=xl/ctrlProps/ctrlProp338.xml><?xml version="1.0" encoding="utf-8"?>
<formControlPr xmlns="http://schemas.microsoft.com/office/spreadsheetml/2009/9/main" objectType="Button" lockText="1"/>
</file>

<file path=xl/ctrlProps/ctrlProp339.xml><?xml version="1.0" encoding="utf-8"?>
<formControlPr xmlns="http://schemas.microsoft.com/office/spreadsheetml/2009/9/main" objectType="Button" lockText="1"/>
</file>

<file path=xl/ctrlProps/ctrlProp340.xml><?xml version="1.0" encoding="utf-8"?>
<formControlPr xmlns="http://schemas.microsoft.com/office/spreadsheetml/2009/9/main" objectType="Button" lockText="1"/>
</file>

<file path=xl/ctrlProps/ctrlProp341.xml><?xml version="1.0" encoding="utf-8"?>
<formControlPr xmlns="http://schemas.microsoft.com/office/spreadsheetml/2009/9/main" objectType="Button" lockText="1"/>
</file>

<file path=xl/ctrlProps/ctrlProp342.xml><?xml version="1.0" encoding="utf-8"?>
<formControlPr xmlns="http://schemas.microsoft.com/office/spreadsheetml/2009/9/main" objectType="Button" lockText="1"/>
</file>

<file path=xl/ctrlProps/ctrlProp343.xml><?xml version="1.0" encoding="utf-8"?>
<formControlPr xmlns="http://schemas.microsoft.com/office/spreadsheetml/2009/9/main" objectType="Button" lockText="1"/>
</file>

<file path=xl/ctrlProps/ctrlProp344.xml><?xml version="1.0" encoding="utf-8"?>
<formControlPr xmlns="http://schemas.microsoft.com/office/spreadsheetml/2009/9/main" objectType="Button" lockText="1"/>
</file>

<file path=xl/ctrlProps/ctrlProp345.xml><?xml version="1.0" encoding="utf-8"?>
<formControlPr xmlns="http://schemas.microsoft.com/office/spreadsheetml/2009/9/main" objectType="Button" lockText="1"/>
</file>

<file path=xl/ctrlProps/ctrlProp346.xml><?xml version="1.0" encoding="utf-8"?>
<formControlPr xmlns="http://schemas.microsoft.com/office/spreadsheetml/2009/9/main" objectType="Button" lockText="1"/>
</file>

<file path=xl/ctrlProps/ctrlProp347.xml><?xml version="1.0" encoding="utf-8"?>
<formControlPr xmlns="http://schemas.microsoft.com/office/spreadsheetml/2009/9/main" objectType="Button" lockText="1"/>
</file>

<file path=xl/ctrlProps/ctrlProp348.xml><?xml version="1.0" encoding="utf-8"?>
<formControlPr xmlns="http://schemas.microsoft.com/office/spreadsheetml/2009/9/main" objectType="Button" lockText="1"/>
</file>

<file path=xl/ctrlProps/ctrlProp349.xml><?xml version="1.0" encoding="utf-8"?>
<formControlPr xmlns="http://schemas.microsoft.com/office/spreadsheetml/2009/9/main" objectType="Button" lockText="1"/>
</file>

<file path=xl/ctrlProps/ctrlProp350.xml><?xml version="1.0" encoding="utf-8"?>
<formControlPr xmlns="http://schemas.microsoft.com/office/spreadsheetml/2009/9/main" objectType="Button" lockText="1"/>
</file>

<file path=xl/ctrlProps/ctrlProp351.xml><?xml version="1.0" encoding="utf-8"?>
<formControlPr xmlns="http://schemas.microsoft.com/office/spreadsheetml/2009/9/main" objectType="Button" lockText="1"/>
</file>

<file path=xl/ctrlProps/ctrlProp352.xml><?xml version="1.0" encoding="utf-8"?>
<formControlPr xmlns="http://schemas.microsoft.com/office/spreadsheetml/2009/9/main" objectType="Button" lockText="1"/>
</file>

<file path=xl/ctrlProps/ctrlProp353.xml><?xml version="1.0" encoding="utf-8"?>
<formControlPr xmlns="http://schemas.microsoft.com/office/spreadsheetml/2009/9/main" objectType="Button" lockText="1"/>
</file>

<file path=xl/ctrlProps/ctrlProp354.xml><?xml version="1.0" encoding="utf-8"?>
<formControlPr xmlns="http://schemas.microsoft.com/office/spreadsheetml/2009/9/main" objectType="Button" lockText="1"/>
</file>

<file path=xl/ctrlProps/ctrlProp355.xml><?xml version="1.0" encoding="utf-8"?>
<formControlPr xmlns="http://schemas.microsoft.com/office/spreadsheetml/2009/9/main" objectType="Button" lockText="1"/>
</file>

<file path=xl/ctrlProps/ctrlProp356.xml><?xml version="1.0" encoding="utf-8"?>
<formControlPr xmlns="http://schemas.microsoft.com/office/spreadsheetml/2009/9/main" objectType="Button" lockText="1"/>
</file>

<file path=xl/ctrlProps/ctrlProp357.xml><?xml version="1.0" encoding="utf-8"?>
<formControlPr xmlns="http://schemas.microsoft.com/office/spreadsheetml/2009/9/main" objectType="Button" lockText="1"/>
</file>

<file path=xl/ctrlProps/ctrlProp358.xml><?xml version="1.0" encoding="utf-8"?>
<formControlPr xmlns="http://schemas.microsoft.com/office/spreadsheetml/2009/9/main" objectType="Button" lockText="1"/>
</file>

<file path=xl/ctrlProps/ctrlProp359.xml><?xml version="1.0" encoding="utf-8"?>
<formControlPr xmlns="http://schemas.microsoft.com/office/spreadsheetml/2009/9/main" objectType="Button" lockText="1"/>
</file>

<file path=xl/ctrlProps/ctrlProp360.xml><?xml version="1.0" encoding="utf-8"?>
<formControlPr xmlns="http://schemas.microsoft.com/office/spreadsheetml/2009/9/main" objectType="Button" lockText="1"/>
</file>

<file path=xl/ctrlProps/ctrlProp361.xml><?xml version="1.0" encoding="utf-8"?>
<formControlPr xmlns="http://schemas.microsoft.com/office/spreadsheetml/2009/9/main" objectType="Button" lockText="1"/>
</file>

<file path=xl/ctrlProps/ctrlProp362.xml><?xml version="1.0" encoding="utf-8"?>
<formControlPr xmlns="http://schemas.microsoft.com/office/spreadsheetml/2009/9/main" objectType="Button" lockText="1"/>
</file>

<file path=xl/ctrlProps/ctrlProp363.xml><?xml version="1.0" encoding="utf-8"?>
<formControlPr xmlns="http://schemas.microsoft.com/office/spreadsheetml/2009/9/main" objectType="Button" lockText="1"/>
</file>

<file path=xl/ctrlProps/ctrlProp364.xml><?xml version="1.0" encoding="utf-8"?>
<formControlPr xmlns="http://schemas.microsoft.com/office/spreadsheetml/2009/9/main" objectType="Button" lockText="1"/>
</file>

<file path=xl/ctrlProps/ctrlProp365.xml><?xml version="1.0" encoding="utf-8"?>
<formControlPr xmlns="http://schemas.microsoft.com/office/spreadsheetml/2009/9/main" objectType="Button" lockText="1"/>
</file>

<file path=xl/ctrlProps/ctrlProp366.xml><?xml version="1.0" encoding="utf-8"?>
<formControlPr xmlns="http://schemas.microsoft.com/office/spreadsheetml/2009/9/main" objectType="Button" lockText="1"/>
</file>

<file path=xl/ctrlProps/ctrlProp367.xml><?xml version="1.0" encoding="utf-8"?>
<formControlPr xmlns="http://schemas.microsoft.com/office/spreadsheetml/2009/9/main" objectType="Button" lockText="1"/>
</file>

<file path=xl/ctrlProps/ctrlProp368.xml><?xml version="1.0" encoding="utf-8"?>
<formControlPr xmlns="http://schemas.microsoft.com/office/spreadsheetml/2009/9/main" objectType="Button" lockText="1"/>
</file>

<file path=xl/ctrlProps/ctrlProp369.xml><?xml version="1.0" encoding="utf-8"?>
<formControlPr xmlns="http://schemas.microsoft.com/office/spreadsheetml/2009/9/main" objectType="Button" lockText="1"/>
</file>

<file path=xl/ctrlProps/ctrlProp370.xml><?xml version="1.0" encoding="utf-8"?>
<formControlPr xmlns="http://schemas.microsoft.com/office/spreadsheetml/2009/9/main" objectType="Button" lockText="1"/>
</file>

<file path=xl/ctrlProps/ctrlProp371.xml><?xml version="1.0" encoding="utf-8"?>
<formControlPr xmlns="http://schemas.microsoft.com/office/spreadsheetml/2009/9/main" objectType="Button" lockText="1"/>
</file>

<file path=xl/ctrlProps/ctrlProp372.xml><?xml version="1.0" encoding="utf-8"?>
<formControlPr xmlns="http://schemas.microsoft.com/office/spreadsheetml/2009/9/main" objectType="Button" lockText="1"/>
</file>

<file path=xl/ctrlProps/ctrlProp373.xml><?xml version="1.0" encoding="utf-8"?>
<formControlPr xmlns="http://schemas.microsoft.com/office/spreadsheetml/2009/9/main" objectType="Button" lockText="1"/>
</file>

<file path=xl/ctrlProps/ctrlProp374.xml><?xml version="1.0" encoding="utf-8"?>
<formControlPr xmlns="http://schemas.microsoft.com/office/spreadsheetml/2009/9/main" objectType="Button" lockText="1"/>
</file>

<file path=xl/ctrlProps/ctrlProp375.xml><?xml version="1.0" encoding="utf-8"?>
<formControlPr xmlns="http://schemas.microsoft.com/office/spreadsheetml/2009/9/main" objectType="Button" lockText="1"/>
</file>

<file path=xl/ctrlProps/ctrlProp376.xml><?xml version="1.0" encoding="utf-8"?>
<formControlPr xmlns="http://schemas.microsoft.com/office/spreadsheetml/2009/9/main" objectType="Button" lockText="1"/>
</file>

<file path=xl/ctrlProps/ctrlProp377.xml><?xml version="1.0" encoding="utf-8"?>
<formControlPr xmlns="http://schemas.microsoft.com/office/spreadsheetml/2009/9/main" objectType="Button" lockText="1"/>
</file>

<file path=xl/ctrlProps/ctrlProp378.xml><?xml version="1.0" encoding="utf-8"?>
<formControlPr xmlns="http://schemas.microsoft.com/office/spreadsheetml/2009/9/main" objectType="Button" lockText="1"/>
</file>

<file path=xl/ctrlProps/ctrlProp379.xml><?xml version="1.0" encoding="utf-8"?>
<formControlPr xmlns="http://schemas.microsoft.com/office/spreadsheetml/2009/9/main" objectType="Button" lockText="1"/>
</file>

<file path=xl/ctrlProps/ctrlProp380.xml><?xml version="1.0" encoding="utf-8"?>
<formControlPr xmlns="http://schemas.microsoft.com/office/spreadsheetml/2009/9/main" objectType="Button" lockText="1"/>
</file>

<file path=xl/ctrlProps/ctrlProp381.xml><?xml version="1.0" encoding="utf-8"?>
<formControlPr xmlns="http://schemas.microsoft.com/office/spreadsheetml/2009/9/main" objectType="Button" lockText="1"/>
</file>

<file path=xl/ctrlProps/ctrlProp382.xml><?xml version="1.0" encoding="utf-8"?>
<formControlPr xmlns="http://schemas.microsoft.com/office/spreadsheetml/2009/9/main" objectType="Button" lockText="1"/>
</file>

<file path=xl/ctrlProps/ctrlProp383.xml><?xml version="1.0" encoding="utf-8"?>
<formControlPr xmlns="http://schemas.microsoft.com/office/spreadsheetml/2009/9/main" objectType="Button" lockText="1"/>
</file>

<file path=xl/ctrlProps/ctrlProp384.xml><?xml version="1.0" encoding="utf-8"?>
<formControlPr xmlns="http://schemas.microsoft.com/office/spreadsheetml/2009/9/main" objectType="Button" lockText="1"/>
</file>

<file path=xl/ctrlProps/ctrlProp385.xml><?xml version="1.0" encoding="utf-8"?>
<formControlPr xmlns="http://schemas.microsoft.com/office/spreadsheetml/2009/9/main" objectType="Button" lockText="1"/>
</file>

<file path=xl/ctrlProps/ctrlProp386.xml><?xml version="1.0" encoding="utf-8"?>
<formControlPr xmlns="http://schemas.microsoft.com/office/spreadsheetml/2009/9/main" objectType="Button" lockText="1"/>
</file>

<file path=xl/ctrlProps/ctrlProp387.xml><?xml version="1.0" encoding="utf-8"?>
<formControlPr xmlns="http://schemas.microsoft.com/office/spreadsheetml/2009/9/main" objectType="Button" lockText="1"/>
</file>

<file path=xl/ctrlProps/ctrlProp388.xml><?xml version="1.0" encoding="utf-8"?>
<formControlPr xmlns="http://schemas.microsoft.com/office/spreadsheetml/2009/9/main" objectType="Button" lockText="1"/>
</file>

<file path=xl/ctrlProps/ctrlProp389.xml><?xml version="1.0" encoding="utf-8"?>
<formControlPr xmlns="http://schemas.microsoft.com/office/spreadsheetml/2009/9/main" objectType="Button" lockText="1"/>
</file>

<file path=xl/ctrlProps/ctrlProp390.xml><?xml version="1.0" encoding="utf-8"?>
<formControlPr xmlns="http://schemas.microsoft.com/office/spreadsheetml/2009/9/main" objectType="Button" lockText="1"/>
</file>

<file path=xl/ctrlProps/ctrlProp391.xml><?xml version="1.0" encoding="utf-8"?>
<formControlPr xmlns="http://schemas.microsoft.com/office/spreadsheetml/2009/9/main" objectType="Button" lockText="1"/>
</file>

<file path=xl/ctrlProps/ctrlProp392.xml><?xml version="1.0" encoding="utf-8"?>
<formControlPr xmlns="http://schemas.microsoft.com/office/spreadsheetml/2009/9/main" objectType="Button" lockText="1"/>
</file>

<file path=xl/ctrlProps/ctrlProp393.xml><?xml version="1.0" encoding="utf-8"?>
<formControlPr xmlns="http://schemas.microsoft.com/office/spreadsheetml/2009/9/main" objectType="Button" lockText="1"/>
</file>

<file path=xl/ctrlProps/ctrlProp394.xml><?xml version="1.0" encoding="utf-8"?>
<formControlPr xmlns="http://schemas.microsoft.com/office/spreadsheetml/2009/9/main" objectType="Button" lockText="1"/>
</file>

<file path=xl/ctrlProps/ctrlProp395.xml><?xml version="1.0" encoding="utf-8"?>
<formControlPr xmlns="http://schemas.microsoft.com/office/spreadsheetml/2009/9/main" objectType="Button" lockText="1"/>
</file>

<file path=xl/ctrlProps/ctrlProp396.xml><?xml version="1.0" encoding="utf-8"?>
<formControlPr xmlns="http://schemas.microsoft.com/office/spreadsheetml/2009/9/main" objectType="Button" lockText="1"/>
</file>

<file path=xl/ctrlProps/ctrlProp397.xml><?xml version="1.0" encoding="utf-8"?>
<formControlPr xmlns="http://schemas.microsoft.com/office/spreadsheetml/2009/9/main" objectType="Button" lockText="1"/>
</file>

<file path=xl/ctrlProps/ctrlProp398.xml><?xml version="1.0" encoding="utf-8"?>
<formControlPr xmlns="http://schemas.microsoft.com/office/spreadsheetml/2009/9/main" objectType="Button" lockText="1"/>
</file>

<file path=xl/ctrlProps/ctrlProp399.xml><?xml version="1.0" encoding="utf-8"?>
<formControlPr xmlns="http://schemas.microsoft.com/office/spreadsheetml/2009/9/main" objectType="Button" lockText="1"/>
</file>

<file path=xl/ctrlProps/ctrlProp400.xml><?xml version="1.0" encoding="utf-8"?>
<formControlPr xmlns="http://schemas.microsoft.com/office/spreadsheetml/2009/9/main" objectType="Button" lockText="1"/>
</file>

<file path=xl/ctrlProps/ctrlProp401.xml><?xml version="1.0" encoding="utf-8"?>
<formControlPr xmlns="http://schemas.microsoft.com/office/spreadsheetml/2009/9/main" objectType="Button" lockText="1"/>
</file>

<file path=xl/ctrlProps/ctrlProp402.xml><?xml version="1.0" encoding="utf-8"?>
<formControlPr xmlns="http://schemas.microsoft.com/office/spreadsheetml/2009/9/main" objectType="Button" lockText="1"/>
</file>

<file path=xl/ctrlProps/ctrlProp403.xml><?xml version="1.0" encoding="utf-8"?>
<formControlPr xmlns="http://schemas.microsoft.com/office/spreadsheetml/2009/9/main" objectType="Button" lockText="1"/>
</file>

<file path=xl/ctrlProps/ctrlProp404.xml><?xml version="1.0" encoding="utf-8"?>
<formControlPr xmlns="http://schemas.microsoft.com/office/spreadsheetml/2009/9/main" objectType="Button" lockText="1"/>
</file>

<file path=xl/ctrlProps/ctrlProp405.xml><?xml version="1.0" encoding="utf-8"?>
<formControlPr xmlns="http://schemas.microsoft.com/office/spreadsheetml/2009/9/main" objectType="Button" lockText="1"/>
</file>

<file path=xl/ctrlProps/ctrlProp406.xml><?xml version="1.0" encoding="utf-8"?>
<formControlPr xmlns="http://schemas.microsoft.com/office/spreadsheetml/2009/9/main" objectType="Button" lockText="1"/>
</file>

<file path=xl/ctrlProps/ctrlProp407.xml><?xml version="1.0" encoding="utf-8"?>
<formControlPr xmlns="http://schemas.microsoft.com/office/spreadsheetml/2009/9/main" objectType="Button" lockText="1"/>
</file>

<file path=xl/ctrlProps/ctrlProp408.xml><?xml version="1.0" encoding="utf-8"?>
<formControlPr xmlns="http://schemas.microsoft.com/office/spreadsheetml/2009/9/main" objectType="Button" lockText="1"/>
</file>

<file path=xl/ctrlProps/ctrlProp409.xml><?xml version="1.0" encoding="utf-8"?>
<formControlPr xmlns="http://schemas.microsoft.com/office/spreadsheetml/2009/9/main" objectType="Button" lockText="1"/>
</file>

<file path=xl/ctrlProps/ctrlProp410.xml><?xml version="1.0" encoding="utf-8"?>
<formControlPr xmlns="http://schemas.microsoft.com/office/spreadsheetml/2009/9/main" objectType="Button" lockText="1"/>
</file>

<file path=xl/ctrlProps/ctrlProp411.xml><?xml version="1.0" encoding="utf-8"?>
<formControlPr xmlns="http://schemas.microsoft.com/office/spreadsheetml/2009/9/main" objectType="Button" lockText="1"/>
</file>

<file path=xl/ctrlProps/ctrlProp412.xml><?xml version="1.0" encoding="utf-8"?>
<formControlPr xmlns="http://schemas.microsoft.com/office/spreadsheetml/2009/9/main" objectType="Button" lockText="1"/>
</file>

<file path=xl/ctrlProps/ctrlProp413.xml><?xml version="1.0" encoding="utf-8"?>
<formControlPr xmlns="http://schemas.microsoft.com/office/spreadsheetml/2009/9/main" objectType="Button" lockText="1"/>
</file>

<file path=xl/ctrlProps/ctrlProp414.xml><?xml version="1.0" encoding="utf-8"?>
<formControlPr xmlns="http://schemas.microsoft.com/office/spreadsheetml/2009/9/main" objectType="Button" lockText="1"/>
</file>

<file path=xl/ctrlProps/ctrlProp415.xml><?xml version="1.0" encoding="utf-8"?>
<formControlPr xmlns="http://schemas.microsoft.com/office/spreadsheetml/2009/9/main" objectType="Button" lockText="1"/>
</file>

<file path=xl/ctrlProps/ctrlProp416.xml><?xml version="1.0" encoding="utf-8"?>
<formControlPr xmlns="http://schemas.microsoft.com/office/spreadsheetml/2009/9/main" objectType="Button" lockText="1"/>
</file>

<file path=xl/ctrlProps/ctrlProp417.xml><?xml version="1.0" encoding="utf-8"?>
<formControlPr xmlns="http://schemas.microsoft.com/office/spreadsheetml/2009/9/main" objectType="Button" lockText="1"/>
</file>

<file path=xl/ctrlProps/ctrlProp418.xml><?xml version="1.0" encoding="utf-8"?>
<formControlPr xmlns="http://schemas.microsoft.com/office/spreadsheetml/2009/9/main" objectType="Button" lockText="1"/>
</file>

<file path=xl/ctrlProps/ctrlProp419.xml><?xml version="1.0" encoding="utf-8"?>
<formControlPr xmlns="http://schemas.microsoft.com/office/spreadsheetml/2009/9/main" objectType="Button" lockText="1"/>
</file>

<file path=xl/ctrlProps/ctrlProp420.xml><?xml version="1.0" encoding="utf-8"?>
<formControlPr xmlns="http://schemas.microsoft.com/office/spreadsheetml/2009/9/main" objectType="Button" lockText="1"/>
</file>

<file path=xl/ctrlProps/ctrlProp421.xml><?xml version="1.0" encoding="utf-8"?>
<formControlPr xmlns="http://schemas.microsoft.com/office/spreadsheetml/2009/9/main" objectType="Button" lockText="1"/>
</file>

<file path=xl/ctrlProps/ctrlProp422.xml><?xml version="1.0" encoding="utf-8"?>
<formControlPr xmlns="http://schemas.microsoft.com/office/spreadsheetml/2009/9/main" objectType="Button" lockText="1"/>
</file>

<file path=xl/ctrlProps/ctrlProp423.xml><?xml version="1.0" encoding="utf-8"?>
<formControlPr xmlns="http://schemas.microsoft.com/office/spreadsheetml/2009/9/main" objectType="Button" lockText="1"/>
</file>

<file path=xl/ctrlProps/ctrlProp424.xml><?xml version="1.0" encoding="utf-8"?>
<formControlPr xmlns="http://schemas.microsoft.com/office/spreadsheetml/2009/9/main" objectType="Button" lockText="1"/>
</file>

<file path=xl/ctrlProps/ctrlProp425.xml><?xml version="1.0" encoding="utf-8"?>
<formControlPr xmlns="http://schemas.microsoft.com/office/spreadsheetml/2009/9/main" objectType="Button" lockText="1"/>
</file>

<file path=xl/ctrlProps/ctrlProp426.xml><?xml version="1.0" encoding="utf-8"?>
<formControlPr xmlns="http://schemas.microsoft.com/office/spreadsheetml/2009/9/main" objectType="Button" lockText="1"/>
</file>

<file path=xl/ctrlProps/ctrlProp427.xml><?xml version="1.0" encoding="utf-8"?>
<formControlPr xmlns="http://schemas.microsoft.com/office/spreadsheetml/2009/9/main" objectType="Button" lockText="1"/>
</file>

<file path=xl/ctrlProps/ctrlProp428.xml><?xml version="1.0" encoding="utf-8"?>
<formControlPr xmlns="http://schemas.microsoft.com/office/spreadsheetml/2009/9/main" objectType="Button" lockText="1"/>
</file>

<file path=xl/ctrlProps/ctrlProp429.xml><?xml version="1.0" encoding="utf-8"?>
<formControlPr xmlns="http://schemas.microsoft.com/office/spreadsheetml/2009/9/main" objectType="Button" lockText="1"/>
</file>

<file path=xl/ctrlProps/ctrlProp430.xml><?xml version="1.0" encoding="utf-8"?>
<formControlPr xmlns="http://schemas.microsoft.com/office/spreadsheetml/2009/9/main" objectType="Button" lockText="1"/>
</file>

<file path=xl/ctrlProps/ctrlProp431.xml><?xml version="1.0" encoding="utf-8"?>
<formControlPr xmlns="http://schemas.microsoft.com/office/spreadsheetml/2009/9/main" objectType="Button" lockText="1"/>
</file>

<file path=xl/ctrlProps/ctrlProp432.xml><?xml version="1.0" encoding="utf-8"?>
<formControlPr xmlns="http://schemas.microsoft.com/office/spreadsheetml/2009/9/main" objectType="Button" lockText="1"/>
</file>

<file path=xl/ctrlProps/ctrlProp433.xml><?xml version="1.0" encoding="utf-8"?>
<formControlPr xmlns="http://schemas.microsoft.com/office/spreadsheetml/2009/9/main" objectType="Button" lockText="1"/>
</file>

<file path=xl/ctrlProps/ctrlProp434.xml><?xml version="1.0" encoding="utf-8"?>
<formControlPr xmlns="http://schemas.microsoft.com/office/spreadsheetml/2009/9/main" objectType="Button" lockText="1"/>
</file>

<file path=xl/ctrlProps/ctrlProp435.xml><?xml version="1.0" encoding="utf-8"?>
<formControlPr xmlns="http://schemas.microsoft.com/office/spreadsheetml/2009/9/main" objectType="Button" lockText="1"/>
</file>

<file path=xl/ctrlProps/ctrlProp436.xml><?xml version="1.0" encoding="utf-8"?>
<formControlPr xmlns="http://schemas.microsoft.com/office/spreadsheetml/2009/9/main" objectType="Button" lockText="1"/>
</file>

<file path=xl/ctrlProps/ctrlProp437.xml><?xml version="1.0" encoding="utf-8"?>
<formControlPr xmlns="http://schemas.microsoft.com/office/spreadsheetml/2009/9/main" objectType="Button" lockText="1"/>
</file>

<file path=xl/ctrlProps/ctrlProp438.xml><?xml version="1.0" encoding="utf-8"?>
<formControlPr xmlns="http://schemas.microsoft.com/office/spreadsheetml/2009/9/main" objectType="Button" lockText="1"/>
</file>

<file path=xl/ctrlProps/ctrlProp439.xml><?xml version="1.0" encoding="utf-8"?>
<formControlPr xmlns="http://schemas.microsoft.com/office/spreadsheetml/2009/9/main" objectType="Button" lockText="1"/>
</file>

<file path=xl/ctrlProps/ctrlProp440.xml><?xml version="1.0" encoding="utf-8"?>
<formControlPr xmlns="http://schemas.microsoft.com/office/spreadsheetml/2009/9/main" objectType="Button" lockText="1"/>
</file>

<file path=xl/ctrlProps/ctrlProp441.xml><?xml version="1.0" encoding="utf-8"?>
<formControlPr xmlns="http://schemas.microsoft.com/office/spreadsheetml/2009/9/main" objectType="Button" lockText="1"/>
</file>

<file path=xl/ctrlProps/ctrlProp442.xml><?xml version="1.0" encoding="utf-8"?>
<formControlPr xmlns="http://schemas.microsoft.com/office/spreadsheetml/2009/9/main" objectType="Button" lockText="1"/>
</file>

<file path=xl/ctrlProps/ctrlProp443.xml><?xml version="1.0" encoding="utf-8"?>
<formControlPr xmlns="http://schemas.microsoft.com/office/spreadsheetml/2009/9/main" objectType="Button" lockText="1"/>
</file>

<file path=xl/ctrlProps/ctrlProp444.xml><?xml version="1.0" encoding="utf-8"?>
<formControlPr xmlns="http://schemas.microsoft.com/office/spreadsheetml/2009/9/main" objectType="Button" lockText="1"/>
</file>

<file path=xl/ctrlProps/ctrlProp445.xml><?xml version="1.0" encoding="utf-8"?>
<formControlPr xmlns="http://schemas.microsoft.com/office/spreadsheetml/2009/9/main" objectType="Button" lockText="1"/>
</file>

<file path=xl/ctrlProps/ctrlProp446.xml><?xml version="1.0" encoding="utf-8"?>
<formControlPr xmlns="http://schemas.microsoft.com/office/spreadsheetml/2009/9/main" objectType="Button" lockText="1"/>
</file>

<file path=xl/ctrlProps/ctrlProp447.xml><?xml version="1.0" encoding="utf-8"?>
<formControlPr xmlns="http://schemas.microsoft.com/office/spreadsheetml/2009/9/main" objectType="Button" lockText="1"/>
</file>

<file path=xl/ctrlProps/ctrlProp448.xml><?xml version="1.0" encoding="utf-8"?>
<formControlPr xmlns="http://schemas.microsoft.com/office/spreadsheetml/2009/9/main" objectType="Button" lockText="1"/>
</file>

<file path=xl/ctrlProps/ctrlProp449.xml><?xml version="1.0" encoding="utf-8"?>
<formControlPr xmlns="http://schemas.microsoft.com/office/spreadsheetml/2009/9/main" objectType="Button" lockText="1"/>
</file>

<file path=xl/ctrlProps/ctrlProp450.xml><?xml version="1.0" encoding="utf-8"?>
<formControlPr xmlns="http://schemas.microsoft.com/office/spreadsheetml/2009/9/main" objectType="Button" lockText="1"/>
</file>

<file path=xl/ctrlProps/ctrlProp451.xml><?xml version="1.0" encoding="utf-8"?>
<formControlPr xmlns="http://schemas.microsoft.com/office/spreadsheetml/2009/9/main" objectType="Button" lockText="1"/>
</file>

<file path=xl/ctrlProps/ctrlProp452.xml><?xml version="1.0" encoding="utf-8"?>
<formControlPr xmlns="http://schemas.microsoft.com/office/spreadsheetml/2009/9/main" objectType="Button" lockText="1"/>
</file>

<file path=xl/ctrlProps/ctrlProp453.xml><?xml version="1.0" encoding="utf-8"?>
<formControlPr xmlns="http://schemas.microsoft.com/office/spreadsheetml/2009/9/main" objectType="Button" lockText="1"/>
</file>

<file path=xl/ctrlProps/ctrlProp454.xml><?xml version="1.0" encoding="utf-8"?>
<formControlPr xmlns="http://schemas.microsoft.com/office/spreadsheetml/2009/9/main" objectType="Button" lockText="1"/>
</file>

<file path=xl/ctrlProps/ctrlProp455.xml><?xml version="1.0" encoding="utf-8"?>
<formControlPr xmlns="http://schemas.microsoft.com/office/spreadsheetml/2009/9/main" objectType="Button" lockText="1"/>
</file>

<file path=xl/ctrlProps/ctrlProp456.xml><?xml version="1.0" encoding="utf-8"?>
<formControlPr xmlns="http://schemas.microsoft.com/office/spreadsheetml/2009/9/main" objectType="Button" lockText="1"/>
</file>

<file path=xl/ctrlProps/ctrlProp457.xml><?xml version="1.0" encoding="utf-8"?>
<formControlPr xmlns="http://schemas.microsoft.com/office/spreadsheetml/2009/9/main" objectType="Button" lockText="1"/>
</file>

<file path=xl/ctrlProps/ctrlProp458.xml><?xml version="1.0" encoding="utf-8"?>
<formControlPr xmlns="http://schemas.microsoft.com/office/spreadsheetml/2009/9/main" objectType="Button" lockText="1"/>
</file>

<file path=xl/ctrlProps/ctrlProp459.xml><?xml version="1.0" encoding="utf-8"?>
<formControlPr xmlns="http://schemas.microsoft.com/office/spreadsheetml/2009/9/main" objectType="Button" lockText="1"/>
</file>

<file path=xl/ctrlProps/ctrlProp460.xml><?xml version="1.0" encoding="utf-8"?>
<formControlPr xmlns="http://schemas.microsoft.com/office/spreadsheetml/2009/9/main" objectType="Button" lockText="1"/>
</file>

<file path=xl/ctrlProps/ctrlProp461.xml><?xml version="1.0" encoding="utf-8"?>
<formControlPr xmlns="http://schemas.microsoft.com/office/spreadsheetml/2009/9/main" objectType="Button" lockText="1"/>
</file>

<file path=xl/ctrlProps/ctrlProp462.xml><?xml version="1.0" encoding="utf-8"?>
<formControlPr xmlns="http://schemas.microsoft.com/office/spreadsheetml/2009/9/main" objectType="Button" lockText="1"/>
</file>

<file path=xl/ctrlProps/ctrlProp463.xml><?xml version="1.0" encoding="utf-8"?>
<formControlPr xmlns="http://schemas.microsoft.com/office/spreadsheetml/2009/9/main" objectType="Button" lockText="1"/>
</file>

<file path=xl/ctrlProps/ctrlProp464.xml><?xml version="1.0" encoding="utf-8"?>
<formControlPr xmlns="http://schemas.microsoft.com/office/spreadsheetml/2009/9/main" objectType="Button" lockText="1"/>
</file>

<file path=xl/ctrlProps/ctrlProp465.xml><?xml version="1.0" encoding="utf-8"?>
<formControlPr xmlns="http://schemas.microsoft.com/office/spreadsheetml/2009/9/main" objectType="Button" lockText="1"/>
</file>

<file path=xl/ctrlProps/ctrlProp466.xml><?xml version="1.0" encoding="utf-8"?>
<formControlPr xmlns="http://schemas.microsoft.com/office/spreadsheetml/2009/9/main" objectType="Button" lockText="1"/>
</file>

<file path=xl/ctrlProps/ctrlProp467.xml><?xml version="1.0" encoding="utf-8"?>
<formControlPr xmlns="http://schemas.microsoft.com/office/spreadsheetml/2009/9/main" objectType="Button" lockText="1"/>
</file>

<file path=xl/ctrlProps/ctrlProp468.xml><?xml version="1.0" encoding="utf-8"?>
<formControlPr xmlns="http://schemas.microsoft.com/office/spreadsheetml/2009/9/main" objectType="Button" lockText="1"/>
</file>

<file path=xl/ctrlProps/ctrlProp469.xml><?xml version="1.0" encoding="utf-8"?>
<formControlPr xmlns="http://schemas.microsoft.com/office/spreadsheetml/2009/9/main" objectType="Button" lockText="1"/>
</file>

<file path=xl/ctrlProps/ctrlProp470.xml><?xml version="1.0" encoding="utf-8"?>
<formControlPr xmlns="http://schemas.microsoft.com/office/spreadsheetml/2009/9/main" objectType="Button" lockText="1"/>
</file>

<file path=xl/ctrlProps/ctrlProp471.xml><?xml version="1.0" encoding="utf-8"?>
<formControlPr xmlns="http://schemas.microsoft.com/office/spreadsheetml/2009/9/main" objectType="Button" lockText="1"/>
</file>

<file path=xl/ctrlProps/ctrlProp472.xml><?xml version="1.0" encoding="utf-8"?>
<formControlPr xmlns="http://schemas.microsoft.com/office/spreadsheetml/2009/9/main" objectType="Button" lockText="1"/>
</file>

<file path=xl/ctrlProps/ctrlProp473.xml><?xml version="1.0" encoding="utf-8"?>
<formControlPr xmlns="http://schemas.microsoft.com/office/spreadsheetml/2009/9/main" objectType="Button" lockText="1"/>
</file>

<file path=xl/ctrlProps/ctrlProp474.xml><?xml version="1.0" encoding="utf-8"?>
<formControlPr xmlns="http://schemas.microsoft.com/office/spreadsheetml/2009/9/main" objectType="Button" lockText="1"/>
</file>

<file path=xl/ctrlProps/ctrlProp475.xml><?xml version="1.0" encoding="utf-8"?>
<formControlPr xmlns="http://schemas.microsoft.com/office/spreadsheetml/2009/9/main" objectType="Button" lockText="1"/>
</file>

<file path=xl/ctrlProps/ctrlProp476.xml><?xml version="1.0" encoding="utf-8"?>
<formControlPr xmlns="http://schemas.microsoft.com/office/spreadsheetml/2009/9/main" objectType="Button" lockText="1"/>
</file>

<file path=xl/ctrlProps/ctrlProp477.xml><?xml version="1.0" encoding="utf-8"?>
<formControlPr xmlns="http://schemas.microsoft.com/office/spreadsheetml/2009/9/main" objectType="Button" lockText="1"/>
</file>

<file path=xl/ctrlProps/ctrlProp478.xml><?xml version="1.0" encoding="utf-8"?>
<formControlPr xmlns="http://schemas.microsoft.com/office/spreadsheetml/2009/9/main" objectType="Button" lockText="1"/>
</file>

<file path=xl/ctrlProps/ctrlProp479.xml><?xml version="1.0" encoding="utf-8"?>
<formControlPr xmlns="http://schemas.microsoft.com/office/spreadsheetml/2009/9/main" objectType="Button" lockText="1"/>
</file>

<file path=xl/ctrlProps/ctrlProp480.xml><?xml version="1.0" encoding="utf-8"?>
<formControlPr xmlns="http://schemas.microsoft.com/office/spreadsheetml/2009/9/main" objectType="Button" lockText="1"/>
</file>

<file path=xl/ctrlProps/ctrlProp481.xml><?xml version="1.0" encoding="utf-8"?>
<formControlPr xmlns="http://schemas.microsoft.com/office/spreadsheetml/2009/9/main" objectType="Button" lockText="1"/>
</file>

<file path=xl/ctrlProps/ctrlProp482.xml><?xml version="1.0" encoding="utf-8"?>
<formControlPr xmlns="http://schemas.microsoft.com/office/spreadsheetml/2009/9/main" objectType="Button" lockText="1"/>
</file>

<file path=xl/ctrlProps/ctrlProp483.xml><?xml version="1.0" encoding="utf-8"?>
<formControlPr xmlns="http://schemas.microsoft.com/office/spreadsheetml/2009/9/main" objectType="Button" lockText="1"/>
</file>

<file path=xl/ctrlProps/ctrlProp484.xml><?xml version="1.0" encoding="utf-8"?>
<formControlPr xmlns="http://schemas.microsoft.com/office/spreadsheetml/2009/9/main" objectType="Button" lockText="1"/>
</file>

<file path=xl/ctrlProps/ctrlProp485.xml><?xml version="1.0" encoding="utf-8"?>
<formControlPr xmlns="http://schemas.microsoft.com/office/spreadsheetml/2009/9/main" objectType="Button" lockText="1"/>
</file>

<file path=xl/ctrlProps/ctrlProp486.xml><?xml version="1.0" encoding="utf-8"?>
<formControlPr xmlns="http://schemas.microsoft.com/office/spreadsheetml/2009/9/main" objectType="Button" lockText="1"/>
</file>

<file path=xl/ctrlProps/ctrlProp487.xml><?xml version="1.0" encoding="utf-8"?>
<formControlPr xmlns="http://schemas.microsoft.com/office/spreadsheetml/2009/9/main" objectType="Button" lockText="1"/>
</file>

<file path=xl/ctrlProps/ctrlProp488.xml><?xml version="1.0" encoding="utf-8"?>
<formControlPr xmlns="http://schemas.microsoft.com/office/spreadsheetml/2009/9/main" objectType="Button" lockText="1"/>
</file>

<file path=xl/ctrlProps/ctrlProp489.xml><?xml version="1.0" encoding="utf-8"?>
<formControlPr xmlns="http://schemas.microsoft.com/office/spreadsheetml/2009/9/main" objectType="Button" lockText="1"/>
</file>

<file path=xl/ctrlProps/ctrlProp490.xml><?xml version="1.0" encoding="utf-8"?>
<formControlPr xmlns="http://schemas.microsoft.com/office/spreadsheetml/2009/9/main" objectType="Button" lockText="1"/>
</file>

<file path=xl/ctrlProps/ctrlProp491.xml><?xml version="1.0" encoding="utf-8"?>
<formControlPr xmlns="http://schemas.microsoft.com/office/spreadsheetml/2009/9/main" objectType="Button" lockText="1"/>
</file>

<file path=xl/ctrlProps/ctrlProp492.xml><?xml version="1.0" encoding="utf-8"?>
<formControlPr xmlns="http://schemas.microsoft.com/office/spreadsheetml/2009/9/main" objectType="Button" lockText="1"/>
</file>

<file path=xl/ctrlProps/ctrlProp493.xml><?xml version="1.0" encoding="utf-8"?>
<formControlPr xmlns="http://schemas.microsoft.com/office/spreadsheetml/2009/9/main" objectType="Button" lockText="1"/>
</file>

<file path=xl/ctrlProps/ctrlProp494.xml><?xml version="1.0" encoding="utf-8"?>
<formControlPr xmlns="http://schemas.microsoft.com/office/spreadsheetml/2009/9/main" objectType="Button" lockText="1"/>
</file>

<file path=xl/ctrlProps/ctrlProp495.xml><?xml version="1.0" encoding="utf-8"?>
<formControlPr xmlns="http://schemas.microsoft.com/office/spreadsheetml/2009/9/main" objectType="Button" lockText="1"/>
</file>

<file path=xl/ctrlProps/ctrlProp496.xml><?xml version="1.0" encoding="utf-8"?>
<formControlPr xmlns="http://schemas.microsoft.com/office/spreadsheetml/2009/9/main" objectType="Button" lockText="1"/>
</file>

<file path=xl/ctrlProps/ctrlProp497.xml><?xml version="1.0" encoding="utf-8"?>
<formControlPr xmlns="http://schemas.microsoft.com/office/spreadsheetml/2009/9/main" objectType="Button" lockText="1"/>
</file>

<file path=xl/ctrlProps/ctrlProp498.xml><?xml version="1.0" encoding="utf-8"?>
<formControlPr xmlns="http://schemas.microsoft.com/office/spreadsheetml/2009/9/main" objectType="Button" lockText="1"/>
</file>

<file path=xl/ctrlProps/ctrlProp499.xml><?xml version="1.0" encoding="utf-8"?>
<formControlPr xmlns="http://schemas.microsoft.com/office/spreadsheetml/2009/9/main" objectType="Button" lockText="1"/>
</file>

<file path=xl/ctrlProps/ctrlProp500.xml><?xml version="1.0" encoding="utf-8"?>
<formControlPr xmlns="http://schemas.microsoft.com/office/spreadsheetml/2009/9/main" objectType="Button" lockText="1"/>
</file>

<file path=xl/ctrlProps/ctrlProp501.xml><?xml version="1.0" encoding="utf-8"?>
<formControlPr xmlns="http://schemas.microsoft.com/office/spreadsheetml/2009/9/main" objectType="Button" lockText="1"/>
</file>

<file path=xl/ctrlProps/ctrlProp502.xml><?xml version="1.0" encoding="utf-8"?>
<formControlPr xmlns="http://schemas.microsoft.com/office/spreadsheetml/2009/9/main" objectType="Button" lockText="1"/>
</file>

<file path=xl/ctrlProps/ctrlProp503.xml><?xml version="1.0" encoding="utf-8"?>
<formControlPr xmlns="http://schemas.microsoft.com/office/spreadsheetml/2009/9/main" objectType="Button" lockText="1"/>
</file>

<file path=xl/ctrlProps/ctrlProp504.xml><?xml version="1.0" encoding="utf-8"?>
<formControlPr xmlns="http://schemas.microsoft.com/office/spreadsheetml/2009/9/main" objectType="Button" lockText="1"/>
</file>

<file path=xl/ctrlProps/ctrlProp505.xml><?xml version="1.0" encoding="utf-8"?>
<formControlPr xmlns="http://schemas.microsoft.com/office/spreadsheetml/2009/9/main" objectType="Button" lockText="1"/>
</file>

<file path=xl/ctrlProps/ctrlProp506.xml><?xml version="1.0" encoding="utf-8"?>
<formControlPr xmlns="http://schemas.microsoft.com/office/spreadsheetml/2009/9/main" objectType="Button" lockText="1"/>
</file>

<file path=xl/ctrlProps/ctrlProp507.xml><?xml version="1.0" encoding="utf-8"?>
<formControlPr xmlns="http://schemas.microsoft.com/office/spreadsheetml/2009/9/main" objectType="Button" lockText="1"/>
</file>

<file path=xl/ctrlProps/ctrlProp508.xml><?xml version="1.0" encoding="utf-8"?>
<formControlPr xmlns="http://schemas.microsoft.com/office/spreadsheetml/2009/9/main" objectType="Button" lockText="1"/>
</file>

<file path=xl/ctrlProps/ctrlProp509.xml><?xml version="1.0" encoding="utf-8"?>
<formControlPr xmlns="http://schemas.microsoft.com/office/spreadsheetml/2009/9/main" objectType="Button" lockText="1"/>
</file>

<file path=xl/ctrlProps/ctrlProp510.xml><?xml version="1.0" encoding="utf-8"?>
<formControlPr xmlns="http://schemas.microsoft.com/office/spreadsheetml/2009/9/main" objectType="Button" lockText="1"/>
</file>

<file path=xl/ctrlProps/ctrlProp511.xml><?xml version="1.0" encoding="utf-8"?>
<formControlPr xmlns="http://schemas.microsoft.com/office/spreadsheetml/2009/9/main" objectType="Button" lockText="1"/>
</file>

<file path=xl/ctrlProps/ctrlProp512.xml><?xml version="1.0" encoding="utf-8"?>
<formControlPr xmlns="http://schemas.microsoft.com/office/spreadsheetml/2009/9/main" objectType="Button" lockText="1"/>
</file>

<file path=xl/ctrlProps/ctrlProp513.xml><?xml version="1.0" encoding="utf-8"?>
<formControlPr xmlns="http://schemas.microsoft.com/office/spreadsheetml/2009/9/main" objectType="Button" lockText="1"/>
</file>

<file path=xl/ctrlProps/ctrlProp514.xml><?xml version="1.0" encoding="utf-8"?>
<formControlPr xmlns="http://schemas.microsoft.com/office/spreadsheetml/2009/9/main" objectType="Button" lockText="1"/>
</file>

<file path=xl/ctrlProps/ctrlProp515.xml><?xml version="1.0" encoding="utf-8"?>
<formControlPr xmlns="http://schemas.microsoft.com/office/spreadsheetml/2009/9/main" objectType="Button" lockText="1"/>
</file>

<file path=xl/ctrlProps/ctrlProp516.xml><?xml version="1.0" encoding="utf-8"?>
<formControlPr xmlns="http://schemas.microsoft.com/office/spreadsheetml/2009/9/main" objectType="Button" lockText="1"/>
</file>

<file path=xl/ctrlProps/ctrlProp517.xml><?xml version="1.0" encoding="utf-8"?>
<formControlPr xmlns="http://schemas.microsoft.com/office/spreadsheetml/2009/9/main" objectType="Button" lockText="1"/>
</file>

<file path=xl/ctrlProps/ctrlProp518.xml><?xml version="1.0" encoding="utf-8"?>
<formControlPr xmlns="http://schemas.microsoft.com/office/spreadsheetml/2009/9/main" objectType="Button" lockText="1"/>
</file>

<file path=xl/ctrlProps/ctrlProp519.xml><?xml version="1.0" encoding="utf-8"?>
<formControlPr xmlns="http://schemas.microsoft.com/office/spreadsheetml/2009/9/main" objectType="Button" lockText="1"/>
</file>

<file path=xl/ctrlProps/ctrlProp520.xml><?xml version="1.0" encoding="utf-8"?>
<formControlPr xmlns="http://schemas.microsoft.com/office/spreadsheetml/2009/9/main" objectType="Button" lockText="1"/>
</file>

<file path=xl/ctrlProps/ctrlProp521.xml><?xml version="1.0" encoding="utf-8"?>
<formControlPr xmlns="http://schemas.microsoft.com/office/spreadsheetml/2009/9/main" objectType="Button" lockText="1"/>
</file>

<file path=xl/ctrlProps/ctrlProp522.xml><?xml version="1.0" encoding="utf-8"?>
<formControlPr xmlns="http://schemas.microsoft.com/office/spreadsheetml/2009/9/main" objectType="Button" lockText="1"/>
</file>

<file path=xl/ctrlProps/ctrlProp523.xml><?xml version="1.0" encoding="utf-8"?>
<formControlPr xmlns="http://schemas.microsoft.com/office/spreadsheetml/2009/9/main" objectType="Button" lockText="1"/>
</file>

<file path=xl/ctrlProps/ctrlProp524.xml><?xml version="1.0" encoding="utf-8"?>
<formControlPr xmlns="http://schemas.microsoft.com/office/spreadsheetml/2009/9/main" objectType="Button" lockText="1"/>
</file>

<file path=xl/ctrlProps/ctrlProp525.xml><?xml version="1.0" encoding="utf-8"?>
<formControlPr xmlns="http://schemas.microsoft.com/office/spreadsheetml/2009/9/main" objectType="Button" lockText="1"/>
</file>

<file path=xl/ctrlProps/ctrlProp526.xml><?xml version="1.0" encoding="utf-8"?>
<formControlPr xmlns="http://schemas.microsoft.com/office/spreadsheetml/2009/9/main" objectType="Button" lockText="1"/>
</file>

<file path=xl/ctrlProps/ctrlProp527.xml><?xml version="1.0" encoding="utf-8"?>
<formControlPr xmlns="http://schemas.microsoft.com/office/spreadsheetml/2009/9/main" objectType="Button" lockText="1"/>
</file>

<file path=xl/ctrlProps/ctrlProp528.xml><?xml version="1.0" encoding="utf-8"?>
<formControlPr xmlns="http://schemas.microsoft.com/office/spreadsheetml/2009/9/main" objectType="Button" lockText="1"/>
</file>

<file path=xl/ctrlProps/ctrlProp529.xml><?xml version="1.0" encoding="utf-8"?>
<formControlPr xmlns="http://schemas.microsoft.com/office/spreadsheetml/2009/9/main" objectType="Button" lockText="1"/>
</file>

<file path=xl/ctrlProps/ctrlProp530.xml><?xml version="1.0" encoding="utf-8"?>
<formControlPr xmlns="http://schemas.microsoft.com/office/spreadsheetml/2009/9/main" objectType="Button" lockText="1"/>
</file>

<file path=xl/ctrlProps/ctrlProp531.xml><?xml version="1.0" encoding="utf-8"?>
<formControlPr xmlns="http://schemas.microsoft.com/office/spreadsheetml/2009/9/main" objectType="Button" lockText="1"/>
</file>

<file path=xl/ctrlProps/ctrlProp532.xml><?xml version="1.0" encoding="utf-8"?>
<formControlPr xmlns="http://schemas.microsoft.com/office/spreadsheetml/2009/9/main" objectType="Button" lockText="1"/>
</file>

<file path=xl/ctrlProps/ctrlProp533.xml><?xml version="1.0" encoding="utf-8"?>
<formControlPr xmlns="http://schemas.microsoft.com/office/spreadsheetml/2009/9/main" objectType="Button" lockText="1"/>
</file>

<file path=xl/ctrlProps/ctrlProp534.xml><?xml version="1.0" encoding="utf-8"?>
<formControlPr xmlns="http://schemas.microsoft.com/office/spreadsheetml/2009/9/main" objectType="Button" lockText="1"/>
</file>

<file path=xl/ctrlProps/ctrlProp535.xml><?xml version="1.0" encoding="utf-8"?>
<formControlPr xmlns="http://schemas.microsoft.com/office/spreadsheetml/2009/9/main" objectType="Button" lockText="1"/>
</file>

<file path=xl/ctrlProps/ctrlProp536.xml><?xml version="1.0" encoding="utf-8"?>
<formControlPr xmlns="http://schemas.microsoft.com/office/spreadsheetml/2009/9/main" objectType="Button" lockText="1"/>
</file>

<file path=xl/ctrlProps/ctrlProp537.xml><?xml version="1.0" encoding="utf-8"?>
<formControlPr xmlns="http://schemas.microsoft.com/office/spreadsheetml/2009/9/main" objectType="Button" lockText="1"/>
</file>

<file path=xl/ctrlProps/ctrlProp538.xml><?xml version="1.0" encoding="utf-8"?>
<formControlPr xmlns="http://schemas.microsoft.com/office/spreadsheetml/2009/9/main" objectType="Button" lockText="1"/>
</file>

<file path=xl/ctrlProps/ctrlProp539.xml><?xml version="1.0" encoding="utf-8"?>
<formControlPr xmlns="http://schemas.microsoft.com/office/spreadsheetml/2009/9/main" objectType="Button" lockText="1"/>
</file>

<file path=xl/ctrlProps/ctrlProp540.xml><?xml version="1.0" encoding="utf-8"?>
<formControlPr xmlns="http://schemas.microsoft.com/office/spreadsheetml/2009/9/main" objectType="Button" lockText="1"/>
</file>

<file path=xl/ctrlProps/ctrlProp541.xml><?xml version="1.0" encoding="utf-8"?>
<formControlPr xmlns="http://schemas.microsoft.com/office/spreadsheetml/2009/9/main" objectType="Button" lockText="1"/>
</file>

<file path=xl/ctrlProps/ctrlProp542.xml><?xml version="1.0" encoding="utf-8"?>
<formControlPr xmlns="http://schemas.microsoft.com/office/spreadsheetml/2009/9/main" objectType="Button" lockText="1"/>
</file>

<file path=xl/ctrlProps/ctrlProp543.xml><?xml version="1.0" encoding="utf-8"?>
<formControlPr xmlns="http://schemas.microsoft.com/office/spreadsheetml/2009/9/main" objectType="Button" lockText="1"/>
</file>

<file path=xl/ctrlProps/ctrlProp544.xml><?xml version="1.0" encoding="utf-8"?>
<formControlPr xmlns="http://schemas.microsoft.com/office/spreadsheetml/2009/9/main" objectType="Button" lockText="1"/>
</file>

<file path=xl/ctrlProps/ctrlProp545.xml><?xml version="1.0" encoding="utf-8"?>
<formControlPr xmlns="http://schemas.microsoft.com/office/spreadsheetml/2009/9/main" objectType="Button" lockText="1"/>
</file>

<file path=xl/ctrlProps/ctrlProp546.xml><?xml version="1.0" encoding="utf-8"?>
<formControlPr xmlns="http://schemas.microsoft.com/office/spreadsheetml/2009/9/main" objectType="Button" lockText="1"/>
</file>

<file path=xl/ctrlProps/ctrlProp547.xml><?xml version="1.0" encoding="utf-8"?>
<formControlPr xmlns="http://schemas.microsoft.com/office/spreadsheetml/2009/9/main" objectType="Button" lockText="1"/>
</file>

<file path=xl/ctrlProps/ctrlProp548.xml><?xml version="1.0" encoding="utf-8"?>
<formControlPr xmlns="http://schemas.microsoft.com/office/spreadsheetml/2009/9/main" objectType="Button" lockText="1"/>
</file>

<file path=xl/ctrlProps/ctrlProp549.xml><?xml version="1.0" encoding="utf-8"?>
<formControlPr xmlns="http://schemas.microsoft.com/office/spreadsheetml/2009/9/main" objectType="Button" lockText="1"/>
</file>

<file path=xl/ctrlProps/ctrlProp550.xml><?xml version="1.0" encoding="utf-8"?>
<formControlPr xmlns="http://schemas.microsoft.com/office/spreadsheetml/2009/9/main" objectType="Button" lockText="1"/>
</file>

<file path=xl/ctrlProps/ctrlProp551.xml><?xml version="1.0" encoding="utf-8"?>
<formControlPr xmlns="http://schemas.microsoft.com/office/spreadsheetml/2009/9/main" objectType="Button" lockText="1"/>
</file>

<file path=xl/ctrlProps/ctrlProp55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025" name="表示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026" name="表示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027" name="呼出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028" name="保存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029" name="終了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030" name="印刷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031" name="入力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032" name="削除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033" name="合計無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034" name="ヘルプ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040" name="税無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041" name="画像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042" name="画像PW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044" name="明細入力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046" name="明細書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1057" name="自社名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1058" name="自社郵便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>
          <a:spLocks noChangeArrowheads="1"/>
        </xdr:cNvSpPr>
      </xdr:nvSpPr>
      <xdr:spPr bwMode="auto">
        <a:xfrm>
          <a:off x="4743451" y="2317750"/>
          <a:ext cx="1466849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1059" name="自社住所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1061" name="自社TEL-FAX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088" name="客呼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093" name="入力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096" name="担当呼出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097" name="品名呼出01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111" name="品名呼出02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112" name="品名呼出03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113" name="品名呼出04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114" name="品名呼出05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115" name="品名呼出0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116" name="品名呼出07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117" name="品名呼出08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118" name="品名呼出09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119" name="品名呼出10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120" name="品名呼出11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121" name="品名呼出12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191" name="更新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201" name="プレビュー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231" name="環境設定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232" name="詳細無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251" name="電卓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325" name="データ更新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327" name="並替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328" name="戻る2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329" name="環境設定2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332" name="再選択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334" name="ﾃﾞｰﾀ処理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352" name="詳細無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359" name="参照1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361" name="参照2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379" name="入力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381" name="入力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1383" name="自社タイトル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1683" name="Picture 393" descr="サンマックス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75" y="1927225"/>
          <a:ext cx="6318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1684" name="Picture 395" descr="田中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38100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18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9217" name="表示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9218" name="表示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9219" name="呼出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9220" name="保存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9221" name="終了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9222" name="印刷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9223" name="入力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9224" name="削除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9225" name="合計無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9226" name="ヘルプ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9227" name="税無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9228" name="画像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9229" name="画像PW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9230" name="明細入力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9231" name="明細書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D1D98355-C0B2-43E0-B0F1-AA59EE3A8720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57144F5E-86D6-4411-A36D-4909B9203E6C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929520F8-A771-47FF-898C-E424CA07F433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A24F9968-8019-45FD-A1B2-10BD2B9913FF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9232" name="客呼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9233" name="入力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9234" name="担当呼出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9235" name="品名呼出01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1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9236" name="品名呼出02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1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9237" name="品名呼出03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9238" name="品名呼出04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9239" name="品名呼出05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9240" name="品名呼出06" hidden="1">
              <a:extLst>
                <a:ext uri="{63B3BB69-23CF-44E3-9099-C40C66FF867C}">
                  <a14:compatExt spid="_x0000_s9240"/>
                </a:ext>
                <a:ext uri="{FF2B5EF4-FFF2-40B4-BE49-F238E27FC236}">
                  <a16:creationId xmlns:a16="http://schemas.microsoft.com/office/drawing/2014/main" id="{00000000-0008-0000-0100-00001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9241" name="品名呼出07" hidden="1">
              <a:extLst>
                <a:ext uri="{63B3BB69-23CF-44E3-9099-C40C66FF867C}">
                  <a14:compatExt spid="_x0000_s9241"/>
                </a:ext>
                <a:ext uri="{FF2B5EF4-FFF2-40B4-BE49-F238E27FC236}">
                  <a16:creationId xmlns:a16="http://schemas.microsoft.com/office/drawing/2014/main" id="{00000000-0008-0000-0100-00001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9242" name="品名呼出08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100-00001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9243" name="品名呼出09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100-00001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9244" name="品名呼出10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1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9245" name="品名呼出11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9246" name="品名呼出12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1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9247" name="更新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9248" name="プレビュー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9249" name="環境設定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1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9250" name="詳細無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1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9251" name="電卓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1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9252" name="データ更新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1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9253" name="並替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1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9254" name="戻る2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1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9255" name="環境設定2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1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9256" name="再選択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9257" name="ﾃﾞｰﾀ処理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9258" name="詳細無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1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9259" name="参照1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1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9260" name="参照2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9261" name="入力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9262" name="入力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1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E241ECE7-77D0-4845-9C6B-47E539F1214F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E350088-C111-4085-AD71-5E479B44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4BC37158-A730-4D0C-B7C3-79F209B3D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096D25E-5329-4826-A277-E592443D1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7409" name="表示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2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7410" name="表示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2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7411" name="呼出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2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7412" name="保存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2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7413" name="終了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2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7414" name="印刷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2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7415" name="入力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2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7416" name="削除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02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7417" name="合計無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02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7418" name="ヘルプ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02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7419" name="税無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02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7420" name="画像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0000000-0008-0000-0200-00000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7421" name="画像PW" hidden="1">
              <a:extLst>
                <a:ext uri="{63B3BB69-23CF-44E3-9099-C40C66FF867C}">
                  <a14:compatExt spid="_x0000_s17421"/>
                </a:ext>
                <a:ext uri="{FF2B5EF4-FFF2-40B4-BE49-F238E27FC236}">
                  <a16:creationId xmlns:a16="http://schemas.microsoft.com/office/drawing/2014/main" id="{00000000-0008-0000-0200-00000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7422" name="明細入力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00000000-0008-0000-0200-00000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7423" name="明細書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00000000-0008-0000-0200-00000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DEB12611-C6D4-4D3A-A9C0-D71D1F4DB7EB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D16D22E2-1BE3-4645-9F47-D107BDDC691F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14E90C20-FA68-4179-8552-9F72473D3C04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21C21946-F14C-42AD-901C-E6405D9CC685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7424" name="客呼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00000000-0008-0000-0200-00001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7425" name="入力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00000000-0008-0000-0200-00001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7426" name="担当呼出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00000000-0008-0000-0200-00001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7427" name="品名呼出01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00000000-0008-0000-0200-00001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7428" name="品名呼出02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00000000-0008-0000-0200-00001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7429" name="品名呼出03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000000-0008-0000-0200-00001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7430" name="品名呼出04" hidden="1">
              <a:extLst>
                <a:ext uri="{63B3BB69-23CF-44E3-9099-C40C66FF867C}">
                  <a14:compatExt spid="_x0000_s17430"/>
                </a:ext>
                <a:ext uri="{FF2B5EF4-FFF2-40B4-BE49-F238E27FC236}">
                  <a16:creationId xmlns:a16="http://schemas.microsoft.com/office/drawing/2014/main" id="{00000000-0008-0000-0200-00001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7431" name="品名呼出05" hidden="1">
              <a:extLst>
                <a:ext uri="{63B3BB69-23CF-44E3-9099-C40C66FF867C}">
                  <a14:compatExt spid="_x0000_s17431"/>
                </a:ext>
                <a:ext uri="{FF2B5EF4-FFF2-40B4-BE49-F238E27FC236}">
                  <a16:creationId xmlns:a16="http://schemas.microsoft.com/office/drawing/2014/main" id="{00000000-0008-0000-0200-00001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7432" name="品名呼出06" hidden="1">
              <a:extLst>
                <a:ext uri="{63B3BB69-23CF-44E3-9099-C40C66FF867C}">
                  <a14:compatExt spid="_x0000_s17432"/>
                </a:ext>
                <a:ext uri="{FF2B5EF4-FFF2-40B4-BE49-F238E27FC236}">
                  <a16:creationId xmlns:a16="http://schemas.microsoft.com/office/drawing/2014/main" id="{00000000-0008-0000-0200-00001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7433" name="品名呼出07" hidden="1">
              <a:extLst>
                <a:ext uri="{63B3BB69-23CF-44E3-9099-C40C66FF867C}">
                  <a14:compatExt spid="_x0000_s17433"/>
                </a:ext>
                <a:ext uri="{FF2B5EF4-FFF2-40B4-BE49-F238E27FC236}">
                  <a16:creationId xmlns:a16="http://schemas.microsoft.com/office/drawing/2014/main" id="{00000000-0008-0000-0200-00001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7434" name="品名呼出08" hidden="1">
              <a:extLst>
                <a:ext uri="{63B3BB69-23CF-44E3-9099-C40C66FF867C}">
                  <a14:compatExt spid="_x0000_s17434"/>
                </a:ext>
                <a:ext uri="{FF2B5EF4-FFF2-40B4-BE49-F238E27FC236}">
                  <a16:creationId xmlns:a16="http://schemas.microsoft.com/office/drawing/2014/main" id="{00000000-0008-0000-0200-00001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7435" name="品名呼出09" hidden="1">
              <a:extLst>
                <a:ext uri="{63B3BB69-23CF-44E3-9099-C40C66FF867C}">
                  <a14:compatExt spid="_x0000_s17435"/>
                </a:ext>
                <a:ext uri="{FF2B5EF4-FFF2-40B4-BE49-F238E27FC236}">
                  <a16:creationId xmlns:a16="http://schemas.microsoft.com/office/drawing/2014/main" id="{00000000-0008-0000-0200-00001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7436" name="品名呼出10" hidden="1">
              <a:extLst>
                <a:ext uri="{63B3BB69-23CF-44E3-9099-C40C66FF867C}">
                  <a14:compatExt spid="_x0000_s17436"/>
                </a:ext>
                <a:ext uri="{FF2B5EF4-FFF2-40B4-BE49-F238E27FC236}">
                  <a16:creationId xmlns:a16="http://schemas.microsoft.com/office/drawing/2014/main" id="{00000000-0008-0000-0200-00001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7437" name="品名呼出11" hidden="1">
              <a:extLst>
                <a:ext uri="{63B3BB69-23CF-44E3-9099-C40C66FF867C}">
                  <a14:compatExt spid="_x0000_s17437"/>
                </a:ext>
                <a:ext uri="{FF2B5EF4-FFF2-40B4-BE49-F238E27FC236}">
                  <a16:creationId xmlns:a16="http://schemas.microsoft.com/office/drawing/2014/main" id="{00000000-0008-0000-0200-00001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7438" name="品名呼出12" hidden="1">
              <a:extLst>
                <a:ext uri="{63B3BB69-23CF-44E3-9099-C40C66FF867C}">
                  <a14:compatExt spid="_x0000_s17438"/>
                </a:ext>
                <a:ext uri="{FF2B5EF4-FFF2-40B4-BE49-F238E27FC236}">
                  <a16:creationId xmlns:a16="http://schemas.microsoft.com/office/drawing/2014/main" id="{00000000-0008-0000-0200-00001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7439" name="更新" hidden="1">
              <a:extLst>
                <a:ext uri="{63B3BB69-23CF-44E3-9099-C40C66FF867C}">
                  <a14:compatExt spid="_x0000_s17439"/>
                </a:ext>
                <a:ext uri="{FF2B5EF4-FFF2-40B4-BE49-F238E27FC236}">
                  <a16:creationId xmlns:a16="http://schemas.microsoft.com/office/drawing/2014/main" id="{00000000-0008-0000-0200-00001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7440" name="プレビュー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2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7441" name="環境設定" hidden="1">
              <a:extLst>
                <a:ext uri="{63B3BB69-23CF-44E3-9099-C40C66FF867C}">
                  <a14:compatExt spid="_x0000_s17441"/>
                </a:ext>
                <a:ext uri="{FF2B5EF4-FFF2-40B4-BE49-F238E27FC236}">
                  <a16:creationId xmlns:a16="http://schemas.microsoft.com/office/drawing/2014/main" id="{00000000-0008-0000-0200-00002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7442" name="詳細無" hidden="1">
              <a:extLst>
                <a:ext uri="{63B3BB69-23CF-44E3-9099-C40C66FF867C}">
                  <a14:compatExt spid="_x0000_s17442"/>
                </a:ext>
                <a:ext uri="{FF2B5EF4-FFF2-40B4-BE49-F238E27FC236}">
                  <a16:creationId xmlns:a16="http://schemas.microsoft.com/office/drawing/2014/main" id="{00000000-0008-0000-0200-00002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7443" name="電卓" hidden="1">
              <a:extLst>
                <a:ext uri="{63B3BB69-23CF-44E3-9099-C40C66FF867C}">
                  <a14:compatExt spid="_x0000_s17443"/>
                </a:ext>
                <a:ext uri="{FF2B5EF4-FFF2-40B4-BE49-F238E27FC236}">
                  <a16:creationId xmlns:a16="http://schemas.microsoft.com/office/drawing/2014/main" id="{00000000-0008-0000-0200-00002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7444" name="データ更新" hidden="1">
              <a:extLst>
                <a:ext uri="{63B3BB69-23CF-44E3-9099-C40C66FF867C}">
                  <a14:compatExt spid="_x0000_s17444"/>
                </a:ext>
                <a:ext uri="{FF2B5EF4-FFF2-40B4-BE49-F238E27FC236}">
                  <a16:creationId xmlns:a16="http://schemas.microsoft.com/office/drawing/2014/main" id="{00000000-0008-0000-0200-00002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7445" name="並替" hidden="1">
              <a:extLst>
                <a:ext uri="{63B3BB69-23CF-44E3-9099-C40C66FF867C}">
                  <a14:compatExt spid="_x0000_s17445"/>
                </a:ext>
                <a:ext uri="{FF2B5EF4-FFF2-40B4-BE49-F238E27FC236}">
                  <a16:creationId xmlns:a16="http://schemas.microsoft.com/office/drawing/2014/main" id="{00000000-0008-0000-0200-00002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7446" name="戻る2" hidden="1">
              <a:extLst>
                <a:ext uri="{63B3BB69-23CF-44E3-9099-C40C66FF867C}">
                  <a14:compatExt spid="_x0000_s17446"/>
                </a:ext>
                <a:ext uri="{FF2B5EF4-FFF2-40B4-BE49-F238E27FC236}">
                  <a16:creationId xmlns:a16="http://schemas.microsoft.com/office/drawing/2014/main" id="{00000000-0008-0000-0200-00002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7447" name="環境設定2" hidden="1">
              <a:extLst>
                <a:ext uri="{63B3BB69-23CF-44E3-9099-C40C66FF867C}">
                  <a14:compatExt spid="_x0000_s17447"/>
                </a:ext>
                <a:ext uri="{FF2B5EF4-FFF2-40B4-BE49-F238E27FC236}">
                  <a16:creationId xmlns:a16="http://schemas.microsoft.com/office/drawing/2014/main" id="{00000000-0008-0000-0200-00002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7448" name="再選択" hidden="1">
              <a:extLst>
                <a:ext uri="{63B3BB69-23CF-44E3-9099-C40C66FF867C}">
                  <a14:compatExt spid="_x0000_s17448"/>
                </a:ext>
                <a:ext uri="{FF2B5EF4-FFF2-40B4-BE49-F238E27FC236}">
                  <a16:creationId xmlns:a16="http://schemas.microsoft.com/office/drawing/2014/main" id="{00000000-0008-0000-0200-00002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7449" name="ﾃﾞｰﾀ処理" hidden="1">
              <a:extLst>
                <a:ext uri="{63B3BB69-23CF-44E3-9099-C40C66FF867C}">
                  <a14:compatExt spid="_x0000_s17449"/>
                </a:ext>
                <a:ext uri="{FF2B5EF4-FFF2-40B4-BE49-F238E27FC236}">
                  <a16:creationId xmlns:a16="http://schemas.microsoft.com/office/drawing/2014/main" id="{00000000-0008-0000-0200-00002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7450" name="詳細無" hidden="1">
              <a:extLst>
                <a:ext uri="{63B3BB69-23CF-44E3-9099-C40C66FF867C}">
                  <a14:compatExt spid="_x0000_s17450"/>
                </a:ext>
                <a:ext uri="{FF2B5EF4-FFF2-40B4-BE49-F238E27FC236}">
                  <a16:creationId xmlns:a16="http://schemas.microsoft.com/office/drawing/2014/main" id="{00000000-0008-0000-0200-00002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7451" name="参照1" hidden="1">
              <a:extLst>
                <a:ext uri="{63B3BB69-23CF-44E3-9099-C40C66FF867C}">
                  <a14:compatExt spid="_x0000_s17451"/>
                </a:ext>
                <a:ext uri="{FF2B5EF4-FFF2-40B4-BE49-F238E27FC236}">
                  <a16:creationId xmlns:a16="http://schemas.microsoft.com/office/drawing/2014/main" id="{00000000-0008-0000-0200-00002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7452" name="参照2" hidden="1">
              <a:extLst>
                <a:ext uri="{63B3BB69-23CF-44E3-9099-C40C66FF867C}">
                  <a14:compatExt spid="_x0000_s17452"/>
                </a:ext>
                <a:ext uri="{FF2B5EF4-FFF2-40B4-BE49-F238E27FC236}">
                  <a16:creationId xmlns:a16="http://schemas.microsoft.com/office/drawing/2014/main" id="{00000000-0008-0000-0200-00002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7453" name="入力" hidden="1">
              <a:extLst>
                <a:ext uri="{63B3BB69-23CF-44E3-9099-C40C66FF867C}">
                  <a14:compatExt spid="_x0000_s17453"/>
                </a:ext>
                <a:ext uri="{FF2B5EF4-FFF2-40B4-BE49-F238E27FC236}">
                  <a16:creationId xmlns:a16="http://schemas.microsoft.com/office/drawing/2014/main" id="{00000000-0008-0000-0200-00002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7454" name="入力" hidden="1">
              <a:extLst>
                <a:ext uri="{63B3BB69-23CF-44E3-9099-C40C66FF867C}">
                  <a14:compatExt spid="_x0000_s17454"/>
                </a:ext>
                <a:ext uri="{FF2B5EF4-FFF2-40B4-BE49-F238E27FC236}">
                  <a16:creationId xmlns:a16="http://schemas.microsoft.com/office/drawing/2014/main" id="{00000000-0008-0000-0200-00002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A92DA7DE-2FF1-457E-BF27-E38862377A65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18F0C9C3-847B-4FFA-B89B-729814680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8BF99FCE-9477-425F-B83C-A9332FF03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0C810CC-3DF0-4B9F-8FD6-09D8C9C7E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4337" name="表示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3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4338" name="表示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3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4339" name="呼出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3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4340" name="保存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3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4341" name="終了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3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4342" name="印刷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3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4343" name="入力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3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4344" name="削除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3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4345" name="合計無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3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4346" name="ヘルプ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3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4347" name="税無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3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4348" name="画像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3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4349" name="画像PW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3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4350" name="明細入力" hidden="1">
              <a:extLst>
                <a:ext uri="{63B3BB69-23CF-44E3-9099-C40C66FF867C}">
                  <a14:compatExt spid="_x0000_s14350"/>
                </a:ext>
                <a:ext uri="{FF2B5EF4-FFF2-40B4-BE49-F238E27FC236}">
                  <a16:creationId xmlns:a16="http://schemas.microsoft.com/office/drawing/2014/main" id="{00000000-0008-0000-0300-00000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4351" name="明細書" hidden="1">
              <a:extLst>
                <a:ext uri="{63B3BB69-23CF-44E3-9099-C40C66FF867C}">
                  <a14:compatExt spid="_x0000_s14351"/>
                </a:ext>
                <a:ext uri="{FF2B5EF4-FFF2-40B4-BE49-F238E27FC236}">
                  <a16:creationId xmlns:a16="http://schemas.microsoft.com/office/drawing/2014/main" id="{00000000-0008-0000-0300-00000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78B91785-CFD9-4B01-B669-2557CEF242F3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293FE065-31C5-4A07-87E3-D2AC8D09442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5FF688E-35E4-479E-9A39-90A3AA025848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D0B352C7-F5BE-4AB9-A8E2-3D1DEF6C9787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4352" name="客呼" hidden="1">
              <a:extLst>
                <a:ext uri="{63B3BB69-23CF-44E3-9099-C40C66FF867C}">
                  <a14:compatExt spid="_x0000_s14352"/>
                </a:ext>
                <a:ext uri="{FF2B5EF4-FFF2-40B4-BE49-F238E27FC236}">
                  <a16:creationId xmlns:a16="http://schemas.microsoft.com/office/drawing/2014/main" id="{00000000-0008-0000-0300-00001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4353" name="入力" hidden="1">
              <a:extLst>
                <a:ext uri="{63B3BB69-23CF-44E3-9099-C40C66FF867C}">
                  <a14:compatExt spid="_x0000_s14353"/>
                </a:ext>
                <a:ext uri="{FF2B5EF4-FFF2-40B4-BE49-F238E27FC236}">
                  <a16:creationId xmlns:a16="http://schemas.microsoft.com/office/drawing/2014/main" id="{00000000-0008-0000-0300-00001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4354" name="担当呼出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3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4355" name="品名呼出01" hidden="1">
              <a:extLst>
                <a:ext uri="{63B3BB69-23CF-44E3-9099-C40C66FF867C}">
                  <a14:compatExt spid="_x0000_s14355"/>
                </a:ext>
                <a:ext uri="{FF2B5EF4-FFF2-40B4-BE49-F238E27FC236}">
                  <a16:creationId xmlns:a16="http://schemas.microsoft.com/office/drawing/2014/main" id="{00000000-0008-0000-0300-00001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4356" name="品名呼出02" hidden="1">
              <a:extLst>
                <a:ext uri="{63B3BB69-23CF-44E3-9099-C40C66FF867C}">
                  <a14:compatExt spid="_x0000_s14356"/>
                </a:ext>
                <a:ext uri="{FF2B5EF4-FFF2-40B4-BE49-F238E27FC236}">
                  <a16:creationId xmlns:a16="http://schemas.microsoft.com/office/drawing/2014/main" id="{00000000-0008-0000-0300-00001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4357" name="品名呼出03" hidden="1">
              <a:extLst>
                <a:ext uri="{63B3BB69-23CF-44E3-9099-C40C66FF867C}">
                  <a14:compatExt spid="_x0000_s14357"/>
                </a:ext>
                <a:ext uri="{FF2B5EF4-FFF2-40B4-BE49-F238E27FC236}">
                  <a16:creationId xmlns:a16="http://schemas.microsoft.com/office/drawing/2014/main" id="{00000000-0008-0000-0300-00001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4358" name="品名呼出04" hidden="1">
              <a:extLst>
                <a:ext uri="{63B3BB69-23CF-44E3-9099-C40C66FF867C}">
                  <a14:compatExt spid="_x0000_s14358"/>
                </a:ext>
                <a:ext uri="{FF2B5EF4-FFF2-40B4-BE49-F238E27FC236}">
                  <a16:creationId xmlns:a16="http://schemas.microsoft.com/office/drawing/2014/main" id="{00000000-0008-0000-0300-00001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4359" name="品名呼出05" hidden="1">
              <a:extLst>
                <a:ext uri="{63B3BB69-23CF-44E3-9099-C40C66FF867C}">
                  <a14:compatExt spid="_x0000_s14359"/>
                </a:ext>
                <a:ext uri="{FF2B5EF4-FFF2-40B4-BE49-F238E27FC236}">
                  <a16:creationId xmlns:a16="http://schemas.microsoft.com/office/drawing/2014/main" id="{00000000-0008-0000-0300-00001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4360" name="品名呼出06" hidden="1">
              <a:extLst>
                <a:ext uri="{63B3BB69-23CF-44E3-9099-C40C66FF867C}">
                  <a14:compatExt spid="_x0000_s14360"/>
                </a:ext>
                <a:ext uri="{FF2B5EF4-FFF2-40B4-BE49-F238E27FC236}">
                  <a16:creationId xmlns:a16="http://schemas.microsoft.com/office/drawing/2014/main" id="{00000000-0008-0000-0300-00001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4361" name="品名呼出07" hidden="1">
              <a:extLst>
                <a:ext uri="{63B3BB69-23CF-44E3-9099-C40C66FF867C}">
                  <a14:compatExt spid="_x0000_s14361"/>
                </a:ext>
                <a:ext uri="{FF2B5EF4-FFF2-40B4-BE49-F238E27FC236}">
                  <a16:creationId xmlns:a16="http://schemas.microsoft.com/office/drawing/2014/main" id="{00000000-0008-0000-0300-00001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4362" name="品名呼出08" hidden="1">
              <a:extLst>
                <a:ext uri="{63B3BB69-23CF-44E3-9099-C40C66FF867C}">
                  <a14:compatExt spid="_x0000_s14362"/>
                </a:ext>
                <a:ext uri="{FF2B5EF4-FFF2-40B4-BE49-F238E27FC236}">
                  <a16:creationId xmlns:a16="http://schemas.microsoft.com/office/drawing/2014/main" id="{00000000-0008-0000-0300-00001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4363" name="品名呼出09" hidden="1">
              <a:extLst>
                <a:ext uri="{63B3BB69-23CF-44E3-9099-C40C66FF867C}">
                  <a14:compatExt spid="_x0000_s14363"/>
                </a:ext>
                <a:ext uri="{FF2B5EF4-FFF2-40B4-BE49-F238E27FC236}">
                  <a16:creationId xmlns:a16="http://schemas.microsoft.com/office/drawing/2014/main" id="{00000000-0008-0000-0300-00001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4364" name="品名呼出10" hidden="1">
              <a:extLst>
                <a:ext uri="{63B3BB69-23CF-44E3-9099-C40C66FF867C}">
                  <a14:compatExt spid="_x0000_s14364"/>
                </a:ext>
                <a:ext uri="{FF2B5EF4-FFF2-40B4-BE49-F238E27FC236}">
                  <a16:creationId xmlns:a16="http://schemas.microsoft.com/office/drawing/2014/main" id="{00000000-0008-0000-0300-00001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4365" name="品名呼出11" hidden="1">
              <a:extLst>
                <a:ext uri="{63B3BB69-23CF-44E3-9099-C40C66FF867C}">
                  <a14:compatExt spid="_x0000_s14365"/>
                </a:ext>
                <a:ext uri="{FF2B5EF4-FFF2-40B4-BE49-F238E27FC236}">
                  <a16:creationId xmlns:a16="http://schemas.microsoft.com/office/drawing/2014/main" id="{00000000-0008-0000-0300-00001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4366" name="品名呼出12" hidden="1">
              <a:extLst>
                <a:ext uri="{63B3BB69-23CF-44E3-9099-C40C66FF867C}">
                  <a14:compatExt spid="_x0000_s14366"/>
                </a:ext>
                <a:ext uri="{FF2B5EF4-FFF2-40B4-BE49-F238E27FC236}">
                  <a16:creationId xmlns:a16="http://schemas.microsoft.com/office/drawing/2014/main" id="{00000000-0008-0000-0300-00001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4367" name="更新" hidden="1">
              <a:extLst>
                <a:ext uri="{63B3BB69-23CF-44E3-9099-C40C66FF867C}">
                  <a14:compatExt spid="_x0000_s14367"/>
                </a:ext>
                <a:ext uri="{FF2B5EF4-FFF2-40B4-BE49-F238E27FC236}">
                  <a16:creationId xmlns:a16="http://schemas.microsoft.com/office/drawing/2014/main" id="{00000000-0008-0000-0300-00001F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4368" name="プレビュー" hidden="1">
              <a:extLst>
                <a:ext uri="{63B3BB69-23CF-44E3-9099-C40C66FF867C}">
                  <a14:compatExt spid="_x0000_s14368"/>
                </a:ext>
                <a:ext uri="{FF2B5EF4-FFF2-40B4-BE49-F238E27FC236}">
                  <a16:creationId xmlns:a16="http://schemas.microsoft.com/office/drawing/2014/main" id="{00000000-0008-0000-0300-000020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4369" name="環境設定" hidden="1">
              <a:extLst>
                <a:ext uri="{63B3BB69-23CF-44E3-9099-C40C66FF867C}">
                  <a14:compatExt spid="_x0000_s14369"/>
                </a:ext>
                <a:ext uri="{FF2B5EF4-FFF2-40B4-BE49-F238E27FC236}">
                  <a16:creationId xmlns:a16="http://schemas.microsoft.com/office/drawing/2014/main" id="{00000000-0008-0000-0300-00002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4370" name="詳細無" hidden="1">
              <a:extLst>
                <a:ext uri="{63B3BB69-23CF-44E3-9099-C40C66FF867C}">
                  <a14:compatExt spid="_x0000_s14370"/>
                </a:ext>
                <a:ext uri="{FF2B5EF4-FFF2-40B4-BE49-F238E27FC236}">
                  <a16:creationId xmlns:a16="http://schemas.microsoft.com/office/drawing/2014/main" id="{00000000-0008-0000-0300-00002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4371" name="電卓" hidden="1">
              <a:extLst>
                <a:ext uri="{63B3BB69-23CF-44E3-9099-C40C66FF867C}">
                  <a14:compatExt spid="_x0000_s14371"/>
                </a:ext>
                <a:ext uri="{FF2B5EF4-FFF2-40B4-BE49-F238E27FC236}">
                  <a16:creationId xmlns:a16="http://schemas.microsoft.com/office/drawing/2014/main" id="{00000000-0008-0000-0300-00002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4372" name="データ更新" hidden="1">
              <a:extLst>
                <a:ext uri="{63B3BB69-23CF-44E3-9099-C40C66FF867C}">
                  <a14:compatExt spid="_x0000_s14372"/>
                </a:ext>
                <a:ext uri="{FF2B5EF4-FFF2-40B4-BE49-F238E27FC236}">
                  <a16:creationId xmlns:a16="http://schemas.microsoft.com/office/drawing/2014/main" id="{00000000-0008-0000-0300-00002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4373" name="並替" hidden="1">
              <a:extLst>
                <a:ext uri="{63B3BB69-23CF-44E3-9099-C40C66FF867C}">
                  <a14:compatExt spid="_x0000_s14373"/>
                </a:ext>
                <a:ext uri="{FF2B5EF4-FFF2-40B4-BE49-F238E27FC236}">
                  <a16:creationId xmlns:a16="http://schemas.microsoft.com/office/drawing/2014/main" id="{00000000-0008-0000-0300-00002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4374" name="戻る2" hidden="1">
              <a:extLst>
                <a:ext uri="{63B3BB69-23CF-44E3-9099-C40C66FF867C}">
                  <a14:compatExt spid="_x0000_s14374"/>
                </a:ext>
                <a:ext uri="{FF2B5EF4-FFF2-40B4-BE49-F238E27FC236}">
                  <a16:creationId xmlns:a16="http://schemas.microsoft.com/office/drawing/2014/main" id="{00000000-0008-0000-0300-00002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4375" name="環境設定2" hidden="1">
              <a:extLst>
                <a:ext uri="{63B3BB69-23CF-44E3-9099-C40C66FF867C}">
                  <a14:compatExt spid="_x0000_s14375"/>
                </a:ext>
                <a:ext uri="{FF2B5EF4-FFF2-40B4-BE49-F238E27FC236}">
                  <a16:creationId xmlns:a16="http://schemas.microsoft.com/office/drawing/2014/main" id="{00000000-0008-0000-0300-00002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4376" name="再選択" hidden="1">
              <a:extLst>
                <a:ext uri="{63B3BB69-23CF-44E3-9099-C40C66FF867C}">
                  <a14:compatExt spid="_x0000_s14376"/>
                </a:ext>
                <a:ext uri="{FF2B5EF4-FFF2-40B4-BE49-F238E27FC236}">
                  <a16:creationId xmlns:a16="http://schemas.microsoft.com/office/drawing/2014/main" id="{00000000-0008-0000-0300-00002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4377" name="ﾃﾞｰﾀ処理" hidden="1">
              <a:extLst>
                <a:ext uri="{63B3BB69-23CF-44E3-9099-C40C66FF867C}">
                  <a14:compatExt spid="_x0000_s14377"/>
                </a:ext>
                <a:ext uri="{FF2B5EF4-FFF2-40B4-BE49-F238E27FC236}">
                  <a16:creationId xmlns:a16="http://schemas.microsoft.com/office/drawing/2014/main" id="{00000000-0008-0000-0300-00002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4378" name="詳細無" hidden="1">
              <a:extLst>
                <a:ext uri="{63B3BB69-23CF-44E3-9099-C40C66FF867C}">
                  <a14:compatExt spid="_x0000_s14378"/>
                </a:ext>
                <a:ext uri="{FF2B5EF4-FFF2-40B4-BE49-F238E27FC236}">
                  <a16:creationId xmlns:a16="http://schemas.microsoft.com/office/drawing/2014/main" id="{00000000-0008-0000-0300-00002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4379" name="参照1" hidden="1">
              <a:extLst>
                <a:ext uri="{63B3BB69-23CF-44E3-9099-C40C66FF867C}">
                  <a14:compatExt spid="_x0000_s14379"/>
                </a:ext>
                <a:ext uri="{FF2B5EF4-FFF2-40B4-BE49-F238E27FC236}">
                  <a16:creationId xmlns:a16="http://schemas.microsoft.com/office/drawing/2014/main" id="{00000000-0008-0000-0300-00002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4380" name="参照2" hidden="1">
              <a:extLst>
                <a:ext uri="{63B3BB69-23CF-44E3-9099-C40C66FF867C}">
                  <a14:compatExt spid="_x0000_s14380"/>
                </a:ext>
                <a:ext uri="{FF2B5EF4-FFF2-40B4-BE49-F238E27FC236}">
                  <a16:creationId xmlns:a16="http://schemas.microsoft.com/office/drawing/2014/main" id="{00000000-0008-0000-0300-00002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4381" name="入力" hidden="1">
              <a:extLst>
                <a:ext uri="{63B3BB69-23CF-44E3-9099-C40C66FF867C}">
                  <a14:compatExt spid="_x0000_s14381"/>
                </a:ext>
                <a:ext uri="{FF2B5EF4-FFF2-40B4-BE49-F238E27FC236}">
                  <a16:creationId xmlns:a16="http://schemas.microsoft.com/office/drawing/2014/main" id="{00000000-0008-0000-0300-00002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4382" name="入力" hidden="1">
              <a:extLst>
                <a:ext uri="{63B3BB69-23CF-44E3-9099-C40C66FF867C}">
                  <a14:compatExt spid="_x0000_s14382"/>
                </a:ext>
                <a:ext uri="{FF2B5EF4-FFF2-40B4-BE49-F238E27FC236}">
                  <a16:creationId xmlns:a16="http://schemas.microsoft.com/office/drawing/2014/main" id="{00000000-0008-0000-0300-00002E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4D86577E-32CF-4D51-A0E4-B7D9A915A3FB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3E7F0E75-1C89-43F1-911A-F37119C66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00489229-9E32-440D-9870-9A0B5EBEF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806D667-D80D-46B4-A999-ACD773E41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67585" name="表示1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E4712006-B382-41DA-8D69-F451791B75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67586" name="表示2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B7176D02-F71F-4171-8756-FCABE87CB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67587" name="呼出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B10082C5-107F-4181-BEB4-D733C3F9E8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67588" name="保存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B87DB2B8-1960-4989-88F3-1A74016AD0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67589" name="終了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3A530F4B-CD4B-464D-B83E-7D52D4D3BA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67590" name="印刷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A02EF6CC-8298-432A-9892-7CBBF255F4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67591" name="入力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739C301D-54B1-43AE-B181-4B0C1C2D16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67592" name="削除" hidden="1">
              <a:extLst>
                <a:ext uri="{63B3BB69-23CF-44E3-9099-C40C66FF867C}">
                  <a14:compatExt spid="_x0000_s67592"/>
                </a:ext>
                <a:ext uri="{FF2B5EF4-FFF2-40B4-BE49-F238E27FC236}">
                  <a16:creationId xmlns:a16="http://schemas.microsoft.com/office/drawing/2014/main" id="{52599327-5E1F-473E-A070-636D16C3AF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67593" name="合計無" hidden="1">
              <a:extLst>
                <a:ext uri="{63B3BB69-23CF-44E3-9099-C40C66FF867C}">
                  <a14:compatExt spid="_x0000_s67593"/>
                </a:ext>
                <a:ext uri="{FF2B5EF4-FFF2-40B4-BE49-F238E27FC236}">
                  <a16:creationId xmlns:a16="http://schemas.microsoft.com/office/drawing/2014/main" id="{35CE2497-A5A3-407E-9311-182ED8CFE3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67594" name="ヘルプ" hidden="1">
              <a:extLst>
                <a:ext uri="{63B3BB69-23CF-44E3-9099-C40C66FF867C}">
                  <a14:compatExt spid="_x0000_s67594"/>
                </a:ext>
                <a:ext uri="{FF2B5EF4-FFF2-40B4-BE49-F238E27FC236}">
                  <a16:creationId xmlns:a16="http://schemas.microsoft.com/office/drawing/2014/main" id="{A4C11FC4-5F9D-4093-8B81-2EE57E08D9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67595" name="税無" hidden="1">
              <a:extLst>
                <a:ext uri="{63B3BB69-23CF-44E3-9099-C40C66FF867C}">
                  <a14:compatExt spid="_x0000_s67595"/>
                </a:ext>
                <a:ext uri="{FF2B5EF4-FFF2-40B4-BE49-F238E27FC236}">
                  <a16:creationId xmlns:a16="http://schemas.microsoft.com/office/drawing/2014/main" id="{9270B3B6-09F6-4A7A-B109-35EA6B73C5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67596" name="画像" hidden="1">
              <a:extLst>
                <a:ext uri="{63B3BB69-23CF-44E3-9099-C40C66FF867C}">
                  <a14:compatExt spid="_x0000_s67596"/>
                </a:ext>
                <a:ext uri="{FF2B5EF4-FFF2-40B4-BE49-F238E27FC236}">
                  <a16:creationId xmlns:a16="http://schemas.microsoft.com/office/drawing/2014/main" id="{F63BB936-ECFC-4307-9004-712F607EAB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67597" name="画像PW" hidden="1">
              <a:extLst>
                <a:ext uri="{63B3BB69-23CF-44E3-9099-C40C66FF867C}">
                  <a14:compatExt spid="_x0000_s67597"/>
                </a:ext>
                <a:ext uri="{FF2B5EF4-FFF2-40B4-BE49-F238E27FC236}">
                  <a16:creationId xmlns:a16="http://schemas.microsoft.com/office/drawing/2014/main" id="{AD5231C8-47EA-4D3E-81F5-553688DEE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67598" name="明細入力" hidden="1">
              <a:extLst>
                <a:ext uri="{63B3BB69-23CF-44E3-9099-C40C66FF867C}">
                  <a14:compatExt spid="_x0000_s67598"/>
                </a:ext>
                <a:ext uri="{FF2B5EF4-FFF2-40B4-BE49-F238E27FC236}">
                  <a16:creationId xmlns:a16="http://schemas.microsoft.com/office/drawing/2014/main" id="{789DF971-3931-4365-A612-76EFD9D1F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67599" name="明細書" hidden="1">
              <a:extLst>
                <a:ext uri="{63B3BB69-23CF-44E3-9099-C40C66FF867C}">
                  <a14:compatExt spid="_x0000_s67599"/>
                </a:ext>
                <a:ext uri="{FF2B5EF4-FFF2-40B4-BE49-F238E27FC236}">
                  <a16:creationId xmlns:a16="http://schemas.microsoft.com/office/drawing/2014/main" id="{3DEF3859-F85B-4D6D-98B7-9EF65BDC97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2F1664E6-7765-40A3-B4EC-F5E8D446E842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1FBD51B5-8FC9-476A-A1AE-A8FFF767CF3D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C639FA40-5F2F-456B-A9EA-43D29FB4A8D2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B39B4B71-3778-4A39-A45B-2A144798325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67600" name="客呼" hidden="1">
              <a:extLst>
                <a:ext uri="{63B3BB69-23CF-44E3-9099-C40C66FF867C}">
                  <a14:compatExt spid="_x0000_s67600"/>
                </a:ext>
                <a:ext uri="{FF2B5EF4-FFF2-40B4-BE49-F238E27FC236}">
                  <a16:creationId xmlns:a16="http://schemas.microsoft.com/office/drawing/2014/main" id="{1B14EAEE-7921-46CE-8694-822FB2AF0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67601" name="入力" hidden="1">
              <a:extLst>
                <a:ext uri="{63B3BB69-23CF-44E3-9099-C40C66FF867C}">
                  <a14:compatExt spid="_x0000_s67601"/>
                </a:ext>
                <a:ext uri="{FF2B5EF4-FFF2-40B4-BE49-F238E27FC236}">
                  <a16:creationId xmlns:a16="http://schemas.microsoft.com/office/drawing/2014/main" id="{7CE614FF-512D-4FED-BB1C-7877B97BF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67602" name="担当呼出" hidden="1">
              <a:extLst>
                <a:ext uri="{63B3BB69-23CF-44E3-9099-C40C66FF867C}">
                  <a14:compatExt spid="_x0000_s67602"/>
                </a:ext>
                <a:ext uri="{FF2B5EF4-FFF2-40B4-BE49-F238E27FC236}">
                  <a16:creationId xmlns:a16="http://schemas.microsoft.com/office/drawing/2014/main" id="{A1CF05F1-96DD-4400-AEFC-B28C276A74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67603" name="品名呼出01" hidden="1">
              <a:extLst>
                <a:ext uri="{63B3BB69-23CF-44E3-9099-C40C66FF867C}">
                  <a14:compatExt spid="_x0000_s67603"/>
                </a:ext>
                <a:ext uri="{FF2B5EF4-FFF2-40B4-BE49-F238E27FC236}">
                  <a16:creationId xmlns:a16="http://schemas.microsoft.com/office/drawing/2014/main" id="{CC2834F1-D683-4DD0-A371-F4F65F46D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67604" name="品名呼出02" hidden="1">
              <a:extLst>
                <a:ext uri="{63B3BB69-23CF-44E3-9099-C40C66FF867C}">
                  <a14:compatExt spid="_x0000_s67604"/>
                </a:ext>
                <a:ext uri="{FF2B5EF4-FFF2-40B4-BE49-F238E27FC236}">
                  <a16:creationId xmlns:a16="http://schemas.microsoft.com/office/drawing/2014/main" id="{620E1127-DB61-4EC7-ABFC-26101A083A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67605" name="品名呼出03" hidden="1">
              <a:extLst>
                <a:ext uri="{63B3BB69-23CF-44E3-9099-C40C66FF867C}">
                  <a14:compatExt spid="_x0000_s67605"/>
                </a:ext>
                <a:ext uri="{FF2B5EF4-FFF2-40B4-BE49-F238E27FC236}">
                  <a16:creationId xmlns:a16="http://schemas.microsoft.com/office/drawing/2014/main" id="{F44618C4-5F3D-404E-AC47-9E73519D4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67606" name="品名呼出04" hidden="1">
              <a:extLst>
                <a:ext uri="{63B3BB69-23CF-44E3-9099-C40C66FF867C}">
                  <a14:compatExt spid="_x0000_s67606"/>
                </a:ext>
                <a:ext uri="{FF2B5EF4-FFF2-40B4-BE49-F238E27FC236}">
                  <a16:creationId xmlns:a16="http://schemas.microsoft.com/office/drawing/2014/main" id="{A8F2C945-D910-416A-9AD4-86DB136A2D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67607" name="品名呼出05" hidden="1">
              <a:extLst>
                <a:ext uri="{63B3BB69-23CF-44E3-9099-C40C66FF867C}">
                  <a14:compatExt spid="_x0000_s67607"/>
                </a:ext>
                <a:ext uri="{FF2B5EF4-FFF2-40B4-BE49-F238E27FC236}">
                  <a16:creationId xmlns:a16="http://schemas.microsoft.com/office/drawing/2014/main" id="{D3C739A5-C784-4C50-A2FF-10BA426829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67608" name="品名呼出06" hidden="1">
              <a:extLst>
                <a:ext uri="{63B3BB69-23CF-44E3-9099-C40C66FF867C}">
                  <a14:compatExt spid="_x0000_s67608"/>
                </a:ext>
                <a:ext uri="{FF2B5EF4-FFF2-40B4-BE49-F238E27FC236}">
                  <a16:creationId xmlns:a16="http://schemas.microsoft.com/office/drawing/2014/main" id="{726BC01F-0C2F-42F4-8CAA-259F8B6DA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67609" name="品名呼出07" hidden="1">
              <a:extLst>
                <a:ext uri="{63B3BB69-23CF-44E3-9099-C40C66FF867C}">
                  <a14:compatExt spid="_x0000_s67609"/>
                </a:ext>
                <a:ext uri="{FF2B5EF4-FFF2-40B4-BE49-F238E27FC236}">
                  <a16:creationId xmlns:a16="http://schemas.microsoft.com/office/drawing/2014/main" id="{B0234D88-88C5-46D6-8C9D-03990B6BEF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67610" name="品名呼出08" hidden="1">
              <a:extLst>
                <a:ext uri="{63B3BB69-23CF-44E3-9099-C40C66FF867C}">
                  <a14:compatExt spid="_x0000_s67610"/>
                </a:ext>
                <a:ext uri="{FF2B5EF4-FFF2-40B4-BE49-F238E27FC236}">
                  <a16:creationId xmlns:a16="http://schemas.microsoft.com/office/drawing/2014/main" id="{CC704F48-0387-46F3-9E00-052B9A3040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67611" name="品名呼出09" hidden="1">
              <a:extLst>
                <a:ext uri="{63B3BB69-23CF-44E3-9099-C40C66FF867C}">
                  <a14:compatExt spid="_x0000_s67611"/>
                </a:ext>
                <a:ext uri="{FF2B5EF4-FFF2-40B4-BE49-F238E27FC236}">
                  <a16:creationId xmlns:a16="http://schemas.microsoft.com/office/drawing/2014/main" id="{86E26BA0-1AAB-4D24-A491-D28642E909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67612" name="品名呼出10" hidden="1">
              <a:extLst>
                <a:ext uri="{63B3BB69-23CF-44E3-9099-C40C66FF867C}">
                  <a14:compatExt spid="_x0000_s67612"/>
                </a:ext>
                <a:ext uri="{FF2B5EF4-FFF2-40B4-BE49-F238E27FC236}">
                  <a16:creationId xmlns:a16="http://schemas.microsoft.com/office/drawing/2014/main" id="{965EF8FA-C088-4792-B375-B2B250683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67613" name="品名呼出11" hidden="1">
              <a:extLst>
                <a:ext uri="{63B3BB69-23CF-44E3-9099-C40C66FF867C}">
                  <a14:compatExt spid="_x0000_s67613"/>
                </a:ext>
                <a:ext uri="{FF2B5EF4-FFF2-40B4-BE49-F238E27FC236}">
                  <a16:creationId xmlns:a16="http://schemas.microsoft.com/office/drawing/2014/main" id="{94B46A4D-6E56-4BE8-BF7F-4205E1A529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67614" name="品名呼出12" hidden="1">
              <a:extLst>
                <a:ext uri="{63B3BB69-23CF-44E3-9099-C40C66FF867C}">
                  <a14:compatExt spid="_x0000_s67614"/>
                </a:ext>
                <a:ext uri="{FF2B5EF4-FFF2-40B4-BE49-F238E27FC236}">
                  <a16:creationId xmlns:a16="http://schemas.microsoft.com/office/drawing/2014/main" id="{CD3E2FFA-6277-4385-8AE9-99A64AB54C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67615" name="更新" hidden="1">
              <a:extLst>
                <a:ext uri="{63B3BB69-23CF-44E3-9099-C40C66FF867C}">
                  <a14:compatExt spid="_x0000_s67615"/>
                </a:ext>
                <a:ext uri="{FF2B5EF4-FFF2-40B4-BE49-F238E27FC236}">
                  <a16:creationId xmlns:a16="http://schemas.microsoft.com/office/drawing/2014/main" id="{4F550B19-9DF8-4EB1-9FBF-0C476FF8F1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67616" name="プレビュー" hidden="1">
              <a:extLst>
                <a:ext uri="{63B3BB69-23CF-44E3-9099-C40C66FF867C}">
                  <a14:compatExt spid="_x0000_s67616"/>
                </a:ext>
                <a:ext uri="{FF2B5EF4-FFF2-40B4-BE49-F238E27FC236}">
                  <a16:creationId xmlns:a16="http://schemas.microsoft.com/office/drawing/2014/main" id="{44E6F670-7110-40A6-A3C5-2E7428F38A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67617" name="環境設定" hidden="1">
              <a:extLst>
                <a:ext uri="{63B3BB69-23CF-44E3-9099-C40C66FF867C}">
                  <a14:compatExt spid="_x0000_s67617"/>
                </a:ext>
                <a:ext uri="{FF2B5EF4-FFF2-40B4-BE49-F238E27FC236}">
                  <a16:creationId xmlns:a16="http://schemas.microsoft.com/office/drawing/2014/main" id="{97E62571-092B-4E22-9AE0-F97EC1372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67618" name="詳細無" hidden="1">
              <a:extLst>
                <a:ext uri="{63B3BB69-23CF-44E3-9099-C40C66FF867C}">
                  <a14:compatExt spid="_x0000_s67618"/>
                </a:ext>
                <a:ext uri="{FF2B5EF4-FFF2-40B4-BE49-F238E27FC236}">
                  <a16:creationId xmlns:a16="http://schemas.microsoft.com/office/drawing/2014/main" id="{43CD04D6-BE58-42AA-99F5-301CD1E447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67619" name="電卓" hidden="1">
              <a:extLst>
                <a:ext uri="{63B3BB69-23CF-44E3-9099-C40C66FF867C}">
                  <a14:compatExt spid="_x0000_s67619"/>
                </a:ext>
                <a:ext uri="{FF2B5EF4-FFF2-40B4-BE49-F238E27FC236}">
                  <a16:creationId xmlns:a16="http://schemas.microsoft.com/office/drawing/2014/main" id="{EE86DB4C-C9E1-433F-9008-A9700B5C11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67620" name="データ更新" hidden="1">
              <a:extLst>
                <a:ext uri="{63B3BB69-23CF-44E3-9099-C40C66FF867C}">
                  <a14:compatExt spid="_x0000_s67620"/>
                </a:ext>
                <a:ext uri="{FF2B5EF4-FFF2-40B4-BE49-F238E27FC236}">
                  <a16:creationId xmlns:a16="http://schemas.microsoft.com/office/drawing/2014/main" id="{7FAA2C10-5D39-4839-B46F-E30A136F2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67621" name="並替" hidden="1">
              <a:extLst>
                <a:ext uri="{63B3BB69-23CF-44E3-9099-C40C66FF867C}">
                  <a14:compatExt spid="_x0000_s67621"/>
                </a:ext>
                <a:ext uri="{FF2B5EF4-FFF2-40B4-BE49-F238E27FC236}">
                  <a16:creationId xmlns:a16="http://schemas.microsoft.com/office/drawing/2014/main" id="{1DAB2A8B-FE6B-406F-9650-0819BA3A2F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67622" name="戻る2" hidden="1">
              <a:extLst>
                <a:ext uri="{63B3BB69-23CF-44E3-9099-C40C66FF867C}">
                  <a14:compatExt spid="_x0000_s67622"/>
                </a:ext>
                <a:ext uri="{FF2B5EF4-FFF2-40B4-BE49-F238E27FC236}">
                  <a16:creationId xmlns:a16="http://schemas.microsoft.com/office/drawing/2014/main" id="{8567AD47-DAD0-4BC0-9E64-59242B20B2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67623" name="環境設定2" hidden="1">
              <a:extLst>
                <a:ext uri="{63B3BB69-23CF-44E3-9099-C40C66FF867C}">
                  <a14:compatExt spid="_x0000_s67623"/>
                </a:ext>
                <a:ext uri="{FF2B5EF4-FFF2-40B4-BE49-F238E27FC236}">
                  <a16:creationId xmlns:a16="http://schemas.microsoft.com/office/drawing/2014/main" id="{578ECEDD-387F-48E5-8CC4-A339F256D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67624" name="再選択" hidden="1">
              <a:extLst>
                <a:ext uri="{63B3BB69-23CF-44E3-9099-C40C66FF867C}">
                  <a14:compatExt spid="_x0000_s67624"/>
                </a:ext>
                <a:ext uri="{FF2B5EF4-FFF2-40B4-BE49-F238E27FC236}">
                  <a16:creationId xmlns:a16="http://schemas.microsoft.com/office/drawing/2014/main" id="{AC3C2186-BEAC-4F29-8D0B-E363B4DEE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67625" name="ﾃﾞｰﾀ処理" hidden="1">
              <a:extLst>
                <a:ext uri="{63B3BB69-23CF-44E3-9099-C40C66FF867C}">
                  <a14:compatExt spid="_x0000_s67625"/>
                </a:ext>
                <a:ext uri="{FF2B5EF4-FFF2-40B4-BE49-F238E27FC236}">
                  <a16:creationId xmlns:a16="http://schemas.microsoft.com/office/drawing/2014/main" id="{B5EB1469-AAEF-4AB0-A882-C555792DE2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67626" name="詳細無" hidden="1">
              <a:extLst>
                <a:ext uri="{63B3BB69-23CF-44E3-9099-C40C66FF867C}">
                  <a14:compatExt spid="_x0000_s67626"/>
                </a:ext>
                <a:ext uri="{FF2B5EF4-FFF2-40B4-BE49-F238E27FC236}">
                  <a16:creationId xmlns:a16="http://schemas.microsoft.com/office/drawing/2014/main" id="{36A64DA9-F439-4A8B-8311-4B72051AC7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67627" name="参照1" hidden="1">
              <a:extLst>
                <a:ext uri="{63B3BB69-23CF-44E3-9099-C40C66FF867C}">
                  <a14:compatExt spid="_x0000_s67627"/>
                </a:ext>
                <a:ext uri="{FF2B5EF4-FFF2-40B4-BE49-F238E27FC236}">
                  <a16:creationId xmlns:a16="http://schemas.microsoft.com/office/drawing/2014/main" id="{3F883FB2-ECEF-49E8-BE50-12D7DDA195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67628" name="参照2" hidden="1">
              <a:extLst>
                <a:ext uri="{63B3BB69-23CF-44E3-9099-C40C66FF867C}">
                  <a14:compatExt spid="_x0000_s67628"/>
                </a:ext>
                <a:ext uri="{FF2B5EF4-FFF2-40B4-BE49-F238E27FC236}">
                  <a16:creationId xmlns:a16="http://schemas.microsoft.com/office/drawing/2014/main" id="{219AD481-C950-4167-BD0F-7C9D513EC9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67629" name="入力" hidden="1">
              <a:extLst>
                <a:ext uri="{63B3BB69-23CF-44E3-9099-C40C66FF867C}">
                  <a14:compatExt spid="_x0000_s67629"/>
                </a:ext>
                <a:ext uri="{FF2B5EF4-FFF2-40B4-BE49-F238E27FC236}">
                  <a16:creationId xmlns:a16="http://schemas.microsoft.com/office/drawing/2014/main" id="{790CA120-0B6A-48FC-9B0D-BF0FBF46A4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67630" name="入力" hidden="1">
              <a:extLst>
                <a:ext uri="{63B3BB69-23CF-44E3-9099-C40C66FF867C}">
                  <a14:compatExt spid="_x0000_s67630"/>
                </a:ext>
                <a:ext uri="{FF2B5EF4-FFF2-40B4-BE49-F238E27FC236}">
                  <a16:creationId xmlns:a16="http://schemas.microsoft.com/office/drawing/2014/main" id="{DA1EE804-9AE0-48BC-8C70-237EB41634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BA87DE47-C7FC-4529-A5B6-389713E99431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77929C62-0F74-45D9-8152-6C40AFA09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BEAA707B-7AD1-4FB7-88F0-C4F0B0C6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95479E6-9AB0-434E-8E58-10D42448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5361" name="表示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4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5362" name="表示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4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5363" name="呼出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4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5364" name="保存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4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5365" name="終了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4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5366" name="印刷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4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5367" name="入力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4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5368" name="削除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4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5369" name="合計無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4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5370" name="ヘルプ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4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5371" name="税無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4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5372" name="画像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4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5373" name="画像PW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4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5374" name="明細入力" hidden="1">
              <a:extLst>
                <a:ext uri="{63B3BB69-23CF-44E3-9099-C40C66FF867C}">
                  <a14:compatExt spid="_x0000_s15374"/>
                </a:ext>
                <a:ext uri="{FF2B5EF4-FFF2-40B4-BE49-F238E27FC236}">
                  <a16:creationId xmlns:a16="http://schemas.microsoft.com/office/drawing/2014/main" id="{00000000-0008-0000-0400-00000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5375" name="明細書" hidden="1">
              <a:extLst>
                <a:ext uri="{63B3BB69-23CF-44E3-9099-C40C66FF867C}">
                  <a14:compatExt spid="_x0000_s15375"/>
                </a:ext>
                <a:ext uri="{FF2B5EF4-FFF2-40B4-BE49-F238E27FC236}">
                  <a16:creationId xmlns:a16="http://schemas.microsoft.com/office/drawing/2014/main" id="{00000000-0008-0000-0400-00000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23F9C58F-158E-4921-887D-B104CDEDF995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952FBB50-78DF-49BE-B725-57A017AA07B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4F3D2E0F-9B2A-479F-B4DC-3C39D9E5ED3E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56DF74FB-95E4-4934-BD79-EBFC43F016F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5376" name="客呼" hidden="1">
              <a:extLst>
                <a:ext uri="{63B3BB69-23CF-44E3-9099-C40C66FF867C}">
                  <a14:compatExt spid="_x0000_s15376"/>
                </a:ext>
                <a:ext uri="{FF2B5EF4-FFF2-40B4-BE49-F238E27FC236}">
                  <a16:creationId xmlns:a16="http://schemas.microsoft.com/office/drawing/2014/main" id="{00000000-0008-0000-0400-00001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5377" name="入力" hidden="1">
              <a:extLst>
                <a:ext uri="{63B3BB69-23CF-44E3-9099-C40C66FF867C}">
                  <a14:compatExt spid="_x0000_s15377"/>
                </a:ext>
                <a:ext uri="{FF2B5EF4-FFF2-40B4-BE49-F238E27FC236}">
                  <a16:creationId xmlns:a16="http://schemas.microsoft.com/office/drawing/2014/main" id="{00000000-0008-0000-0400-00001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5378" name="担当呼出" hidden="1">
              <a:extLst>
                <a:ext uri="{63B3BB69-23CF-44E3-9099-C40C66FF867C}">
                  <a14:compatExt spid="_x0000_s15378"/>
                </a:ext>
                <a:ext uri="{FF2B5EF4-FFF2-40B4-BE49-F238E27FC236}">
                  <a16:creationId xmlns:a16="http://schemas.microsoft.com/office/drawing/2014/main" id="{00000000-0008-0000-0400-00001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5379" name="品名呼出01" hidden="1">
              <a:extLst>
                <a:ext uri="{63B3BB69-23CF-44E3-9099-C40C66FF867C}">
                  <a14:compatExt spid="_x0000_s15379"/>
                </a:ext>
                <a:ext uri="{FF2B5EF4-FFF2-40B4-BE49-F238E27FC236}">
                  <a16:creationId xmlns:a16="http://schemas.microsoft.com/office/drawing/2014/main" id="{00000000-0008-0000-0400-00001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5380" name="品名呼出02" hidden="1">
              <a:extLst>
                <a:ext uri="{63B3BB69-23CF-44E3-9099-C40C66FF867C}">
                  <a14:compatExt spid="_x0000_s15380"/>
                </a:ext>
                <a:ext uri="{FF2B5EF4-FFF2-40B4-BE49-F238E27FC236}">
                  <a16:creationId xmlns:a16="http://schemas.microsoft.com/office/drawing/2014/main" id="{00000000-0008-0000-0400-00001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5381" name="品名呼出03" hidden="1">
              <a:extLst>
                <a:ext uri="{63B3BB69-23CF-44E3-9099-C40C66FF867C}">
                  <a14:compatExt spid="_x0000_s15381"/>
                </a:ext>
                <a:ext uri="{FF2B5EF4-FFF2-40B4-BE49-F238E27FC236}">
                  <a16:creationId xmlns:a16="http://schemas.microsoft.com/office/drawing/2014/main" id="{00000000-0008-0000-0400-00001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5382" name="品名呼出04" hidden="1">
              <a:extLst>
                <a:ext uri="{63B3BB69-23CF-44E3-9099-C40C66FF867C}">
                  <a14:compatExt spid="_x0000_s15382"/>
                </a:ext>
                <a:ext uri="{FF2B5EF4-FFF2-40B4-BE49-F238E27FC236}">
                  <a16:creationId xmlns:a16="http://schemas.microsoft.com/office/drawing/2014/main" id="{00000000-0008-0000-0400-00001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5383" name="品名呼出05" hidden="1">
              <a:extLst>
                <a:ext uri="{63B3BB69-23CF-44E3-9099-C40C66FF867C}">
                  <a14:compatExt spid="_x0000_s15383"/>
                </a:ext>
                <a:ext uri="{FF2B5EF4-FFF2-40B4-BE49-F238E27FC236}">
                  <a16:creationId xmlns:a16="http://schemas.microsoft.com/office/drawing/2014/main" id="{00000000-0008-0000-0400-00001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5384" name="品名呼出06" hidden="1">
              <a:extLst>
                <a:ext uri="{63B3BB69-23CF-44E3-9099-C40C66FF867C}">
                  <a14:compatExt spid="_x0000_s15384"/>
                </a:ext>
                <a:ext uri="{FF2B5EF4-FFF2-40B4-BE49-F238E27FC236}">
                  <a16:creationId xmlns:a16="http://schemas.microsoft.com/office/drawing/2014/main" id="{00000000-0008-0000-0400-00001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5385" name="品名呼出07" hidden="1">
              <a:extLst>
                <a:ext uri="{63B3BB69-23CF-44E3-9099-C40C66FF867C}">
                  <a14:compatExt spid="_x0000_s15385"/>
                </a:ext>
                <a:ext uri="{FF2B5EF4-FFF2-40B4-BE49-F238E27FC236}">
                  <a16:creationId xmlns:a16="http://schemas.microsoft.com/office/drawing/2014/main" id="{00000000-0008-0000-0400-00001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5386" name="品名呼出08" hidden="1">
              <a:extLst>
                <a:ext uri="{63B3BB69-23CF-44E3-9099-C40C66FF867C}">
                  <a14:compatExt spid="_x0000_s15386"/>
                </a:ext>
                <a:ext uri="{FF2B5EF4-FFF2-40B4-BE49-F238E27FC236}">
                  <a16:creationId xmlns:a16="http://schemas.microsoft.com/office/drawing/2014/main" id="{00000000-0008-0000-0400-00001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5387" name="品名呼出09" hidden="1">
              <a:extLst>
                <a:ext uri="{63B3BB69-23CF-44E3-9099-C40C66FF867C}">
                  <a14:compatExt spid="_x0000_s15387"/>
                </a:ext>
                <a:ext uri="{FF2B5EF4-FFF2-40B4-BE49-F238E27FC236}">
                  <a16:creationId xmlns:a16="http://schemas.microsoft.com/office/drawing/2014/main" id="{00000000-0008-0000-0400-00001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5388" name="品名呼出10" hidden="1">
              <a:extLst>
                <a:ext uri="{63B3BB69-23CF-44E3-9099-C40C66FF867C}">
                  <a14:compatExt spid="_x0000_s15388"/>
                </a:ext>
                <a:ext uri="{FF2B5EF4-FFF2-40B4-BE49-F238E27FC236}">
                  <a16:creationId xmlns:a16="http://schemas.microsoft.com/office/drawing/2014/main" id="{00000000-0008-0000-0400-00001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5389" name="品名呼出11" hidden="1">
              <a:extLst>
                <a:ext uri="{63B3BB69-23CF-44E3-9099-C40C66FF867C}">
                  <a14:compatExt spid="_x0000_s15389"/>
                </a:ext>
                <a:ext uri="{FF2B5EF4-FFF2-40B4-BE49-F238E27FC236}">
                  <a16:creationId xmlns:a16="http://schemas.microsoft.com/office/drawing/2014/main" id="{00000000-0008-0000-0400-00001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5390" name="品名呼出12" hidden="1">
              <a:extLst>
                <a:ext uri="{63B3BB69-23CF-44E3-9099-C40C66FF867C}">
                  <a14:compatExt spid="_x0000_s15390"/>
                </a:ext>
                <a:ext uri="{FF2B5EF4-FFF2-40B4-BE49-F238E27FC236}">
                  <a16:creationId xmlns:a16="http://schemas.microsoft.com/office/drawing/2014/main" id="{00000000-0008-0000-0400-00001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5391" name="更新" hidden="1">
              <a:extLst>
                <a:ext uri="{63B3BB69-23CF-44E3-9099-C40C66FF867C}">
                  <a14:compatExt spid="_x0000_s15391"/>
                </a:ext>
                <a:ext uri="{FF2B5EF4-FFF2-40B4-BE49-F238E27FC236}">
                  <a16:creationId xmlns:a16="http://schemas.microsoft.com/office/drawing/2014/main" id="{00000000-0008-0000-0400-00001F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5392" name="プレビュー" hidden="1">
              <a:extLst>
                <a:ext uri="{63B3BB69-23CF-44E3-9099-C40C66FF867C}">
                  <a14:compatExt spid="_x0000_s15392"/>
                </a:ext>
                <a:ext uri="{FF2B5EF4-FFF2-40B4-BE49-F238E27FC236}">
                  <a16:creationId xmlns:a16="http://schemas.microsoft.com/office/drawing/2014/main" id="{00000000-0008-0000-0400-000020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5393" name="環境設定" hidden="1">
              <a:extLst>
                <a:ext uri="{63B3BB69-23CF-44E3-9099-C40C66FF867C}">
                  <a14:compatExt spid="_x0000_s15393"/>
                </a:ext>
                <a:ext uri="{FF2B5EF4-FFF2-40B4-BE49-F238E27FC236}">
                  <a16:creationId xmlns:a16="http://schemas.microsoft.com/office/drawing/2014/main" id="{00000000-0008-0000-0400-00002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5394" name="詳細無" hidden="1">
              <a:extLst>
                <a:ext uri="{63B3BB69-23CF-44E3-9099-C40C66FF867C}">
                  <a14:compatExt spid="_x0000_s15394"/>
                </a:ext>
                <a:ext uri="{FF2B5EF4-FFF2-40B4-BE49-F238E27FC236}">
                  <a16:creationId xmlns:a16="http://schemas.microsoft.com/office/drawing/2014/main" id="{00000000-0008-0000-0400-00002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5395" name="電卓" hidden="1">
              <a:extLst>
                <a:ext uri="{63B3BB69-23CF-44E3-9099-C40C66FF867C}">
                  <a14:compatExt spid="_x0000_s15395"/>
                </a:ext>
                <a:ext uri="{FF2B5EF4-FFF2-40B4-BE49-F238E27FC236}">
                  <a16:creationId xmlns:a16="http://schemas.microsoft.com/office/drawing/2014/main" id="{00000000-0008-0000-0400-00002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5396" name="データ更新" hidden="1">
              <a:extLst>
                <a:ext uri="{63B3BB69-23CF-44E3-9099-C40C66FF867C}">
                  <a14:compatExt spid="_x0000_s15396"/>
                </a:ext>
                <a:ext uri="{FF2B5EF4-FFF2-40B4-BE49-F238E27FC236}">
                  <a16:creationId xmlns:a16="http://schemas.microsoft.com/office/drawing/2014/main" id="{00000000-0008-0000-0400-00002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5397" name="並替" hidden="1">
              <a:extLst>
                <a:ext uri="{63B3BB69-23CF-44E3-9099-C40C66FF867C}">
                  <a14:compatExt spid="_x0000_s15397"/>
                </a:ext>
                <a:ext uri="{FF2B5EF4-FFF2-40B4-BE49-F238E27FC236}">
                  <a16:creationId xmlns:a16="http://schemas.microsoft.com/office/drawing/2014/main" id="{00000000-0008-0000-0400-00002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5398" name="戻る2" hidden="1">
              <a:extLst>
                <a:ext uri="{63B3BB69-23CF-44E3-9099-C40C66FF867C}">
                  <a14:compatExt spid="_x0000_s15398"/>
                </a:ext>
                <a:ext uri="{FF2B5EF4-FFF2-40B4-BE49-F238E27FC236}">
                  <a16:creationId xmlns:a16="http://schemas.microsoft.com/office/drawing/2014/main" id="{00000000-0008-0000-0400-00002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5399" name="環境設定2" hidden="1">
              <a:extLst>
                <a:ext uri="{63B3BB69-23CF-44E3-9099-C40C66FF867C}">
                  <a14:compatExt spid="_x0000_s15399"/>
                </a:ext>
                <a:ext uri="{FF2B5EF4-FFF2-40B4-BE49-F238E27FC236}">
                  <a16:creationId xmlns:a16="http://schemas.microsoft.com/office/drawing/2014/main" id="{00000000-0008-0000-0400-00002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5400" name="再選択" hidden="1">
              <a:extLst>
                <a:ext uri="{63B3BB69-23CF-44E3-9099-C40C66FF867C}">
                  <a14:compatExt spid="_x0000_s15400"/>
                </a:ext>
                <a:ext uri="{FF2B5EF4-FFF2-40B4-BE49-F238E27FC236}">
                  <a16:creationId xmlns:a16="http://schemas.microsoft.com/office/drawing/2014/main" id="{00000000-0008-0000-0400-00002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5401" name="ﾃﾞｰﾀ処理" hidden="1">
              <a:extLst>
                <a:ext uri="{63B3BB69-23CF-44E3-9099-C40C66FF867C}">
                  <a14:compatExt spid="_x0000_s15401"/>
                </a:ext>
                <a:ext uri="{FF2B5EF4-FFF2-40B4-BE49-F238E27FC236}">
                  <a16:creationId xmlns:a16="http://schemas.microsoft.com/office/drawing/2014/main" id="{00000000-0008-0000-0400-00002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5402" name="詳細無" hidden="1">
              <a:extLst>
                <a:ext uri="{63B3BB69-23CF-44E3-9099-C40C66FF867C}">
                  <a14:compatExt spid="_x0000_s15402"/>
                </a:ext>
                <a:ext uri="{FF2B5EF4-FFF2-40B4-BE49-F238E27FC236}">
                  <a16:creationId xmlns:a16="http://schemas.microsoft.com/office/drawing/2014/main" id="{00000000-0008-0000-0400-00002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5403" name="参照1" hidden="1">
              <a:extLst>
                <a:ext uri="{63B3BB69-23CF-44E3-9099-C40C66FF867C}">
                  <a14:compatExt spid="_x0000_s15403"/>
                </a:ext>
                <a:ext uri="{FF2B5EF4-FFF2-40B4-BE49-F238E27FC236}">
                  <a16:creationId xmlns:a16="http://schemas.microsoft.com/office/drawing/2014/main" id="{00000000-0008-0000-0400-00002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5404" name="参照2" hidden="1">
              <a:extLst>
                <a:ext uri="{63B3BB69-23CF-44E3-9099-C40C66FF867C}">
                  <a14:compatExt spid="_x0000_s15404"/>
                </a:ext>
                <a:ext uri="{FF2B5EF4-FFF2-40B4-BE49-F238E27FC236}">
                  <a16:creationId xmlns:a16="http://schemas.microsoft.com/office/drawing/2014/main" id="{00000000-0008-0000-0400-00002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5405" name="入力" hidden="1">
              <a:extLst>
                <a:ext uri="{63B3BB69-23CF-44E3-9099-C40C66FF867C}">
                  <a14:compatExt spid="_x0000_s15405"/>
                </a:ext>
                <a:ext uri="{FF2B5EF4-FFF2-40B4-BE49-F238E27FC236}">
                  <a16:creationId xmlns:a16="http://schemas.microsoft.com/office/drawing/2014/main" id="{00000000-0008-0000-0400-00002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5406" name="入力" hidden="1">
              <a:extLst>
                <a:ext uri="{63B3BB69-23CF-44E3-9099-C40C66FF867C}">
                  <a14:compatExt spid="_x0000_s15406"/>
                </a:ext>
                <a:ext uri="{FF2B5EF4-FFF2-40B4-BE49-F238E27FC236}">
                  <a16:creationId xmlns:a16="http://schemas.microsoft.com/office/drawing/2014/main" id="{00000000-0008-0000-0400-00002E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9A494B8B-1122-4EBF-BA3F-FCB2254F3C33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EF881BAA-9DC9-4233-BEFD-B73B3E14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89F3359C-DE9D-4C34-B798-57AEB01B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250825</xdr:rowOff>
    </xdr:from>
    <xdr:to>
      <xdr:col>43</xdr:col>
      <xdr:colOff>102265</xdr:colOff>
      <xdr:row>10</xdr:row>
      <xdr:rowOff>76200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930211D-C3BA-4075-96DB-6E164375D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508250"/>
          <a:ext cx="2464465" cy="2254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16385" name="表示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5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16386" name="表示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5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16387" name="呼出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5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16388" name="保存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5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16389" name="終了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5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16390" name="印刷" hidden="1">
              <a:extLst>
                <a:ext uri="{63B3BB69-23CF-44E3-9099-C40C66FF867C}">
                  <a14:compatExt spid="_x0000_s16390"/>
                </a:ext>
                <a:ext uri="{FF2B5EF4-FFF2-40B4-BE49-F238E27FC236}">
                  <a16:creationId xmlns:a16="http://schemas.microsoft.com/office/drawing/2014/main" id="{00000000-0008-0000-0500-00000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16391" name="入力" hidden="1">
              <a:extLst>
                <a:ext uri="{63B3BB69-23CF-44E3-9099-C40C66FF867C}">
                  <a14:compatExt spid="_x0000_s16391"/>
                </a:ext>
                <a:ext uri="{FF2B5EF4-FFF2-40B4-BE49-F238E27FC236}">
                  <a16:creationId xmlns:a16="http://schemas.microsoft.com/office/drawing/2014/main" id="{00000000-0008-0000-0500-00000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16392" name="削除" hidden="1">
              <a:extLst>
                <a:ext uri="{63B3BB69-23CF-44E3-9099-C40C66FF867C}">
                  <a14:compatExt spid="_x0000_s16392"/>
                </a:ext>
                <a:ext uri="{FF2B5EF4-FFF2-40B4-BE49-F238E27FC236}">
                  <a16:creationId xmlns:a16="http://schemas.microsoft.com/office/drawing/2014/main" id="{00000000-0008-0000-0500-00000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16393" name="合計無" hidden="1">
              <a:extLst>
                <a:ext uri="{63B3BB69-23CF-44E3-9099-C40C66FF867C}">
                  <a14:compatExt spid="_x0000_s16393"/>
                </a:ext>
                <a:ext uri="{FF2B5EF4-FFF2-40B4-BE49-F238E27FC236}">
                  <a16:creationId xmlns:a16="http://schemas.microsoft.com/office/drawing/2014/main" id="{00000000-0008-0000-0500-00000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16394" name="ヘルプ" hidden="1">
              <a:extLst>
                <a:ext uri="{63B3BB69-23CF-44E3-9099-C40C66FF867C}">
                  <a14:compatExt spid="_x0000_s16394"/>
                </a:ext>
                <a:ext uri="{FF2B5EF4-FFF2-40B4-BE49-F238E27FC236}">
                  <a16:creationId xmlns:a16="http://schemas.microsoft.com/office/drawing/2014/main" id="{00000000-0008-0000-0500-00000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16395" name="税無" hidden="1">
              <a:extLst>
                <a:ext uri="{63B3BB69-23CF-44E3-9099-C40C66FF867C}">
                  <a14:compatExt spid="_x0000_s16395"/>
                </a:ext>
                <a:ext uri="{FF2B5EF4-FFF2-40B4-BE49-F238E27FC236}">
                  <a16:creationId xmlns:a16="http://schemas.microsoft.com/office/drawing/2014/main" id="{00000000-0008-0000-0500-00000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16396" name="画像" hidden="1">
              <a:extLst>
                <a:ext uri="{63B3BB69-23CF-44E3-9099-C40C66FF867C}">
                  <a14:compatExt spid="_x0000_s16396"/>
                </a:ext>
                <a:ext uri="{FF2B5EF4-FFF2-40B4-BE49-F238E27FC236}">
                  <a16:creationId xmlns:a16="http://schemas.microsoft.com/office/drawing/2014/main" id="{00000000-0008-0000-0500-00000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16397" name="画像PW" hidden="1">
              <a:extLst>
                <a:ext uri="{63B3BB69-23CF-44E3-9099-C40C66FF867C}">
                  <a14:compatExt spid="_x0000_s16397"/>
                </a:ext>
                <a:ext uri="{FF2B5EF4-FFF2-40B4-BE49-F238E27FC236}">
                  <a16:creationId xmlns:a16="http://schemas.microsoft.com/office/drawing/2014/main" id="{00000000-0008-0000-0500-00000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16398" name="明細入力" hidden="1">
              <a:extLst>
                <a:ext uri="{63B3BB69-23CF-44E3-9099-C40C66FF867C}">
                  <a14:compatExt spid="_x0000_s16398"/>
                </a:ext>
                <a:ext uri="{FF2B5EF4-FFF2-40B4-BE49-F238E27FC236}">
                  <a16:creationId xmlns:a16="http://schemas.microsoft.com/office/drawing/2014/main" id="{00000000-0008-0000-0500-00000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16399" name="明細書" hidden="1">
              <a:extLst>
                <a:ext uri="{63B3BB69-23CF-44E3-9099-C40C66FF867C}">
                  <a14:compatExt spid="_x0000_s16399"/>
                </a:ext>
                <a:ext uri="{FF2B5EF4-FFF2-40B4-BE49-F238E27FC236}">
                  <a16:creationId xmlns:a16="http://schemas.microsoft.com/office/drawing/2014/main" id="{00000000-0008-0000-0500-00000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B68EF2A7-4E1A-4144-AB9C-EC77A6C032FD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65F99137-180C-40B2-BD29-1EAFA45A0AD1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B55D8EE3-5933-4EF0-A34B-F7ED1958C3D7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EE19633F-5EB1-4744-A580-176ED4F8B045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16400" name="客呼" hidden="1">
              <a:extLst>
                <a:ext uri="{63B3BB69-23CF-44E3-9099-C40C66FF867C}">
                  <a14:compatExt spid="_x0000_s16400"/>
                </a:ext>
                <a:ext uri="{FF2B5EF4-FFF2-40B4-BE49-F238E27FC236}">
                  <a16:creationId xmlns:a16="http://schemas.microsoft.com/office/drawing/2014/main" id="{00000000-0008-0000-0500-00001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16401" name="Button 17" hidden="1">
              <a:extLst>
                <a:ext uri="{63B3BB69-23CF-44E3-9099-C40C66FF867C}">
                  <a14:compatExt spid="_x0000_s16401"/>
                </a:ext>
                <a:ext uri="{FF2B5EF4-FFF2-40B4-BE49-F238E27FC236}">
                  <a16:creationId xmlns:a16="http://schemas.microsoft.com/office/drawing/2014/main" id="{00000000-0008-0000-0500-00001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16402" name="担当呼出" hidden="1">
              <a:extLst>
                <a:ext uri="{63B3BB69-23CF-44E3-9099-C40C66FF867C}">
                  <a14:compatExt spid="_x0000_s16402"/>
                </a:ext>
                <a:ext uri="{FF2B5EF4-FFF2-40B4-BE49-F238E27FC236}">
                  <a16:creationId xmlns:a16="http://schemas.microsoft.com/office/drawing/2014/main" id="{00000000-0008-0000-0500-00001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16403" name="品名呼出01" hidden="1">
              <a:extLst>
                <a:ext uri="{63B3BB69-23CF-44E3-9099-C40C66FF867C}">
                  <a14:compatExt spid="_x0000_s16403"/>
                </a:ext>
                <a:ext uri="{FF2B5EF4-FFF2-40B4-BE49-F238E27FC236}">
                  <a16:creationId xmlns:a16="http://schemas.microsoft.com/office/drawing/2014/main" id="{00000000-0008-0000-0500-00001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16404" name="品名呼出02" hidden="1">
              <a:extLst>
                <a:ext uri="{63B3BB69-23CF-44E3-9099-C40C66FF867C}">
                  <a14:compatExt spid="_x0000_s16404"/>
                </a:ext>
                <a:ext uri="{FF2B5EF4-FFF2-40B4-BE49-F238E27FC236}">
                  <a16:creationId xmlns:a16="http://schemas.microsoft.com/office/drawing/2014/main" id="{00000000-0008-0000-0500-00001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16405" name="品名呼出03" hidden="1">
              <a:extLst>
                <a:ext uri="{63B3BB69-23CF-44E3-9099-C40C66FF867C}">
                  <a14:compatExt spid="_x0000_s16405"/>
                </a:ext>
                <a:ext uri="{FF2B5EF4-FFF2-40B4-BE49-F238E27FC236}">
                  <a16:creationId xmlns:a16="http://schemas.microsoft.com/office/drawing/2014/main" id="{00000000-0008-0000-0500-00001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16406" name="品名呼出04" hidden="1">
              <a:extLst>
                <a:ext uri="{63B3BB69-23CF-44E3-9099-C40C66FF867C}">
                  <a14:compatExt spid="_x0000_s16406"/>
                </a:ext>
                <a:ext uri="{FF2B5EF4-FFF2-40B4-BE49-F238E27FC236}">
                  <a16:creationId xmlns:a16="http://schemas.microsoft.com/office/drawing/2014/main" id="{00000000-0008-0000-0500-00001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16407" name="品名呼出05" hidden="1">
              <a:extLst>
                <a:ext uri="{63B3BB69-23CF-44E3-9099-C40C66FF867C}">
                  <a14:compatExt spid="_x0000_s16407"/>
                </a:ext>
                <a:ext uri="{FF2B5EF4-FFF2-40B4-BE49-F238E27FC236}">
                  <a16:creationId xmlns:a16="http://schemas.microsoft.com/office/drawing/2014/main" id="{00000000-0008-0000-0500-00001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16408" name="品名呼出06" hidden="1">
              <a:extLst>
                <a:ext uri="{63B3BB69-23CF-44E3-9099-C40C66FF867C}">
                  <a14:compatExt spid="_x0000_s16408"/>
                </a:ext>
                <a:ext uri="{FF2B5EF4-FFF2-40B4-BE49-F238E27FC236}">
                  <a16:creationId xmlns:a16="http://schemas.microsoft.com/office/drawing/2014/main" id="{00000000-0008-0000-0500-00001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16409" name="品名呼出07" hidden="1">
              <a:extLst>
                <a:ext uri="{63B3BB69-23CF-44E3-9099-C40C66FF867C}">
                  <a14:compatExt spid="_x0000_s16409"/>
                </a:ext>
                <a:ext uri="{FF2B5EF4-FFF2-40B4-BE49-F238E27FC236}">
                  <a16:creationId xmlns:a16="http://schemas.microsoft.com/office/drawing/2014/main" id="{00000000-0008-0000-0500-00001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16410" name="品名呼出08" hidden="1">
              <a:extLst>
                <a:ext uri="{63B3BB69-23CF-44E3-9099-C40C66FF867C}">
                  <a14:compatExt spid="_x0000_s16410"/>
                </a:ext>
                <a:ext uri="{FF2B5EF4-FFF2-40B4-BE49-F238E27FC236}">
                  <a16:creationId xmlns:a16="http://schemas.microsoft.com/office/drawing/2014/main" id="{00000000-0008-0000-0500-00001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16411" name="品名呼出09" hidden="1">
              <a:extLst>
                <a:ext uri="{63B3BB69-23CF-44E3-9099-C40C66FF867C}">
                  <a14:compatExt spid="_x0000_s16411"/>
                </a:ext>
                <a:ext uri="{FF2B5EF4-FFF2-40B4-BE49-F238E27FC236}">
                  <a16:creationId xmlns:a16="http://schemas.microsoft.com/office/drawing/2014/main" id="{00000000-0008-0000-0500-00001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16412" name="品名呼出10" hidden="1">
              <a:extLst>
                <a:ext uri="{63B3BB69-23CF-44E3-9099-C40C66FF867C}">
                  <a14:compatExt spid="_x0000_s16412"/>
                </a:ext>
                <a:ext uri="{FF2B5EF4-FFF2-40B4-BE49-F238E27FC236}">
                  <a16:creationId xmlns:a16="http://schemas.microsoft.com/office/drawing/2014/main" id="{00000000-0008-0000-0500-00001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16413" name="品名呼出11" hidden="1">
              <a:extLst>
                <a:ext uri="{63B3BB69-23CF-44E3-9099-C40C66FF867C}">
                  <a14:compatExt spid="_x0000_s16413"/>
                </a:ext>
                <a:ext uri="{FF2B5EF4-FFF2-40B4-BE49-F238E27FC236}">
                  <a16:creationId xmlns:a16="http://schemas.microsoft.com/office/drawing/2014/main" id="{00000000-0008-0000-0500-00001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16414" name="品名呼出12" hidden="1">
              <a:extLst>
                <a:ext uri="{63B3BB69-23CF-44E3-9099-C40C66FF867C}">
                  <a14:compatExt spid="_x0000_s16414"/>
                </a:ext>
                <a:ext uri="{FF2B5EF4-FFF2-40B4-BE49-F238E27FC236}">
                  <a16:creationId xmlns:a16="http://schemas.microsoft.com/office/drawing/2014/main" id="{00000000-0008-0000-0500-00001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16415" name="更新" hidden="1">
              <a:extLst>
                <a:ext uri="{63B3BB69-23CF-44E3-9099-C40C66FF867C}">
                  <a14:compatExt spid="_x0000_s16415"/>
                </a:ext>
                <a:ext uri="{FF2B5EF4-FFF2-40B4-BE49-F238E27FC236}">
                  <a16:creationId xmlns:a16="http://schemas.microsoft.com/office/drawing/2014/main" id="{00000000-0008-0000-0500-00001F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16416" name="プレビュー" hidden="1">
              <a:extLst>
                <a:ext uri="{63B3BB69-23CF-44E3-9099-C40C66FF867C}">
                  <a14:compatExt spid="_x0000_s16416"/>
                </a:ext>
                <a:ext uri="{FF2B5EF4-FFF2-40B4-BE49-F238E27FC236}">
                  <a16:creationId xmlns:a16="http://schemas.microsoft.com/office/drawing/2014/main" id="{00000000-0008-0000-0500-000020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16417" name="環境設定" hidden="1">
              <a:extLst>
                <a:ext uri="{63B3BB69-23CF-44E3-9099-C40C66FF867C}">
                  <a14:compatExt spid="_x0000_s16417"/>
                </a:ext>
                <a:ext uri="{FF2B5EF4-FFF2-40B4-BE49-F238E27FC236}">
                  <a16:creationId xmlns:a16="http://schemas.microsoft.com/office/drawing/2014/main" id="{00000000-0008-0000-0500-00002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16418" name="詳細無" hidden="1">
              <a:extLst>
                <a:ext uri="{63B3BB69-23CF-44E3-9099-C40C66FF867C}">
                  <a14:compatExt spid="_x0000_s16418"/>
                </a:ext>
                <a:ext uri="{FF2B5EF4-FFF2-40B4-BE49-F238E27FC236}">
                  <a16:creationId xmlns:a16="http://schemas.microsoft.com/office/drawing/2014/main" id="{00000000-0008-0000-0500-00002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16419" name="電卓" hidden="1">
              <a:extLst>
                <a:ext uri="{63B3BB69-23CF-44E3-9099-C40C66FF867C}">
                  <a14:compatExt spid="_x0000_s16419"/>
                </a:ext>
                <a:ext uri="{FF2B5EF4-FFF2-40B4-BE49-F238E27FC236}">
                  <a16:creationId xmlns:a16="http://schemas.microsoft.com/office/drawing/2014/main" id="{00000000-0008-0000-0500-00002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16420" name="データ更新" hidden="1">
              <a:extLst>
                <a:ext uri="{63B3BB69-23CF-44E3-9099-C40C66FF867C}">
                  <a14:compatExt spid="_x0000_s16420"/>
                </a:ext>
                <a:ext uri="{FF2B5EF4-FFF2-40B4-BE49-F238E27FC236}">
                  <a16:creationId xmlns:a16="http://schemas.microsoft.com/office/drawing/2014/main" id="{00000000-0008-0000-0500-00002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16421" name="並替" hidden="1">
              <a:extLst>
                <a:ext uri="{63B3BB69-23CF-44E3-9099-C40C66FF867C}">
                  <a14:compatExt spid="_x0000_s16421"/>
                </a:ext>
                <a:ext uri="{FF2B5EF4-FFF2-40B4-BE49-F238E27FC236}">
                  <a16:creationId xmlns:a16="http://schemas.microsoft.com/office/drawing/2014/main" id="{00000000-0008-0000-0500-00002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16422" name="戻る2" hidden="1">
              <a:extLst>
                <a:ext uri="{63B3BB69-23CF-44E3-9099-C40C66FF867C}">
                  <a14:compatExt spid="_x0000_s16422"/>
                </a:ext>
                <a:ext uri="{FF2B5EF4-FFF2-40B4-BE49-F238E27FC236}">
                  <a16:creationId xmlns:a16="http://schemas.microsoft.com/office/drawing/2014/main" id="{00000000-0008-0000-0500-000026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16423" name="環境設定2" hidden="1">
              <a:extLst>
                <a:ext uri="{63B3BB69-23CF-44E3-9099-C40C66FF867C}">
                  <a14:compatExt spid="_x0000_s16423"/>
                </a:ext>
                <a:ext uri="{FF2B5EF4-FFF2-40B4-BE49-F238E27FC236}">
                  <a16:creationId xmlns:a16="http://schemas.microsoft.com/office/drawing/2014/main" id="{00000000-0008-0000-0500-000027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16424" name="再選択" hidden="1">
              <a:extLst>
                <a:ext uri="{63B3BB69-23CF-44E3-9099-C40C66FF867C}">
                  <a14:compatExt spid="_x0000_s16424"/>
                </a:ext>
                <a:ext uri="{FF2B5EF4-FFF2-40B4-BE49-F238E27FC236}">
                  <a16:creationId xmlns:a16="http://schemas.microsoft.com/office/drawing/2014/main" id="{00000000-0008-0000-0500-000028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16425" name="ﾃﾞｰﾀ処理" hidden="1">
              <a:extLst>
                <a:ext uri="{63B3BB69-23CF-44E3-9099-C40C66FF867C}">
                  <a14:compatExt spid="_x0000_s16425"/>
                </a:ext>
                <a:ext uri="{FF2B5EF4-FFF2-40B4-BE49-F238E27FC236}">
                  <a16:creationId xmlns:a16="http://schemas.microsoft.com/office/drawing/2014/main" id="{00000000-0008-0000-0500-000029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16426" name="Button 42" hidden="1">
              <a:extLst>
                <a:ext uri="{63B3BB69-23CF-44E3-9099-C40C66FF867C}">
                  <a14:compatExt spid="_x0000_s16426"/>
                </a:ext>
                <a:ext uri="{FF2B5EF4-FFF2-40B4-BE49-F238E27FC236}">
                  <a16:creationId xmlns:a16="http://schemas.microsoft.com/office/drawing/2014/main" id="{00000000-0008-0000-0500-00002A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16427" name="参照1" hidden="1">
              <a:extLst>
                <a:ext uri="{63B3BB69-23CF-44E3-9099-C40C66FF867C}">
                  <a14:compatExt spid="_x0000_s16427"/>
                </a:ext>
                <a:ext uri="{FF2B5EF4-FFF2-40B4-BE49-F238E27FC236}">
                  <a16:creationId xmlns:a16="http://schemas.microsoft.com/office/drawing/2014/main" id="{00000000-0008-0000-0500-00002B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16428" name="参照2" hidden="1">
              <a:extLst>
                <a:ext uri="{63B3BB69-23CF-44E3-9099-C40C66FF867C}">
                  <a14:compatExt spid="_x0000_s16428"/>
                </a:ext>
                <a:ext uri="{FF2B5EF4-FFF2-40B4-BE49-F238E27FC236}">
                  <a16:creationId xmlns:a16="http://schemas.microsoft.com/office/drawing/2014/main" id="{00000000-0008-0000-0500-00002C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16429" name="Button 45" hidden="1">
              <a:extLst>
                <a:ext uri="{63B3BB69-23CF-44E3-9099-C40C66FF867C}">
                  <a14:compatExt spid="_x0000_s16429"/>
                </a:ext>
                <a:ext uri="{FF2B5EF4-FFF2-40B4-BE49-F238E27FC236}">
                  <a16:creationId xmlns:a16="http://schemas.microsoft.com/office/drawing/2014/main" id="{00000000-0008-0000-0500-00002D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16430" name="Button 46" hidden="1">
              <a:extLst>
                <a:ext uri="{63B3BB69-23CF-44E3-9099-C40C66FF867C}">
                  <a14:compatExt spid="_x0000_s16430"/>
                </a:ext>
                <a:ext uri="{FF2B5EF4-FFF2-40B4-BE49-F238E27FC236}">
                  <a16:creationId xmlns:a16="http://schemas.microsoft.com/office/drawing/2014/main" id="{00000000-0008-0000-0500-00002E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BD53F92D-DCBF-44D0-A151-3F1566F6344B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166A5280-6F5D-44C1-BEF5-EC80EE49F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76E4967F-9582-4175-B5AB-65E45389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79F6437-0681-4164-829C-73096115E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28673" name="表示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6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28674" name="表示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6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28675" name="呼出" hidden="1">
              <a:extLst>
                <a:ext uri="{63B3BB69-23CF-44E3-9099-C40C66FF867C}">
                  <a14:compatExt spid="_x0000_s28675"/>
                </a:ext>
                <a:ext uri="{FF2B5EF4-FFF2-40B4-BE49-F238E27FC236}">
                  <a16:creationId xmlns:a16="http://schemas.microsoft.com/office/drawing/2014/main" id="{00000000-0008-0000-0600-00000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28676" name="保存" hidden="1">
              <a:extLst>
                <a:ext uri="{63B3BB69-23CF-44E3-9099-C40C66FF867C}">
                  <a14:compatExt spid="_x0000_s28676"/>
                </a:ext>
                <a:ext uri="{FF2B5EF4-FFF2-40B4-BE49-F238E27FC236}">
                  <a16:creationId xmlns:a16="http://schemas.microsoft.com/office/drawing/2014/main" id="{00000000-0008-0000-0600-00000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28677" name="終了" hidden="1">
              <a:extLst>
                <a:ext uri="{63B3BB69-23CF-44E3-9099-C40C66FF867C}">
                  <a14:compatExt spid="_x0000_s28677"/>
                </a:ext>
                <a:ext uri="{FF2B5EF4-FFF2-40B4-BE49-F238E27FC236}">
                  <a16:creationId xmlns:a16="http://schemas.microsoft.com/office/drawing/2014/main" id="{00000000-0008-0000-0600-00000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28678" name="印刷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6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28679" name="入力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6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28680" name="削除" hidden="1">
              <a:extLst>
                <a:ext uri="{63B3BB69-23CF-44E3-9099-C40C66FF867C}">
                  <a14:compatExt spid="_x0000_s28680"/>
                </a:ext>
                <a:ext uri="{FF2B5EF4-FFF2-40B4-BE49-F238E27FC236}">
                  <a16:creationId xmlns:a16="http://schemas.microsoft.com/office/drawing/2014/main" id="{00000000-0008-0000-0600-00000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28681" name="合計無" hidden="1">
              <a:extLst>
                <a:ext uri="{63B3BB69-23CF-44E3-9099-C40C66FF867C}">
                  <a14:compatExt spid="_x0000_s28681"/>
                </a:ext>
                <a:ext uri="{FF2B5EF4-FFF2-40B4-BE49-F238E27FC236}">
                  <a16:creationId xmlns:a16="http://schemas.microsoft.com/office/drawing/2014/main" id="{00000000-0008-0000-0600-00000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28682" name="ヘルプ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:a16="http://schemas.microsoft.com/office/drawing/2014/main" id="{00000000-0008-0000-0600-00000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28683" name="税無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:a16="http://schemas.microsoft.com/office/drawing/2014/main" id="{00000000-0008-0000-0600-00000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28684" name="画像" hidden="1">
              <a:extLst>
                <a:ext uri="{63B3BB69-23CF-44E3-9099-C40C66FF867C}">
                  <a14:compatExt spid="_x0000_s28684"/>
                </a:ext>
                <a:ext uri="{FF2B5EF4-FFF2-40B4-BE49-F238E27FC236}">
                  <a16:creationId xmlns:a16="http://schemas.microsoft.com/office/drawing/2014/main" id="{00000000-0008-0000-0600-00000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28685" name="画像PW" hidden="1">
              <a:extLst>
                <a:ext uri="{63B3BB69-23CF-44E3-9099-C40C66FF867C}">
                  <a14:compatExt spid="_x0000_s28685"/>
                </a:ext>
                <a:ext uri="{FF2B5EF4-FFF2-40B4-BE49-F238E27FC236}">
                  <a16:creationId xmlns:a16="http://schemas.microsoft.com/office/drawing/2014/main" id="{00000000-0008-0000-0600-00000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28686" name="明細入力" hidden="1">
              <a:extLst>
                <a:ext uri="{63B3BB69-23CF-44E3-9099-C40C66FF867C}">
                  <a14:compatExt spid="_x0000_s28686"/>
                </a:ext>
                <a:ext uri="{FF2B5EF4-FFF2-40B4-BE49-F238E27FC236}">
                  <a16:creationId xmlns:a16="http://schemas.microsoft.com/office/drawing/2014/main" id="{00000000-0008-0000-0600-00000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28687" name="明細書" hidden="1">
              <a:extLst>
                <a:ext uri="{63B3BB69-23CF-44E3-9099-C40C66FF867C}">
                  <a14:compatExt spid="_x0000_s28687"/>
                </a:ext>
                <a:ext uri="{FF2B5EF4-FFF2-40B4-BE49-F238E27FC236}">
                  <a16:creationId xmlns:a16="http://schemas.microsoft.com/office/drawing/2014/main" id="{00000000-0008-0000-0600-00000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89D5EAC0-E4F4-4CE8-946C-B892C9E86653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8B1A7280-F960-4F0C-81AD-6863185E33C6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39FE94C8-8C39-4F9C-81F1-2B08EE51FB37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87117B69-3121-424A-80EC-74C037CBDEF0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28688" name="客呼" hidden="1">
              <a:extLst>
                <a:ext uri="{63B3BB69-23CF-44E3-9099-C40C66FF867C}">
                  <a14:compatExt spid="_x0000_s28688"/>
                </a:ext>
                <a:ext uri="{FF2B5EF4-FFF2-40B4-BE49-F238E27FC236}">
                  <a16:creationId xmlns:a16="http://schemas.microsoft.com/office/drawing/2014/main" id="{00000000-0008-0000-0600-00001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28689" name="Button 17" hidden="1">
              <a:extLst>
                <a:ext uri="{63B3BB69-23CF-44E3-9099-C40C66FF867C}">
                  <a14:compatExt spid="_x0000_s28689"/>
                </a:ext>
                <a:ext uri="{FF2B5EF4-FFF2-40B4-BE49-F238E27FC236}">
                  <a16:creationId xmlns:a16="http://schemas.microsoft.com/office/drawing/2014/main" id="{00000000-0008-0000-0600-00001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28690" name="担当呼出" hidden="1">
              <a:extLst>
                <a:ext uri="{63B3BB69-23CF-44E3-9099-C40C66FF867C}">
                  <a14:compatExt spid="_x0000_s28690"/>
                </a:ext>
                <a:ext uri="{FF2B5EF4-FFF2-40B4-BE49-F238E27FC236}">
                  <a16:creationId xmlns:a16="http://schemas.microsoft.com/office/drawing/2014/main" id="{00000000-0008-0000-0600-00001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28691" name="品名呼出01" hidden="1">
              <a:extLst>
                <a:ext uri="{63B3BB69-23CF-44E3-9099-C40C66FF867C}">
                  <a14:compatExt spid="_x0000_s28691"/>
                </a:ext>
                <a:ext uri="{FF2B5EF4-FFF2-40B4-BE49-F238E27FC236}">
                  <a16:creationId xmlns:a16="http://schemas.microsoft.com/office/drawing/2014/main" id="{00000000-0008-0000-0600-00001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28692" name="品名呼出02" hidden="1">
              <a:extLst>
                <a:ext uri="{63B3BB69-23CF-44E3-9099-C40C66FF867C}">
                  <a14:compatExt spid="_x0000_s28692"/>
                </a:ext>
                <a:ext uri="{FF2B5EF4-FFF2-40B4-BE49-F238E27FC236}">
                  <a16:creationId xmlns:a16="http://schemas.microsoft.com/office/drawing/2014/main" id="{00000000-0008-0000-0600-00001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28693" name="品名呼出03" hidden="1">
              <a:extLst>
                <a:ext uri="{63B3BB69-23CF-44E3-9099-C40C66FF867C}">
                  <a14:compatExt spid="_x0000_s28693"/>
                </a:ext>
                <a:ext uri="{FF2B5EF4-FFF2-40B4-BE49-F238E27FC236}">
                  <a16:creationId xmlns:a16="http://schemas.microsoft.com/office/drawing/2014/main" id="{00000000-0008-0000-0600-00001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8694" name="品名呼出04" hidden="1">
              <a:extLst>
                <a:ext uri="{63B3BB69-23CF-44E3-9099-C40C66FF867C}">
                  <a14:compatExt spid="_x0000_s28694"/>
                </a:ext>
                <a:ext uri="{FF2B5EF4-FFF2-40B4-BE49-F238E27FC236}">
                  <a16:creationId xmlns:a16="http://schemas.microsoft.com/office/drawing/2014/main" id="{00000000-0008-0000-0600-00001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28695" name="品名呼出05" hidden="1">
              <a:extLst>
                <a:ext uri="{63B3BB69-23CF-44E3-9099-C40C66FF867C}">
                  <a14:compatExt spid="_x0000_s28695"/>
                </a:ext>
                <a:ext uri="{FF2B5EF4-FFF2-40B4-BE49-F238E27FC236}">
                  <a16:creationId xmlns:a16="http://schemas.microsoft.com/office/drawing/2014/main" id="{00000000-0008-0000-0600-00001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28696" name="品名呼出06" hidden="1">
              <a:extLst>
                <a:ext uri="{63B3BB69-23CF-44E3-9099-C40C66FF867C}">
                  <a14:compatExt spid="_x0000_s28696"/>
                </a:ext>
                <a:ext uri="{FF2B5EF4-FFF2-40B4-BE49-F238E27FC236}">
                  <a16:creationId xmlns:a16="http://schemas.microsoft.com/office/drawing/2014/main" id="{00000000-0008-0000-0600-00001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28697" name="品名呼出07" hidden="1">
              <a:extLst>
                <a:ext uri="{63B3BB69-23CF-44E3-9099-C40C66FF867C}">
                  <a14:compatExt spid="_x0000_s28697"/>
                </a:ext>
                <a:ext uri="{FF2B5EF4-FFF2-40B4-BE49-F238E27FC236}">
                  <a16:creationId xmlns:a16="http://schemas.microsoft.com/office/drawing/2014/main" id="{00000000-0008-0000-0600-00001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28698" name="品名呼出08" hidden="1">
              <a:extLst>
                <a:ext uri="{63B3BB69-23CF-44E3-9099-C40C66FF867C}">
                  <a14:compatExt spid="_x0000_s28698"/>
                </a:ext>
                <a:ext uri="{FF2B5EF4-FFF2-40B4-BE49-F238E27FC236}">
                  <a16:creationId xmlns:a16="http://schemas.microsoft.com/office/drawing/2014/main" id="{00000000-0008-0000-0600-00001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28699" name="品名呼出09" hidden="1">
              <a:extLst>
                <a:ext uri="{63B3BB69-23CF-44E3-9099-C40C66FF867C}">
                  <a14:compatExt spid="_x0000_s28699"/>
                </a:ext>
                <a:ext uri="{FF2B5EF4-FFF2-40B4-BE49-F238E27FC236}">
                  <a16:creationId xmlns:a16="http://schemas.microsoft.com/office/drawing/2014/main" id="{00000000-0008-0000-0600-00001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28700" name="品名呼出10" hidden="1">
              <a:extLst>
                <a:ext uri="{63B3BB69-23CF-44E3-9099-C40C66FF867C}">
                  <a14:compatExt spid="_x0000_s28700"/>
                </a:ext>
                <a:ext uri="{FF2B5EF4-FFF2-40B4-BE49-F238E27FC236}">
                  <a16:creationId xmlns:a16="http://schemas.microsoft.com/office/drawing/2014/main" id="{00000000-0008-0000-0600-00001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28701" name="品名呼出11" hidden="1">
              <a:extLst>
                <a:ext uri="{63B3BB69-23CF-44E3-9099-C40C66FF867C}">
                  <a14:compatExt spid="_x0000_s28701"/>
                </a:ext>
                <a:ext uri="{FF2B5EF4-FFF2-40B4-BE49-F238E27FC236}">
                  <a16:creationId xmlns:a16="http://schemas.microsoft.com/office/drawing/2014/main" id="{00000000-0008-0000-0600-00001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28702" name="品名呼出12" hidden="1">
              <a:extLst>
                <a:ext uri="{63B3BB69-23CF-44E3-9099-C40C66FF867C}">
                  <a14:compatExt spid="_x0000_s28702"/>
                </a:ext>
                <a:ext uri="{FF2B5EF4-FFF2-40B4-BE49-F238E27FC236}">
                  <a16:creationId xmlns:a16="http://schemas.microsoft.com/office/drawing/2014/main" id="{00000000-0008-0000-0600-00001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28703" name="更新" hidden="1">
              <a:extLst>
                <a:ext uri="{63B3BB69-23CF-44E3-9099-C40C66FF867C}">
                  <a14:compatExt spid="_x0000_s28703"/>
                </a:ext>
                <a:ext uri="{FF2B5EF4-FFF2-40B4-BE49-F238E27FC236}">
                  <a16:creationId xmlns:a16="http://schemas.microsoft.com/office/drawing/2014/main" id="{00000000-0008-0000-0600-00001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28704" name="プレビュー" hidden="1">
              <a:extLst>
                <a:ext uri="{63B3BB69-23CF-44E3-9099-C40C66FF867C}">
                  <a14:compatExt spid="_x0000_s28704"/>
                </a:ext>
                <a:ext uri="{FF2B5EF4-FFF2-40B4-BE49-F238E27FC236}">
                  <a16:creationId xmlns:a16="http://schemas.microsoft.com/office/drawing/2014/main" id="{00000000-0008-0000-0600-00002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28705" name="環境設定" hidden="1">
              <a:extLst>
                <a:ext uri="{63B3BB69-23CF-44E3-9099-C40C66FF867C}">
                  <a14:compatExt spid="_x0000_s28705"/>
                </a:ext>
                <a:ext uri="{FF2B5EF4-FFF2-40B4-BE49-F238E27FC236}">
                  <a16:creationId xmlns:a16="http://schemas.microsoft.com/office/drawing/2014/main" id="{00000000-0008-0000-0600-00002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28706" name="詳細無" hidden="1">
              <a:extLst>
                <a:ext uri="{63B3BB69-23CF-44E3-9099-C40C66FF867C}">
                  <a14:compatExt spid="_x0000_s28706"/>
                </a:ext>
                <a:ext uri="{FF2B5EF4-FFF2-40B4-BE49-F238E27FC236}">
                  <a16:creationId xmlns:a16="http://schemas.microsoft.com/office/drawing/2014/main" id="{00000000-0008-0000-0600-00002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28707" name="電卓" hidden="1">
              <a:extLst>
                <a:ext uri="{63B3BB69-23CF-44E3-9099-C40C66FF867C}">
                  <a14:compatExt spid="_x0000_s28707"/>
                </a:ext>
                <a:ext uri="{FF2B5EF4-FFF2-40B4-BE49-F238E27FC236}">
                  <a16:creationId xmlns:a16="http://schemas.microsoft.com/office/drawing/2014/main" id="{00000000-0008-0000-0600-00002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28708" name="データ更新" hidden="1">
              <a:extLst>
                <a:ext uri="{63B3BB69-23CF-44E3-9099-C40C66FF867C}">
                  <a14:compatExt spid="_x0000_s28708"/>
                </a:ext>
                <a:ext uri="{FF2B5EF4-FFF2-40B4-BE49-F238E27FC236}">
                  <a16:creationId xmlns:a16="http://schemas.microsoft.com/office/drawing/2014/main" id="{00000000-0008-0000-0600-00002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28709" name="並替" hidden="1">
              <a:extLst>
                <a:ext uri="{63B3BB69-23CF-44E3-9099-C40C66FF867C}">
                  <a14:compatExt spid="_x0000_s28709"/>
                </a:ext>
                <a:ext uri="{FF2B5EF4-FFF2-40B4-BE49-F238E27FC236}">
                  <a16:creationId xmlns:a16="http://schemas.microsoft.com/office/drawing/2014/main" id="{00000000-0008-0000-0600-00002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28710" name="戻る2" hidden="1">
              <a:extLst>
                <a:ext uri="{63B3BB69-23CF-44E3-9099-C40C66FF867C}">
                  <a14:compatExt spid="_x0000_s28710"/>
                </a:ext>
                <a:ext uri="{FF2B5EF4-FFF2-40B4-BE49-F238E27FC236}">
                  <a16:creationId xmlns:a16="http://schemas.microsoft.com/office/drawing/2014/main" id="{00000000-0008-0000-0600-00002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28711" name="環境設定2" hidden="1">
              <a:extLst>
                <a:ext uri="{63B3BB69-23CF-44E3-9099-C40C66FF867C}">
                  <a14:compatExt spid="_x0000_s28711"/>
                </a:ext>
                <a:ext uri="{FF2B5EF4-FFF2-40B4-BE49-F238E27FC236}">
                  <a16:creationId xmlns:a16="http://schemas.microsoft.com/office/drawing/2014/main" id="{00000000-0008-0000-0600-00002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28712" name="再選択" hidden="1">
              <a:extLst>
                <a:ext uri="{63B3BB69-23CF-44E3-9099-C40C66FF867C}">
                  <a14:compatExt spid="_x0000_s28712"/>
                </a:ext>
                <a:ext uri="{FF2B5EF4-FFF2-40B4-BE49-F238E27FC236}">
                  <a16:creationId xmlns:a16="http://schemas.microsoft.com/office/drawing/2014/main" id="{00000000-0008-0000-0600-00002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28713" name="ﾃﾞｰﾀ処理" hidden="1">
              <a:extLst>
                <a:ext uri="{63B3BB69-23CF-44E3-9099-C40C66FF867C}">
                  <a14:compatExt spid="_x0000_s28713"/>
                </a:ext>
                <a:ext uri="{FF2B5EF4-FFF2-40B4-BE49-F238E27FC236}">
                  <a16:creationId xmlns:a16="http://schemas.microsoft.com/office/drawing/2014/main" id="{00000000-0008-0000-0600-00002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28714" name="Button 42" hidden="1">
              <a:extLst>
                <a:ext uri="{63B3BB69-23CF-44E3-9099-C40C66FF867C}">
                  <a14:compatExt spid="_x0000_s28714"/>
                </a:ext>
                <a:ext uri="{FF2B5EF4-FFF2-40B4-BE49-F238E27FC236}">
                  <a16:creationId xmlns:a16="http://schemas.microsoft.com/office/drawing/2014/main" id="{00000000-0008-0000-0600-00002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28715" name="参照1" hidden="1">
              <a:extLst>
                <a:ext uri="{63B3BB69-23CF-44E3-9099-C40C66FF867C}">
                  <a14:compatExt spid="_x0000_s28715"/>
                </a:ext>
                <a:ext uri="{FF2B5EF4-FFF2-40B4-BE49-F238E27FC236}">
                  <a16:creationId xmlns:a16="http://schemas.microsoft.com/office/drawing/2014/main" id="{00000000-0008-0000-0600-00002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28716" name="参照2" hidden="1">
              <a:extLst>
                <a:ext uri="{63B3BB69-23CF-44E3-9099-C40C66FF867C}">
                  <a14:compatExt spid="_x0000_s28716"/>
                </a:ext>
                <a:ext uri="{FF2B5EF4-FFF2-40B4-BE49-F238E27FC236}">
                  <a16:creationId xmlns:a16="http://schemas.microsoft.com/office/drawing/2014/main" id="{00000000-0008-0000-0600-00002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28717" name="Button 45" hidden="1">
              <a:extLst>
                <a:ext uri="{63B3BB69-23CF-44E3-9099-C40C66FF867C}">
                  <a14:compatExt spid="_x0000_s28717"/>
                </a:ext>
                <a:ext uri="{FF2B5EF4-FFF2-40B4-BE49-F238E27FC236}">
                  <a16:creationId xmlns:a16="http://schemas.microsoft.com/office/drawing/2014/main" id="{00000000-0008-0000-0600-00002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28718" name="Button 46" hidden="1">
              <a:extLst>
                <a:ext uri="{63B3BB69-23CF-44E3-9099-C40C66FF867C}">
                  <a14:compatExt spid="_x0000_s28718"/>
                </a:ext>
                <a:ext uri="{FF2B5EF4-FFF2-40B4-BE49-F238E27FC236}">
                  <a16:creationId xmlns:a16="http://schemas.microsoft.com/office/drawing/2014/main" id="{00000000-0008-0000-0600-00002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37B6F82D-431F-42EC-8660-1D0DB5247E05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DA02E893-5B0D-426D-98AC-AD2C9A41F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7ADA8950-0091-4618-AA2D-0BF812970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BD58EC6-B2F0-41F3-8A02-C63170BC7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36865" name="表示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7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36866" name="表示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07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36867" name="呼出" hidden="1">
              <a:extLst>
                <a:ext uri="{63B3BB69-23CF-44E3-9099-C40C66FF867C}">
                  <a14:compatExt spid="_x0000_s36867"/>
                </a:ext>
                <a:ext uri="{FF2B5EF4-FFF2-40B4-BE49-F238E27FC236}">
                  <a16:creationId xmlns:a16="http://schemas.microsoft.com/office/drawing/2014/main" id="{00000000-0008-0000-0700-000003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36868" name="保存" hidden="1">
              <a:extLst>
                <a:ext uri="{63B3BB69-23CF-44E3-9099-C40C66FF867C}">
                  <a14:compatExt spid="_x0000_s36868"/>
                </a:ext>
                <a:ext uri="{FF2B5EF4-FFF2-40B4-BE49-F238E27FC236}">
                  <a16:creationId xmlns:a16="http://schemas.microsoft.com/office/drawing/2014/main" id="{00000000-0008-0000-0700-000004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36869" name="終了" hidden="1">
              <a:extLst>
                <a:ext uri="{63B3BB69-23CF-44E3-9099-C40C66FF867C}">
                  <a14:compatExt spid="_x0000_s36869"/>
                </a:ext>
                <a:ext uri="{FF2B5EF4-FFF2-40B4-BE49-F238E27FC236}">
                  <a16:creationId xmlns:a16="http://schemas.microsoft.com/office/drawing/2014/main" id="{00000000-0008-0000-0700-000005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36870" name="印刷" hidden="1">
              <a:extLst>
                <a:ext uri="{63B3BB69-23CF-44E3-9099-C40C66FF867C}">
                  <a14:compatExt spid="_x0000_s36870"/>
                </a:ext>
                <a:ext uri="{FF2B5EF4-FFF2-40B4-BE49-F238E27FC236}">
                  <a16:creationId xmlns:a16="http://schemas.microsoft.com/office/drawing/2014/main" id="{00000000-0008-0000-0700-000006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36871" name="入力" hidden="1">
              <a:extLst>
                <a:ext uri="{63B3BB69-23CF-44E3-9099-C40C66FF867C}">
                  <a14:compatExt spid="_x0000_s36871"/>
                </a:ext>
                <a:ext uri="{FF2B5EF4-FFF2-40B4-BE49-F238E27FC236}">
                  <a16:creationId xmlns:a16="http://schemas.microsoft.com/office/drawing/2014/main" id="{00000000-0008-0000-0700-000007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36872" name="削除" hidden="1">
              <a:extLst>
                <a:ext uri="{63B3BB69-23CF-44E3-9099-C40C66FF867C}">
                  <a14:compatExt spid="_x0000_s36872"/>
                </a:ext>
                <a:ext uri="{FF2B5EF4-FFF2-40B4-BE49-F238E27FC236}">
                  <a16:creationId xmlns:a16="http://schemas.microsoft.com/office/drawing/2014/main" id="{00000000-0008-0000-0700-000008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36873" name="合計無" hidden="1">
              <a:extLst>
                <a:ext uri="{63B3BB69-23CF-44E3-9099-C40C66FF867C}">
                  <a14:compatExt spid="_x0000_s36873"/>
                </a:ext>
                <a:ext uri="{FF2B5EF4-FFF2-40B4-BE49-F238E27FC236}">
                  <a16:creationId xmlns:a16="http://schemas.microsoft.com/office/drawing/2014/main" id="{00000000-0008-0000-0700-000009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36874" name="ヘルプ" hidden="1">
              <a:extLst>
                <a:ext uri="{63B3BB69-23CF-44E3-9099-C40C66FF867C}">
                  <a14:compatExt spid="_x0000_s36874"/>
                </a:ext>
                <a:ext uri="{FF2B5EF4-FFF2-40B4-BE49-F238E27FC236}">
                  <a16:creationId xmlns:a16="http://schemas.microsoft.com/office/drawing/2014/main" id="{00000000-0008-0000-0700-00000A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36875" name="税無" hidden="1">
              <a:extLst>
                <a:ext uri="{63B3BB69-23CF-44E3-9099-C40C66FF867C}">
                  <a14:compatExt spid="_x0000_s36875"/>
                </a:ext>
                <a:ext uri="{FF2B5EF4-FFF2-40B4-BE49-F238E27FC236}">
                  <a16:creationId xmlns:a16="http://schemas.microsoft.com/office/drawing/2014/main" id="{00000000-0008-0000-0700-00000B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36876" name="画像" hidden="1">
              <a:extLst>
                <a:ext uri="{63B3BB69-23CF-44E3-9099-C40C66FF867C}">
                  <a14:compatExt spid="_x0000_s36876"/>
                </a:ext>
                <a:ext uri="{FF2B5EF4-FFF2-40B4-BE49-F238E27FC236}">
                  <a16:creationId xmlns:a16="http://schemas.microsoft.com/office/drawing/2014/main" id="{00000000-0008-0000-0700-00000C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36877" name="画像PW" hidden="1">
              <a:extLst>
                <a:ext uri="{63B3BB69-23CF-44E3-9099-C40C66FF867C}">
                  <a14:compatExt spid="_x0000_s36877"/>
                </a:ext>
                <a:ext uri="{FF2B5EF4-FFF2-40B4-BE49-F238E27FC236}">
                  <a16:creationId xmlns:a16="http://schemas.microsoft.com/office/drawing/2014/main" id="{00000000-0008-0000-0700-00000D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36878" name="明細入力" hidden="1">
              <a:extLst>
                <a:ext uri="{63B3BB69-23CF-44E3-9099-C40C66FF867C}">
                  <a14:compatExt spid="_x0000_s36878"/>
                </a:ext>
                <a:ext uri="{FF2B5EF4-FFF2-40B4-BE49-F238E27FC236}">
                  <a16:creationId xmlns:a16="http://schemas.microsoft.com/office/drawing/2014/main" id="{00000000-0008-0000-0700-00000E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36879" name="明細書" hidden="1">
              <a:extLst>
                <a:ext uri="{63B3BB69-23CF-44E3-9099-C40C66FF867C}">
                  <a14:compatExt spid="_x0000_s36879"/>
                </a:ext>
                <a:ext uri="{FF2B5EF4-FFF2-40B4-BE49-F238E27FC236}">
                  <a16:creationId xmlns:a16="http://schemas.microsoft.com/office/drawing/2014/main" id="{00000000-0008-0000-0700-00000F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1BEBB7C5-5B5B-4779-90E0-BD2640495FE1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34247899-F810-4165-A7F8-6BC88C998C97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059A8C78-009E-4619-AAEE-59DA2DB4ECC3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935DF37E-0440-490B-AD1F-84ED4A6CC2A9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36880" name="客呼" hidden="1">
              <a:extLst>
                <a:ext uri="{63B3BB69-23CF-44E3-9099-C40C66FF867C}">
                  <a14:compatExt spid="_x0000_s36880"/>
                </a:ext>
                <a:ext uri="{FF2B5EF4-FFF2-40B4-BE49-F238E27FC236}">
                  <a16:creationId xmlns:a16="http://schemas.microsoft.com/office/drawing/2014/main" id="{00000000-0008-0000-0700-000010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36881" name="Button 17" hidden="1">
              <a:extLst>
                <a:ext uri="{63B3BB69-23CF-44E3-9099-C40C66FF867C}">
                  <a14:compatExt spid="_x0000_s36881"/>
                </a:ext>
                <a:ext uri="{FF2B5EF4-FFF2-40B4-BE49-F238E27FC236}">
                  <a16:creationId xmlns:a16="http://schemas.microsoft.com/office/drawing/2014/main" id="{00000000-0008-0000-0700-00001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36882" name="担当呼出" hidden="1">
              <a:extLst>
                <a:ext uri="{63B3BB69-23CF-44E3-9099-C40C66FF867C}">
                  <a14:compatExt spid="_x0000_s36882"/>
                </a:ext>
                <a:ext uri="{FF2B5EF4-FFF2-40B4-BE49-F238E27FC236}">
                  <a16:creationId xmlns:a16="http://schemas.microsoft.com/office/drawing/2014/main" id="{00000000-0008-0000-0700-00001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36883" name="品名呼出01" hidden="1">
              <a:extLst>
                <a:ext uri="{63B3BB69-23CF-44E3-9099-C40C66FF867C}">
                  <a14:compatExt spid="_x0000_s36883"/>
                </a:ext>
                <a:ext uri="{FF2B5EF4-FFF2-40B4-BE49-F238E27FC236}">
                  <a16:creationId xmlns:a16="http://schemas.microsoft.com/office/drawing/2014/main" id="{00000000-0008-0000-0700-000013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36884" name="品名呼出02" hidden="1">
              <a:extLst>
                <a:ext uri="{63B3BB69-23CF-44E3-9099-C40C66FF867C}">
                  <a14:compatExt spid="_x0000_s36884"/>
                </a:ext>
                <a:ext uri="{FF2B5EF4-FFF2-40B4-BE49-F238E27FC236}">
                  <a16:creationId xmlns:a16="http://schemas.microsoft.com/office/drawing/2014/main" id="{00000000-0008-0000-0700-000014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36885" name="品名呼出03" hidden="1">
              <a:extLst>
                <a:ext uri="{63B3BB69-23CF-44E3-9099-C40C66FF867C}">
                  <a14:compatExt spid="_x0000_s36885"/>
                </a:ext>
                <a:ext uri="{FF2B5EF4-FFF2-40B4-BE49-F238E27FC236}">
                  <a16:creationId xmlns:a16="http://schemas.microsoft.com/office/drawing/2014/main" id="{00000000-0008-0000-0700-000015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36886" name="品名呼出04" hidden="1">
              <a:extLst>
                <a:ext uri="{63B3BB69-23CF-44E3-9099-C40C66FF867C}">
                  <a14:compatExt spid="_x0000_s36886"/>
                </a:ext>
                <a:ext uri="{FF2B5EF4-FFF2-40B4-BE49-F238E27FC236}">
                  <a16:creationId xmlns:a16="http://schemas.microsoft.com/office/drawing/2014/main" id="{00000000-0008-0000-0700-000016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36887" name="品名呼出05" hidden="1">
              <a:extLst>
                <a:ext uri="{63B3BB69-23CF-44E3-9099-C40C66FF867C}">
                  <a14:compatExt spid="_x0000_s36887"/>
                </a:ext>
                <a:ext uri="{FF2B5EF4-FFF2-40B4-BE49-F238E27FC236}">
                  <a16:creationId xmlns:a16="http://schemas.microsoft.com/office/drawing/2014/main" id="{00000000-0008-0000-0700-000017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36888" name="品名呼出06" hidden="1">
              <a:extLst>
                <a:ext uri="{63B3BB69-23CF-44E3-9099-C40C66FF867C}">
                  <a14:compatExt spid="_x0000_s36888"/>
                </a:ext>
                <a:ext uri="{FF2B5EF4-FFF2-40B4-BE49-F238E27FC236}">
                  <a16:creationId xmlns:a16="http://schemas.microsoft.com/office/drawing/2014/main" id="{00000000-0008-0000-0700-000018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36889" name="品名呼出07" hidden="1">
              <a:extLst>
                <a:ext uri="{63B3BB69-23CF-44E3-9099-C40C66FF867C}">
                  <a14:compatExt spid="_x0000_s36889"/>
                </a:ext>
                <a:ext uri="{FF2B5EF4-FFF2-40B4-BE49-F238E27FC236}">
                  <a16:creationId xmlns:a16="http://schemas.microsoft.com/office/drawing/2014/main" id="{00000000-0008-0000-0700-000019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36890" name="品名呼出08" hidden="1">
              <a:extLst>
                <a:ext uri="{63B3BB69-23CF-44E3-9099-C40C66FF867C}">
                  <a14:compatExt spid="_x0000_s36890"/>
                </a:ext>
                <a:ext uri="{FF2B5EF4-FFF2-40B4-BE49-F238E27FC236}">
                  <a16:creationId xmlns:a16="http://schemas.microsoft.com/office/drawing/2014/main" id="{00000000-0008-0000-0700-00001A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36891" name="品名呼出09" hidden="1">
              <a:extLst>
                <a:ext uri="{63B3BB69-23CF-44E3-9099-C40C66FF867C}">
                  <a14:compatExt spid="_x0000_s36891"/>
                </a:ext>
                <a:ext uri="{FF2B5EF4-FFF2-40B4-BE49-F238E27FC236}">
                  <a16:creationId xmlns:a16="http://schemas.microsoft.com/office/drawing/2014/main" id="{00000000-0008-0000-0700-00001B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36892" name="品名呼出10" hidden="1">
              <a:extLst>
                <a:ext uri="{63B3BB69-23CF-44E3-9099-C40C66FF867C}">
                  <a14:compatExt spid="_x0000_s36892"/>
                </a:ext>
                <a:ext uri="{FF2B5EF4-FFF2-40B4-BE49-F238E27FC236}">
                  <a16:creationId xmlns:a16="http://schemas.microsoft.com/office/drawing/2014/main" id="{00000000-0008-0000-0700-00001C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36893" name="品名呼出11" hidden="1">
              <a:extLst>
                <a:ext uri="{63B3BB69-23CF-44E3-9099-C40C66FF867C}">
                  <a14:compatExt spid="_x0000_s36893"/>
                </a:ext>
                <a:ext uri="{FF2B5EF4-FFF2-40B4-BE49-F238E27FC236}">
                  <a16:creationId xmlns:a16="http://schemas.microsoft.com/office/drawing/2014/main" id="{00000000-0008-0000-0700-00001D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36894" name="品名呼出12" hidden="1">
              <a:extLst>
                <a:ext uri="{63B3BB69-23CF-44E3-9099-C40C66FF867C}">
                  <a14:compatExt spid="_x0000_s36894"/>
                </a:ext>
                <a:ext uri="{FF2B5EF4-FFF2-40B4-BE49-F238E27FC236}">
                  <a16:creationId xmlns:a16="http://schemas.microsoft.com/office/drawing/2014/main" id="{00000000-0008-0000-0700-00001E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36895" name="更新" hidden="1">
              <a:extLst>
                <a:ext uri="{63B3BB69-23CF-44E3-9099-C40C66FF867C}">
                  <a14:compatExt spid="_x0000_s36895"/>
                </a:ext>
                <a:ext uri="{FF2B5EF4-FFF2-40B4-BE49-F238E27FC236}">
                  <a16:creationId xmlns:a16="http://schemas.microsoft.com/office/drawing/2014/main" id="{00000000-0008-0000-0700-00001F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36896" name="プレビュー" hidden="1">
              <a:extLst>
                <a:ext uri="{63B3BB69-23CF-44E3-9099-C40C66FF867C}">
                  <a14:compatExt spid="_x0000_s36896"/>
                </a:ext>
                <a:ext uri="{FF2B5EF4-FFF2-40B4-BE49-F238E27FC236}">
                  <a16:creationId xmlns:a16="http://schemas.microsoft.com/office/drawing/2014/main" id="{00000000-0008-0000-0700-000020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36897" name="環境設定" hidden="1">
              <a:extLst>
                <a:ext uri="{63B3BB69-23CF-44E3-9099-C40C66FF867C}">
                  <a14:compatExt spid="_x0000_s36897"/>
                </a:ext>
                <a:ext uri="{FF2B5EF4-FFF2-40B4-BE49-F238E27FC236}">
                  <a16:creationId xmlns:a16="http://schemas.microsoft.com/office/drawing/2014/main" id="{00000000-0008-0000-0700-00002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36898" name="詳細無" hidden="1">
              <a:extLst>
                <a:ext uri="{63B3BB69-23CF-44E3-9099-C40C66FF867C}">
                  <a14:compatExt spid="_x0000_s36898"/>
                </a:ext>
                <a:ext uri="{FF2B5EF4-FFF2-40B4-BE49-F238E27FC236}">
                  <a16:creationId xmlns:a16="http://schemas.microsoft.com/office/drawing/2014/main" id="{00000000-0008-0000-0700-00002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36899" name="電卓" hidden="1">
              <a:extLst>
                <a:ext uri="{63B3BB69-23CF-44E3-9099-C40C66FF867C}">
                  <a14:compatExt spid="_x0000_s36899"/>
                </a:ext>
                <a:ext uri="{FF2B5EF4-FFF2-40B4-BE49-F238E27FC236}">
                  <a16:creationId xmlns:a16="http://schemas.microsoft.com/office/drawing/2014/main" id="{00000000-0008-0000-0700-000023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36900" name="データ更新" hidden="1">
              <a:extLst>
                <a:ext uri="{63B3BB69-23CF-44E3-9099-C40C66FF867C}">
                  <a14:compatExt spid="_x0000_s36900"/>
                </a:ext>
                <a:ext uri="{FF2B5EF4-FFF2-40B4-BE49-F238E27FC236}">
                  <a16:creationId xmlns:a16="http://schemas.microsoft.com/office/drawing/2014/main" id="{00000000-0008-0000-0700-000024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36901" name="並替" hidden="1">
              <a:extLst>
                <a:ext uri="{63B3BB69-23CF-44E3-9099-C40C66FF867C}">
                  <a14:compatExt spid="_x0000_s36901"/>
                </a:ext>
                <a:ext uri="{FF2B5EF4-FFF2-40B4-BE49-F238E27FC236}">
                  <a16:creationId xmlns:a16="http://schemas.microsoft.com/office/drawing/2014/main" id="{00000000-0008-0000-0700-000025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36902" name="戻る2" hidden="1">
              <a:extLst>
                <a:ext uri="{63B3BB69-23CF-44E3-9099-C40C66FF867C}">
                  <a14:compatExt spid="_x0000_s36902"/>
                </a:ext>
                <a:ext uri="{FF2B5EF4-FFF2-40B4-BE49-F238E27FC236}">
                  <a16:creationId xmlns:a16="http://schemas.microsoft.com/office/drawing/2014/main" id="{00000000-0008-0000-0700-000026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36903" name="環境設定2" hidden="1">
              <a:extLst>
                <a:ext uri="{63B3BB69-23CF-44E3-9099-C40C66FF867C}">
                  <a14:compatExt spid="_x0000_s36903"/>
                </a:ext>
                <a:ext uri="{FF2B5EF4-FFF2-40B4-BE49-F238E27FC236}">
                  <a16:creationId xmlns:a16="http://schemas.microsoft.com/office/drawing/2014/main" id="{00000000-0008-0000-0700-000027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36904" name="再選択" hidden="1">
              <a:extLst>
                <a:ext uri="{63B3BB69-23CF-44E3-9099-C40C66FF867C}">
                  <a14:compatExt spid="_x0000_s36904"/>
                </a:ext>
                <a:ext uri="{FF2B5EF4-FFF2-40B4-BE49-F238E27FC236}">
                  <a16:creationId xmlns:a16="http://schemas.microsoft.com/office/drawing/2014/main" id="{00000000-0008-0000-0700-000028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36905" name="ﾃﾞｰﾀ処理" hidden="1">
              <a:extLst>
                <a:ext uri="{63B3BB69-23CF-44E3-9099-C40C66FF867C}">
                  <a14:compatExt spid="_x0000_s36905"/>
                </a:ext>
                <a:ext uri="{FF2B5EF4-FFF2-40B4-BE49-F238E27FC236}">
                  <a16:creationId xmlns:a16="http://schemas.microsoft.com/office/drawing/2014/main" id="{00000000-0008-0000-0700-000029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36906" name="Button 42" hidden="1">
              <a:extLst>
                <a:ext uri="{63B3BB69-23CF-44E3-9099-C40C66FF867C}">
                  <a14:compatExt spid="_x0000_s36906"/>
                </a:ext>
                <a:ext uri="{FF2B5EF4-FFF2-40B4-BE49-F238E27FC236}">
                  <a16:creationId xmlns:a16="http://schemas.microsoft.com/office/drawing/2014/main" id="{00000000-0008-0000-0700-00002A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36907" name="参照1" hidden="1">
              <a:extLst>
                <a:ext uri="{63B3BB69-23CF-44E3-9099-C40C66FF867C}">
                  <a14:compatExt spid="_x0000_s36907"/>
                </a:ext>
                <a:ext uri="{FF2B5EF4-FFF2-40B4-BE49-F238E27FC236}">
                  <a16:creationId xmlns:a16="http://schemas.microsoft.com/office/drawing/2014/main" id="{00000000-0008-0000-0700-00002B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36908" name="参照2" hidden="1">
              <a:extLst>
                <a:ext uri="{63B3BB69-23CF-44E3-9099-C40C66FF867C}">
                  <a14:compatExt spid="_x0000_s36908"/>
                </a:ext>
                <a:ext uri="{FF2B5EF4-FFF2-40B4-BE49-F238E27FC236}">
                  <a16:creationId xmlns:a16="http://schemas.microsoft.com/office/drawing/2014/main" id="{00000000-0008-0000-0700-00002C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36909" name="Button 45" hidden="1">
              <a:extLst>
                <a:ext uri="{63B3BB69-23CF-44E3-9099-C40C66FF867C}">
                  <a14:compatExt spid="_x0000_s36909"/>
                </a:ext>
                <a:ext uri="{FF2B5EF4-FFF2-40B4-BE49-F238E27FC236}">
                  <a16:creationId xmlns:a16="http://schemas.microsoft.com/office/drawing/2014/main" id="{00000000-0008-0000-0700-00002D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36910" name="Button 46" hidden="1">
              <a:extLst>
                <a:ext uri="{63B3BB69-23CF-44E3-9099-C40C66FF867C}">
                  <a14:compatExt spid="_x0000_s36910"/>
                </a:ext>
                <a:ext uri="{FF2B5EF4-FFF2-40B4-BE49-F238E27FC236}">
                  <a16:creationId xmlns:a16="http://schemas.microsoft.com/office/drawing/2014/main" id="{00000000-0008-0000-0700-00002E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34ABB90C-18F2-46E4-BE9D-675DAB63DBC6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94F855E4-60C1-4D44-9111-180DC9A4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06DA2B9A-679B-424B-AF8D-98AEA67AB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9098942-2A08-4FEE-8A1B-9C205FA6B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46081" name="表示1" hidden="1">
              <a:extLst>
                <a:ext uri="{63B3BB69-23CF-44E3-9099-C40C66FF867C}">
                  <a14:compatExt spid="_x0000_s46081"/>
                </a:ext>
                <a:ext uri="{FF2B5EF4-FFF2-40B4-BE49-F238E27FC236}">
                  <a16:creationId xmlns:a16="http://schemas.microsoft.com/office/drawing/2014/main" id="{00000000-0008-0000-0800-00000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46082" name="表示2" hidden="1">
              <a:extLst>
                <a:ext uri="{63B3BB69-23CF-44E3-9099-C40C66FF867C}">
                  <a14:compatExt spid="_x0000_s46082"/>
                </a:ext>
                <a:ext uri="{FF2B5EF4-FFF2-40B4-BE49-F238E27FC236}">
                  <a16:creationId xmlns:a16="http://schemas.microsoft.com/office/drawing/2014/main" id="{00000000-0008-0000-0800-00000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46083" name="呼出" hidden="1">
              <a:extLst>
                <a:ext uri="{63B3BB69-23CF-44E3-9099-C40C66FF867C}">
                  <a14:compatExt spid="_x0000_s46083"/>
                </a:ext>
                <a:ext uri="{FF2B5EF4-FFF2-40B4-BE49-F238E27FC236}">
                  <a16:creationId xmlns:a16="http://schemas.microsoft.com/office/drawing/2014/main" id="{00000000-0008-0000-0800-000003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46084" name="保存" hidden="1">
              <a:extLst>
                <a:ext uri="{63B3BB69-23CF-44E3-9099-C40C66FF867C}">
                  <a14:compatExt spid="_x0000_s46084"/>
                </a:ext>
                <a:ext uri="{FF2B5EF4-FFF2-40B4-BE49-F238E27FC236}">
                  <a16:creationId xmlns:a16="http://schemas.microsoft.com/office/drawing/2014/main" id="{00000000-0008-0000-0800-000004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46085" name="終了" hidden="1">
              <a:extLst>
                <a:ext uri="{63B3BB69-23CF-44E3-9099-C40C66FF867C}">
                  <a14:compatExt spid="_x0000_s46085"/>
                </a:ext>
                <a:ext uri="{FF2B5EF4-FFF2-40B4-BE49-F238E27FC236}">
                  <a16:creationId xmlns:a16="http://schemas.microsoft.com/office/drawing/2014/main" id="{00000000-0008-0000-0800-000005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46086" name="印刷" hidden="1">
              <a:extLst>
                <a:ext uri="{63B3BB69-23CF-44E3-9099-C40C66FF867C}">
                  <a14:compatExt spid="_x0000_s46086"/>
                </a:ext>
                <a:ext uri="{FF2B5EF4-FFF2-40B4-BE49-F238E27FC236}">
                  <a16:creationId xmlns:a16="http://schemas.microsoft.com/office/drawing/2014/main" id="{00000000-0008-0000-0800-000006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46087" name="入力" hidden="1">
              <a:extLst>
                <a:ext uri="{63B3BB69-23CF-44E3-9099-C40C66FF867C}">
                  <a14:compatExt spid="_x0000_s46087"/>
                </a:ext>
                <a:ext uri="{FF2B5EF4-FFF2-40B4-BE49-F238E27FC236}">
                  <a16:creationId xmlns:a16="http://schemas.microsoft.com/office/drawing/2014/main" id="{00000000-0008-0000-0800-000007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46088" name="削除" hidden="1">
              <a:extLst>
                <a:ext uri="{63B3BB69-23CF-44E3-9099-C40C66FF867C}">
                  <a14:compatExt spid="_x0000_s46088"/>
                </a:ext>
                <a:ext uri="{FF2B5EF4-FFF2-40B4-BE49-F238E27FC236}">
                  <a16:creationId xmlns:a16="http://schemas.microsoft.com/office/drawing/2014/main" id="{00000000-0008-0000-0800-000008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46089" name="合計無" hidden="1">
              <a:extLst>
                <a:ext uri="{63B3BB69-23CF-44E3-9099-C40C66FF867C}">
                  <a14:compatExt spid="_x0000_s46089"/>
                </a:ext>
                <a:ext uri="{FF2B5EF4-FFF2-40B4-BE49-F238E27FC236}">
                  <a16:creationId xmlns:a16="http://schemas.microsoft.com/office/drawing/2014/main" id="{00000000-0008-0000-0800-000009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46090" name="ヘルプ" hidden="1">
              <a:extLst>
                <a:ext uri="{63B3BB69-23CF-44E3-9099-C40C66FF867C}">
                  <a14:compatExt spid="_x0000_s46090"/>
                </a:ext>
                <a:ext uri="{FF2B5EF4-FFF2-40B4-BE49-F238E27FC236}">
                  <a16:creationId xmlns:a16="http://schemas.microsoft.com/office/drawing/2014/main" id="{00000000-0008-0000-0800-00000A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46091" name="税無" hidden="1">
              <a:extLst>
                <a:ext uri="{63B3BB69-23CF-44E3-9099-C40C66FF867C}">
                  <a14:compatExt spid="_x0000_s46091"/>
                </a:ext>
                <a:ext uri="{FF2B5EF4-FFF2-40B4-BE49-F238E27FC236}">
                  <a16:creationId xmlns:a16="http://schemas.microsoft.com/office/drawing/2014/main" id="{00000000-0008-0000-0800-00000B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46092" name="画像" hidden="1">
              <a:extLst>
                <a:ext uri="{63B3BB69-23CF-44E3-9099-C40C66FF867C}">
                  <a14:compatExt spid="_x0000_s46092"/>
                </a:ext>
                <a:ext uri="{FF2B5EF4-FFF2-40B4-BE49-F238E27FC236}">
                  <a16:creationId xmlns:a16="http://schemas.microsoft.com/office/drawing/2014/main" id="{00000000-0008-0000-0800-00000C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46093" name="画像PW" hidden="1">
              <a:extLst>
                <a:ext uri="{63B3BB69-23CF-44E3-9099-C40C66FF867C}">
                  <a14:compatExt spid="_x0000_s46093"/>
                </a:ext>
                <a:ext uri="{FF2B5EF4-FFF2-40B4-BE49-F238E27FC236}">
                  <a16:creationId xmlns:a16="http://schemas.microsoft.com/office/drawing/2014/main" id="{00000000-0008-0000-0800-00000D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46094" name="明細入力" hidden="1">
              <a:extLst>
                <a:ext uri="{63B3BB69-23CF-44E3-9099-C40C66FF867C}">
                  <a14:compatExt spid="_x0000_s46094"/>
                </a:ext>
                <a:ext uri="{FF2B5EF4-FFF2-40B4-BE49-F238E27FC236}">
                  <a16:creationId xmlns:a16="http://schemas.microsoft.com/office/drawing/2014/main" id="{00000000-0008-0000-0800-00000E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46095" name="明細書" hidden="1">
              <a:extLst>
                <a:ext uri="{63B3BB69-23CF-44E3-9099-C40C66FF867C}">
                  <a14:compatExt spid="_x0000_s46095"/>
                </a:ext>
                <a:ext uri="{FF2B5EF4-FFF2-40B4-BE49-F238E27FC236}">
                  <a16:creationId xmlns:a16="http://schemas.microsoft.com/office/drawing/2014/main" id="{00000000-0008-0000-0800-00000F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349D29AB-B460-4869-9EDA-709DDF1ED346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71333B90-5E77-4FBB-ABEC-2906EB2AB87F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C9214E58-68C2-4F46-989E-8BB1748ED1C7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28E648DB-B6B8-4AC6-A32A-5086F68B2B6A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46096" name="客呼" hidden="1">
              <a:extLst>
                <a:ext uri="{63B3BB69-23CF-44E3-9099-C40C66FF867C}">
                  <a14:compatExt spid="_x0000_s46096"/>
                </a:ext>
                <a:ext uri="{FF2B5EF4-FFF2-40B4-BE49-F238E27FC236}">
                  <a16:creationId xmlns:a16="http://schemas.microsoft.com/office/drawing/2014/main" id="{00000000-0008-0000-0800-000010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46097" name="Button 17" hidden="1">
              <a:extLst>
                <a:ext uri="{63B3BB69-23CF-44E3-9099-C40C66FF867C}">
                  <a14:compatExt spid="_x0000_s46097"/>
                </a:ext>
                <a:ext uri="{FF2B5EF4-FFF2-40B4-BE49-F238E27FC236}">
                  <a16:creationId xmlns:a16="http://schemas.microsoft.com/office/drawing/2014/main" id="{00000000-0008-0000-0800-00001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46098" name="担当呼出" hidden="1">
              <a:extLst>
                <a:ext uri="{63B3BB69-23CF-44E3-9099-C40C66FF867C}">
                  <a14:compatExt spid="_x0000_s46098"/>
                </a:ext>
                <a:ext uri="{FF2B5EF4-FFF2-40B4-BE49-F238E27FC236}">
                  <a16:creationId xmlns:a16="http://schemas.microsoft.com/office/drawing/2014/main" id="{00000000-0008-0000-0800-00001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46099" name="品名呼出01" hidden="1">
              <a:extLst>
                <a:ext uri="{63B3BB69-23CF-44E3-9099-C40C66FF867C}">
                  <a14:compatExt spid="_x0000_s46099"/>
                </a:ext>
                <a:ext uri="{FF2B5EF4-FFF2-40B4-BE49-F238E27FC236}">
                  <a16:creationId xmlns:a16="http://schemas.microsoft.com/office/drawing/2014/main" id="{00000000-0008-0000-0800-000013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46100" name="品名呼出02" hidden="1">
              <a:extLst>
                <a:ext uri="{63B3BB69-23CF-44E3-9099-C40C66FF867C}">
                  <a14:compatExt spid="_x0000_s46100"/>
                </a:ext>
                <a:ext uri="{FF2B5EF4-FFF2-40B4-BE49-F238E27FC236}">
                  <a16:creationId xmlns:a16="http://schemas.microsoft.com/office/drawing/2014/main" id="{00000000-0008-0000-0800-000014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46101" name="品名呼出03" hidden="1">
              <a:extLst>
                <a:ext uri="{63B3BB69-23CF-44E3-9099-C40C66FF867C}">
                  <a14:compatExt spid="_x0000_s46101"/>
                </a:ext>
                <a:ext uri="{FF2B5EF4-FFF2-40B4-BE49-F238E27FC236}">
                  <a16:creationId xmlns:a16="http://schemas.microsoft.com/office/drawing/2014/main" id="{00000000-0008-0000-0800-000015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46102" name="品名呼出04" hidden="1">
              <a:extLst>
                <a:ext uri="{63B3BB69-23CF-44E3-9099-C40C66FF867C}">
                  <a14:compatExt spid="_x0000_s46102"/>
                </a:ext>
                <a:ext uri="{FF2B5EF4-FFF2-40B4-BE49-F238E27FC236}">
                  <a16:creationId xmlns:a16="http://schemas.microsoft.com/office/drawing/2014/main" id="{00000000-0008-0000-0800-000016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46103" name="品名呼出05" hidden="1">
              <a:extLst>
                <a:ext uri="{63B3BB69-23CF-44E3-9099-C40C66FF867C}">
                  <a14:compatExt spid="_x0000_s46103"/>
                </a:ext>
                <a:ext uri="{FF2B5EF4-FFF2-40B4-BE49-F238E27FC236}">
                  <a16:creationId xmlns:a16="http://schemas.microsoft.com/office/drawing/2014/main" id="{00000000-0008-0000-0800-000017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46104" name="品名呼出06" hidden="1">
              <a:extLst>
                <a:ext uri="{63B3BB69-23CF-44E3-9099-C40C66FF867C}">
                  <a14:compatExt spid="_x0000_s46104"/>
                </a:ext>
                <a:ext uri="{FF2B5EF4-FFF2-40B4-BE49-F238E27FC236}">
                  <a16:creationId xmlns:a16="http://schemas.microsoft.com/office/drawing/2014/main" id="{00000000-0008-0000-0800-000018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46105" name="品名呼出07" hidden="1">
              <a:extLst>
                <a:ext uri="{63B3BB69-23CF-44E3-9099-C40C66FF867C}">
                  <a14:compatExt spid="_x0000_s46105"/>
                </a:ext>
                <a:ext uri="{FF2B5EF4-FFF2-40B4-BE49-F238E27FC236}">
                  <a16:creationId xmlns:a16="http://schemas.microsoft.com/office/drawing/2014/main" id="{00000000-0008-0000-0800-000019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46106" name="品名呼出08" hidden="1">
              <a:extLst>
                <a:ext uri="{63B3BB69-23CF-44E3-9099-C40C66FF867C}">
                  <a14:compatExt spid="_x0000_s46106"/>
                </a:ext>
                <a:ext uri="{FF2B5EF4-FFF2-40B4-BE49-F238E27FC236}">
                  <a16:creationId xmlns:a16="http://schemas.microsoft.com/office/drawing/2014/main" id="{00000000-0008-0000-0800-00001A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46107" name="品名呼出09" hidden="1">
              <a:extLst>
                <a:ext uri="{63B3BB69-23CF-44E3-9099-C40C66FF867C}">
                  <a14:compatExt spid="_x0000_s46107"/>
                </a:ext>
                <a:ext uri="{FF2B5EF4-FFF2-40B4-BE49-F238E27FC236}">
                  <a16:creationId xmlns:a16="http://schemas.microsoft.com/office/drawing/2014/main" id="{00000000-0008-0000-0800-00001B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46108" name="品名呼出10" hidden="1">
              <a:extLst>
                <a:ext uri="{63B3BB69-23CF-44E3-9099-C40C66FF867C}">
                  <a14:compatExt spid="_x0000_s46108"/>
                </a:ext>
                <a:ext uri="{FF2B5EF4-FFF2-40B4-BE49-F238E27FC236}">
                  <a16:creationId xmlns:a16="http://schemas.microsoft.com/office/drawing/2014/main" id="{00000000-0008-0000-0800-00001C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46109" name="品名呼出11" hidden="1">
              <a:extLst>
                <a:ext uri="{63B3BB69-23CF-44E3-9099-C40C66FF867C}">
                  <a14:compatExt spid="_x0000_s46109"/>
                </a:ext>
                <a:ext uri="{FF2B5EF4-FFF2-40B4-BE49-F238E27FC236}">
                  <a16:creationId xmlns:a16="http://schemas.microsoft.com/office/drawing/2014/main" id="{00000000-0008-0000-0800-00001D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46110" name="品名呼出12" hidden="1">
              <a:extLst>
                <a:ext uri="{63B3BB69-23CF-44E3-9099-C40C66FF867C}">
                  <a14:compatExt spid="_x0000_s46110"/>
                </a:ext>
                <a:ext uri="{FF2B5EF4-FFF2-40B4-BE49-F238E27FC236}">
                  <a16:creationId xmlns:a16="http://schemas.microsoft.com/office/drawing/2014/main" id="{00000000-0008-0000-0800-00001E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46111" name="更新" hidden="1">
              <a:extLst>
                <a:ext uri="{63B3BB69-23CF-44E3-9099-C40C66FF867C}">
                  <a14:compatExt spid="_x0000_s46111"/>
                </a:ext>
                <a:ext uri="{FF2B5EF4-FFF2-40B4-BE49-F238E27FC236}">
                  <a16:creationId xmlns:a16="http://schemas.microsoft.com/office/drawing/2014/main" id="{00000000-0008-0000-0800-00001F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46112" name="プレビュー" hidden="1">
              <a:extLst>
                <a:ext uri="{63B3BB69-23CF-44E3-9099-C40C66FF867C}">
                  <a14:compatExt spid="_x0000_s46112"/>
                </a:ext>
                <a:ext uri="{FF2B5EF4-FFF2-40B4-BE49-F238E27FC236}">
                  <a16:creationId xmlns:a16="http://schemas.microsoft.com/office/drawing/2014/main" id="{00000000-0008-0000-0800-000020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46113" name="環境設定" hidden="1">
              <a:extLst>
                <a:ext uri="{63B3BB69-23CF-44E3-9099-C40C66FF867C}">
                  <a14:compatExt spid="_x0000_s46113"/>
                </a:ext>
                <a:ext uri="{FF2B5EF4-FFF2-40B4-BE49-F238E27FC236}">
                  <a16:creationId xmlns:a16="http://schemas.microsoft.com/office/drawing/2014/main" id="{00000000-0008-0000-0800-000021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46114" name="詳細無" hidden="1">
              <a:extLst>
                <a:ext uri="{63B3BB69-23CF-44E3-9099-C40C66FF867C}">
                  <a14:compatExt spid="_x0000_s46114"/>
                </a:ext>
                <a:ext uri="{FF2B5EF4-FFF2-40B4-BE49-F238E27FC236}">
                  <a16:creationId xmlns:a16="http://schemas.microsoft.com/office/drawing/2014/main" id="{00000000-0008-0000-0800-000022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46115" name="電卓" hidden="1">
              <a:extLst>
                <a:ext uri="{63B3BB69-23CF-44E3-9099-C40C66FF867C}">
                  <a14:compatExt spid="_x0000_s46115"/>
                </a:ext>
                <a:ext uri="{FF2B5EF4-FFF2-40B4-BE49-F238E27FC236}">
                  <a16:creationId xmlns:a16="http://schemas.microsoft.com/office/drawing/2014/main" id="{00000000-0008-0000-0800-000023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46116" name="データ更新" hidden="1">
              <a:extLst>
                <a:ext uri="{63B3BB69-23CF-44E3-9099-C40C66FF867C}">
                  <a14:compatExt spid="_x0000_s46116"/>
                </a:ext>
                <a:ext uri="{FF2B5EF4-FFF2-40B4-BE49-F238E27FC236}">
                  <a16:creationId xmlns:a16="http://schemas.microsoft.com/office/drawing/2014/main" id="{00000000-0008-0000-0800-000024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46117" name="並替" hidden="1">
              <a:extLst>
                <a:ext uri="{63B3BB69-23CF-44E3-9099-C40C66FF867C}">
                  <a14:compatExt spid="_x0000_s46117"/>
                </a:ext>
                <a:ext uri="{FF2B5EF4-FFF2-40B4-BE49-F238E27FC236}">
                  <a16:creationId xmlns:a16="http://schemas.microsoft.com/office/drawing/2014/main" id="{00000000-0008-0000-0800-000025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46118" name="戻る2" hidden="1">
              <a:extLst>
                <a:ext uri="{63B3BB69-23CF-44E3-9099-C40C66FF867C}">
                  <a14:compatExt spid="_x0000_s46118"/>
                </a:ext>
                <a:ext uri="{FF2B5EF4-FFF2-40B4-BE49-F238E27FC236}">
                  <a16:creationId xmlns:a16="http://schemas.microsoft.com/office/drawing/2014/main" id="{00000000-0008-0000-0800-000026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46119" name="環境設定2" hidden="1">
              <a:extLst>
                <a:ext uri="{63B3BB69-23CF-44E3-9099-C40C66FF867C}">
                  <a14:compatExt spid="_x0000_s46119"/>
                </a:ext>
                <a:ext uri="{FF2B5EF4-FFF2-40B4-BE49-F238E27FC236}">
                  <a16:creationId xmlns:a16="http://schemas.microsoft.com/office/drawing/2014/main" id="{00000000-0008-0000-0800-000027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46120" name="再選択" hidden="1">
              <a:extLst>
                <a:ext uri="{63B3BB69-23CF-44E3-9099-C40C66FF867C}">
                  <a14:compatExt spid="_x0000_s46120"/>
                </a:ext>
                <a:ext uri="{FF2B5EF4-FFF2-40B4-BE49-F238E27FC236}">
                  <a16:creationId xmlns:a16="http://schemas.microsoft.com/office/drawing/2014/main" id="{00000000-0008-0000-0800-000028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46121" name="ﾃﾞｰﾀ処理" hidden="1">
              <a:extLst>
                <a:ext uri="{63B3BB69-23CF-44E3-9099-C40C66FF867C}">
                  <a14:compatExt spid="_x0000_s46121"/>
                </a:ext>
                <a:ext uri="{FF2B5EF4-FFF2-40B4-BE49-F238E27FC236}">
                  <a16:creationId xmlns:a16="http://schemas.microsoft.com/office/drawing/2014/main" id="{00000000-0008-0000-0800-000029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46122" name="Button 42" hidden="1">
              <a:extLst>
                <a:ext uri="{63B3BB69-23CF-44E3-9099-C40C66FF867C}">
                  <a14:compatExt spid="_x0000_s46122"/>
                </a:ext>
                <a:ext uri="{FF2B5EF4-FFF2-40B4-BE49-F238E27FC236}">
                  <a16:creationId xmlns:a16="http://schemas.microsoft.com/office/drawing/2014/main" id="{00000000-0008-0000-0800-00002A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46123" name="参照1" hidden="1">
              <a:extLst>
                <a:ext uri="{63B3BB69-23CF-44E3-9099-C40C66FF867C}">
                  <a14:compatExt spid="_x0000_s46123"/>
                </a:ext>
                <a:ext uri="{FF2B5EF4-FFF2-40B4-BE49-F238E27FC236}">
                  <a16:creationId xmlns:a16="http://schemas.microsoft.com/office/drawing/2014/main" id="{00000000-0008-0000-0800-00002B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46124" name="参照2" hidden="1">
              <a:extLst>
                <a:ext uri="{63B3BB69-23CF-44E3-9099-C40C66FF867C}">
                  <a14:compatExt spid="_x0000_s46124"/>
                </a:ext>
                <a:ext uri="{FF2B5EF4-FFF2-40B4-BE49-F238E27FC236}">
                  <a16:creationId xmlns:a16="http://schemas.microsoft.com/office/drawing/2014/main" id="{00000000-0008-0000-0800-00002C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46125" name="Button 45" hidden="1">
              <a:extLst>
                <a:ext uri="{63B3BB69-23CF-44E3-9099-C40C66FF867C}">
                  <a14:compatExt spid="_x0000_s46125"/>
                </a:ext>
                <a:ext uri="{FF2B5EF4-FFF2-40B4-BE49-F238E27FC236}">
                  <a16:creationId xmlns:a16="http://schemas.microsoft.com/office/drawing/2014/main" id="{00000000-0008-0000-0800-00002D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46126" name="Button 46" hidden="1">
              <a:extLst>
                <a:ext uri="{63B3BB69-23CF-44E3-9099-C40C66FF867C}">
                  <a14:compatExt spid="_x0000_s46126"/>
                </a:ext>
                <a:ext uri="{FF2B5EF4-FFF2-40B4-BE49-F238E27FC236}">
                  <a16:creationId xmlns:a16="http://schemas.microsoft.com/office/drawing/2014/main" id="{00000000-0008-0000-0800-00002EB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EC64A448-4A20-4DF2-AE1D-6F6135ECACA9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67753723-607D-40C8-91D0-9D4CD920D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582B13C8-7A98-4CE1-915E-C922C6ACA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E5E3BDA8-865C-4B92-8BC6-001CDA1AD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21505" name="表示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9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21506" name="表示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09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21507" name="呼出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09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21508" name="保存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00000000-0008-0000-0900-00000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21509" name="終了" hidden="1">
              <a:extLst>
                <a:ext uri="{63B3BB69-23CF-44E3-9099-C40C66FF867C}">
                  <a14:compatExt spid="_x0000_s21509"/>
                </a:ext>
                <a:ext uri="{FF2B5EF4-FFF2-40B4-BE49-F238E27FC236}">
                  <a16:creationId xmlns:a16="http://schemas.microsoft.com/office/drawing/2014/main" id="{00000000-0008-0000-0900-00000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21510" name="印刷" hidden="1">
              <a:extLst>
                <a:ext uri="{63B3BB69-23CF-44E3-9099-C40C66FF867C}">
                  <a14:compatExt spid="_x0000_s21510"/>
                </a:ext>
                <a:ext uri="{FF2B5EF4-FFF2-40B4-BE49-F238E27FC236}">
                  <a16:creationId xmlns:a16="http://schemas.microsoft.com/office/drawing/2014/main" id="{00000000-0008-0000-0900-00000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21511" name="入力" hidden="1">
              <a:extLst>
                <a:ext uri="{63B3BB69-23CF-44E3-9099-C40C66FF867C}">
                  <a14:compatExt spid="_x0000_s21511"/>
                </a:ext>
                <a:ext uri="{FF2B5EF4-FFF2-40B4-BE49-F238E27FC236}">
                  <a16:creationId xmlns:a16="http://schemas.microsoft.com/office/drawing/2014/main" id="{00000000-0008-0000-0900-00000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21512" name="削除" hidden="1">
              <a:extLst>
                <a:ext uri="{63B3BB69-23CF-44E3-9099-C40C66FF867C}">
                  <a14:compatExt spid="_x0000_s21512"/>
                </a:ext>
                <a:ext uri="{FF2B5EF4-FFF2-40B4-BE49-F238E27FC236}">
                  <a16:creationId xmlns:a16="http://schemas.microsoft.com/office/drawing/2014/main" id="{00000000-0008-0000-0900-00000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21513" name="合計無" hidden="1">
              <a:extLst>
                <a:ext uri="{63B3BB69-23CF-44E3-9099-C40C66FF867C}">
                  <a14:compatExt spid="_x0000_s21513"/>
                </a:ext>
                <a:ext uri="{FF2B5EF4-FFF2-40B4-BE49-F238E27FC236}">
                  <a16:creationId xmlns:a16="http://schemas.microsoft.com/office/drawing/2014/main" id="{00000000-0008-0000-0900-00000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21514" name="ヘルプ" hidden="1">
              <a:extLst>
                <a:ext uri="{63B3BB69-23CF-44E3-9099-C40C66FF867C}">
                  <a14:compatExt spid="_x0000_s21514"/>
                </a:ext>
                <a:ext uri="{FF2B5EF4-FFF2-40B4-BE49-F238E27FC236}">
                  <a16:creationId xmlns:a16="http://schemas.microsoft.com/office/drawing/2014/main" id="{00000000-0008-0000-0900-00000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21515" name="税無" hidden="1">
              <a:extLst>
                <a:ext uri="{63B3BB69-23CF-44E3-9099-C40C66FF867C}">
                  <a14:compatExt spid="_x0000_s21515"/>
                </a:ext>
                <a:ext uri="{FF2B5EF4-FFF2-40B4-BE49-F238E27FC236}">
                  <a16:creationId xmlns:a16="http://schemas.microsoft.com/office/drawing/2014/main" id="{00000000-0008-0000-0900-00000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21516" name="画像" hidden="1">
              <a:extLst>
                <a:ext uri="{63B3BB69-23CF-44E3-9099-C40C66FF867C}">
                  <a14:compatExt spid="_x0000_s21516"/>
                </a:ext>
                <a:ext uri="{FF2B5EF4-FFF2-40B4-BE49-F238E27FC236}">
                  <a16:creationId xmlns:a16="http://schemas.microsoft.com/office/drawing/2014/main" id="{00000000-0008-0000-0900-00000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21517" name="画像PW" hidden="1">
              <a:extLst>
                <a:ext uri="{63B3BB69-23CF-44E3-9099-C40C66FF867C}">
                  <a14:compatExt spid="_x0000_s21517"/>
                </a:ext>
                <a:ext uri="{FF2B5EF4-FFF2-40B4-BE49-F238E27FC236}">
                  <a16:creationId xmlns:a16="http://schemas.microsoft.com/office/drawing/2014/main" id="{00000000-0008-0000-0900-00000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21518" name="明細入力" hidden="1">
              <a:extLst>
                <a:ext uri="{63B3BB69-23CF-44E3-9099-C40C66FF867C}">
                  <a14:compatExt spid="_x0000_s21518"/>
                </a:ext>
                <a:ext uri="{FF2B5EF4-FFF2-40B4-BE49-F238E27FC236}">
                  <a16:creationId xmlns:a16="http://schemas.microsoft.com/office/drawing/2014/main" id="{00000000-0008-0000-0900-00000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21519" name="明細書" hidden="1">
              <a:extLst>
                <a:ext uri="{63B3BB69-23CF-44E3-9099-C40C66FF867C}">
                  <a14:compatExt spid="_x0000_s21519"/>
                </a:ext>
                <a:ext uri="{FF2B5EF4-FFF2-40B4-BE49-F238E27FC236}">
                  <a16:creationId xmlns:a16="http://schemas.microsoft.com/office/drawing/2014/main" id="{00000000-0008-0000-0900-00000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5BB81A22-FA6E-46EB-9A2F-DC94E237F625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918A4BCA-16B6-4E4A-94E8-3A6792E5EBC4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D6817664-9584-4C70-8E87-345CA647B7BB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B78D80FD-CE1E-4AB4-9F32-5EF770B93F92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21520" name="客呼" hidden="1">
              <a:extLst>
                <a:ext uri="{63B3BB69-23CF-44E3-9099-C40C66FF867C}">
                  <a14:compatExt spid="_x0000_s21520"/>
                </a:ext>
                <a:ext uri="{FF2B5EF4-FFF2-40B4-BE49-F238E27FC236}">
                  <a16:creationId xmlns:a16="http://schemas.microsoft.com/office/drawing/2014/main" id="{00000000-0008-0000-0900-00001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21521" name="Button 17" hidden="1">
              <a:extLst>
                <a:ext uri="{63B3BB69-23CF-44E3-9099-C40C66FF867C}">
                  <a14:compatExt spid="_x0000_s21521"/>
                </a:ext>
                <a:ext uri="{FF2B5EF4-FFF2-40B4-BE49-F238E27FC236}">
                  <a16:creationId xmlns:a16="http://schemas.microsoft.com/office/drawing/2014/main" id="{00000000-0008-0000-0900-00001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21522" name="担当呼出" hidden="1">
              <a:extLst>
                <a:ext uri="{63B3BB69-23CF-44E3-9099-C40C66FF867C}">
                  <a14:compatExt spid="_x0000_s21522"/>
                </a:ext>
                <a:ext uri="{FF2B5EF4-FFF2-40B4-BE49-F238E27FC236}">
                  <a16:creationId xmlns:a16="http://schemas.microsoft.com/office/drawing/2014/main" id="{00000000-0008-0000-0900-00001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21523" name="品名呼出01" hidden="1">
              <a:extLst>
                <a:ext uri="{63B3BB69-23CF-44E3-9099-C40C66FF867C}">
                  <a14:compatExt spid="_x0000_s21523"/>
                </a:ext>
                <a:ext uri="{FF2B5EF4-FFF2-40B4-BE49-F238E27FC236}">
                  <a16:creationId xmlns:a16="http://schemas.microsoft.com/office/drawing/2014/main" id="{00000000-0008-0000-0900-00001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21524" name="品名呼出02" hidden="1">
              <a:extLst>
                <a:ext uri="{63B3BB69-23CF-44E3-9099-C40C66FF867C}">
                  <a14:compatExt spid="_x0000_s21524"/>
                </a:ext>
                <a:ext uri="{FF2B5EF4-FFF2-40B4-BE49-F238E27FC236}">
                  <a16:creationId xmlns:a16="http://schemas.microsoft.com/office/drawing/2014/main" id="{00000000-0008-0000-0900-00001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21525" name="品名呼出03" hidden="1">
              <a:extLst>
                <a:ext uri="{63B3BB69-23CF-44E3-9099-C40C66FF867C}">
                  <a14:compatExt spid="_x0000_s21525"/>
                </a:ext>
                <a:ext uri="{FF2B5EF4-FFF2-40B4-BE49-F238E27FC236}">
                  <a16:creationId xmlns:a16="http://schemas.microsoft.com/office/drawing/2014/main" id="{00000000-0008-0000-0900-00001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21526" name="品名呼出04" hidden="1">
              <a:extLst>
                <a:ext uri="{63B3BB69-23CF-44E3-9099-C40C66FF867C}">
                  <a14:compatExt spid="_x0000_s21526"/>
                </a:ext>
                <a:ext uri="{FF2B5EF4-FFF2-40B4-BE49-F238E27FC236}">
                  <a16:creationId xmlns:a16="http://schemas.microsoft.com/office/drawing/2014/main" id="{00000000-0008-0000-0900-00001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21527" name="品名呼出05" hidden="1">
              <a:extLst>
                <a:ext uri="{63B3BB69-23CF-44E3-9099-C40C66FF867C}">
                  <a14:compatExt spid="_x0000_s21527"/>
                </a:ext>
                <a:ext uri="{FF2B5EF4-FFF2-40B4-BE49-F238E27FC236}">
                  <a16:creationId xmlns:a16="http://schemas.microsoft.com/office/drawing/2014/main" id="{00000000-0008-0000-0900-00001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21528" name="品名呼出06" hidden="1">
              <a:extLst>
                <a:ext uri="{63B3BB69-23CF-44E3-9099-C40C66FF867C}">
                  <a14:compatExt spid="_x0000_s21528"/>
                </a:ext>
                <a:ext uri="{FF2B5EF4-FFF2-40B4-BE49-F238E27FC236}">
                  <a16:creationId xmlns:a16="http://schemas.microsoft.com/office/drawing/2014/main" id="{00000000-0008-0000-0900-00001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21529" name="品名呼出07" hidden="1">
              <a:extLst>
                <a:ext uri="{63B3BB69-23CF-44E3-9099-C40C66FF867C}">
                  <a14:compatExt spid="_x0000_s21529"/>
                </a:ext>
                <a:ext uri="{FF2B5EF4-FFF2-40B4-BE49-F238E27FC236}">
                  <a16:creationId xmlns:a16="http://schemas.microsoft.com/office/drawing/2014/main" id="{00000000-0008-0000-0900-00001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21530" name="品名呼出08" hidden="1">
              <a:extLst>
                <a:ext uri="{63B3BB69-23CF-44E3-9099-C40C66FF867C}">
                  <a14:compatExt spid="_x0000_s21530"/>
                </a:ext>
                <a:ext uri="{FF2B5EF4-FFF2-40B4-BE49-F238E27FC236}">
                  <a16:creationId xmlns:a16="http://schemas.microsoft.com/office/drawing/2014/main" id="{00000000-0008-0000-0900-00001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21531" name="品名呼出09" hidden="1">
              <a:extLst>
                <a:ext uri="{63B3BB69-23CF-44E3-9099-C40C66FF867C}">
                  <a14:compatExt spid="_x0000_s21531"/>
                </a:ext>
                <a:ext uri="{FF2B5EF4-FFF2-40B4-BE49-F238E27FC236}">
                  <a16:creationId xmlns:a16="http://schemas.microsoft.com/office/drawing/2014/main" id="{00000000-0008-0000-0900-00001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21532" name="品名呼出10" hidden="1">
              <a:extLst>
                <a:ext uri="{63B3BB69-23CF-44E3-9099-C40C66FF867C}">
                  <a14:compatExt spid="_x0000_s21532"/>
                </a:ext>
                <a:ext uri="{FF2B5EF4-FFF2-40B4-BE49-F238E27FC236}">
                  <a16:creationId xmlns:a16="http://schemas.microsoft.com/office/drawing/2014/main" id="{00000000-0008-0000-0900-00001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21533" name="品名呼出11" hidden="1">
              <a:extLst>
                <a:ext uri="{63B3BB69-23CF-44E3-9099-C40C66FF867C}">
                  <a14:compatExt spid="_x0000_s21533"/>
                </a:ext>
                <a:ext uri="{FF2B5EF4-FFF2-40B4-BE49-F238E27FC236}">
                  <a16:creationId xmlns:a16="http://schemas.microsoft.com/office/drawing/2014/main" id="{00000000-0008-0000-0900-00001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21534" name="品名呼出12" hidden="1">
              <a:extLst>
                <a:ext uri="{63B3BB69-23CF-44E3-9099-C40C66FF867C}">
                  <a14:compatExt spid="_x0000_s21534"/>
                </a:ext>
                <a:ext uri="{FF2B5EF4-FFF2-40B4-BE49-F238E27FC236}">
                  <a16:creationId xmlns:a16="http://schemas.microsoft.com/office/drawing/2014/main" id="{00000000-0008-0000-0900-00001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21535" name="更新" hidden="1">
              <a:extLst>
                <a:ext uri="{63B3BB69-23CF-44E3-9099-C40C66FF867C}">
                  <a14:compatExt spid="_x0000_s21535"/>
                </a:ext>
                <a:ext uri="{FF2B5EF4-FFF2-40B4-BE49-F238E27FC236}">
                  <a16:creationId xmlns:a16="http://schemas.microsoft.com/office/drawing/2014/main" id="{00000000-0008-0000-0900-00001F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21536" name="プレビュー" hidden="1">
              <a:extLst>
                <a:ext uri="{63B3BB69-23CF-44E3-9099-C40C66FF867C}">
                  <a14:compatExt spid="_x0000_s21536"/>
                </a:ext>
                <a:ext uri="{FF2B5EF4-FFF2-40B4-BE49-F238E27FC236}">
                  <a16:creationId xmlns:a16="http://schemas.microsoft.com/office/drawing/2014/main" id="{00000000-0008-0000-0900-000020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21537" name="環境設定" hidden="1">
              <a:extLst>
                <a:ext uri="{63B3BB69-23CF-44E3-9099-C40C66FF867C}">
                  <a14:compatExt spid="_x0000_s21537"/>
                </a:ext>
                <a:ext uri="{FF2B5EF4-FFF2-40B4-BE49-F238E27FC236}">
                  <a16:creationId xmlns:a16="http://schemas.microsoft.com/office/drawing/2014/main" id="{00000000-0008-0000-0900-00002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21538" name="詳細無" hidden="1">
              <a:extLst>
                <a:ext uri="{63B3BB69-23CF-44E3-9099-C40C66FF867C}">
                  <a14:compatExt spid="_x0000_s21538"/>
                </a:ext>
                <a:ext uri="{FF2B5EF4-FFF2-40B4-BE49-F238E27FC236}">
                  <a16:creationId xmlns:a16="http://schemas.microsoft.com/office/drawing/2014/main" id="{00000000-0008-0000-0900-00002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21539" name="電卓" hidden="1">
              <a:extLst>
                <a:ext uri="{63B3BB69-23CF-44E3-9099-C40C66FF867C}">
                  <a14:compatExt spid="_x0000_s21539"/>
                </a:ext>
                <a:ext uri="{FF2B5EF4-FFF2-40B4-BE49-F238E27FC236}">
                  <a16:creationId xmlns:a16="http://schemas.microsoft.com/office/drawing/2014/main" id="{00000000-0008-0000-0900-00002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21540" name="データ更新" hidden="1">
              <a:extLst>
                <a:ext uri="{63B3BB69-23CF-44E3-9099-C40C66FF867C}">
                  <a14:compatExt spid="_x0000_s21540"/>
                </a:ext>
                <a:ext uri="{FF2B5EF4-FFF2-40B4-BE49-F238E27FC236}">
                  <a16:creationId xmlns:a16="http://schemas.microsoft.com/office/drawing/2014/main" id="{00000000-0008-0000-0900-000024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21541" name="並替" hidden="1">
              <a:extLst>
                <a:ext uri="{63B3BB69-23CF-44E3-9099-C40C66FF867C}">
                  <a14:compatExt spid="_x0000_s21541"/>
                </a:ext>
                <a:ext uri="{FF2B5EF4-FFF2-40B4-BE49-F238E27FC236}">
                  <a16:creationId xmlns:a16="http://schemas.microsoft.com/office/drawing/2014/main" id="{00000000-0008-0000-0900-000025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21542" name="戻る2" hidden="1">
              <a:extLst>
                <a:ext uri="{63B3BB69-23CF-44E3-9099-C40C66FF867C}">
                  <a14:compatExt spid="_x0000_s21542"/>
                </a:ext>
                <a:ext uri="{FF2B5EF4-FFF2-40B4-BE49-F238E27FC236}">
                  <a16:creationId xmlns:a16="http://schemas.microsoft.com/office/drawing/2014/main" id="{00000000-0008-0000-0900-000026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21543" name="環境設定2" hidden="1">
              <a:extLst>
                <a:ext uri="{63B3BB69-23CF-44E3-9099-C40C66FF867C}">
                  <a14:compatExt spid="_x0000_s21543"/>
                </a:ext>
                <a:ext uri="{FF2B5EF4-FFF2-40B4-BE49-F238E27FC236}">
                  <a16:creationId xmlns:a16="http://schemas.microsoft.com/office/drawing/2014/main" id="{00000000-0008-0000-0900-000027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21544" name="再選択" hidden="1">
              <a:extLst>
                <a:ext uri="{63B3BB69-23CF-44E3-9099-C40C66FF867C}">
                  <a14:compatExt spid="_x0000_s21544"/>
                </a:ext>
                <a:ext uri="{FF2B5EF4-FFF2-40B4-BE49-F238E27FC236}">
                  <a16:creationId xmlns:a16="http://schemas.microsoft.com/office/drawing/2014/main" id="{00000000-0008-0000-0900-000028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21545" name="ﾃﾞｰﾀ処理" hidden="1">
              <a:extLst>
                <a:ext uri="{63B3BB69-23CF-44E3-9099-C40C66FF867C}">
                  <a14:compatExt spid="_x0000_s21545"/>
                </a:ext>
                <a:ext uri="{FF2B5EF4-FFF2-40B4-BE49-F238E27FC236}">
                  <a16:creationId xmlns:a16="http://schemas.microsoft.com/office/drawing/2014/main" id="{00000000-0008-0000-0900-000029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21546" name="Button 42" hidden="1">
              <a:extLst>
                <a:ext uri="{63B3BB69-23CF-44E3-9099-C40C66FF867C}">
                  <a14:compatExt spid="_x0000_s21546"/>
                </a:ext>
                <a:ext uri="{FF2B5EF4-FFF2-40B4-BE49-F238E27FC236}">
                  <a16:creationId xmlns:a16="http://schemas.microsoft.com/office/drawing/2014/main" id="{00000000-0008-0000-0900-00002A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21547" name="参照1" hidden="1">
              <a:extLst>
                <a:ext uri="{63B3BB69-23CF-44E3-9099-C40C66FF867C}">
                  <a14:compatExt spid="_x0000_s21547"/>
                </a:ext>
                <a:ext uri="{FF2B5EF4-FFF2-40B4-BE49-F238E27FC236}">
                  <a16:creationId xmlns:a16="http://schemas.microsoft.com/office/drawing/2014/main" id="{00000000-0008-0000-0900-00002B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21548" name="参照2" hidden="1">
              <a:extLst>
                <a:ext uri="{63B3BB69-23CF-44E3-9099-C40C66FF867C}">
                  <a14:compatExt spid="_x0000_s21548"/>
                </a:ext>
                <a:ext uri="{FF2B5EF4-FFF2-40B4-BE49-F238E27FC236}">
                  <a16:creationId xmlns:a16="http://schemas.microsoft.com/office/drawing/2014/main" id="{00000000-0008-0000-0900-00002C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21549" name="Button 45" hidden="1">
              <a:extLst>
                <a:ext uri="{63B3BB69-23CF-44E3-9099-C40C66FF867C}">
                  <a14:compatExt spid="_x0000_s21549"/>
                </a:ext>
                <a:ext uri="{FF2B5EF4-FFF2-40B4-BE49-F238E27FC236}">
                  <a16:creationId xmlns:a16="http://schemas.microsoft.com/office/drawing/2014/main" id="{00000000-0008-0000-0900-00002D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21550" name="Button 46" hidden="1">
              <a:extLst>
                <a:ext uri="{63B3BB69-23CF-44E3-9099-C40C66FF867C}">
                  <a14:compatExt spid="_x0000_s21550"/>
                </a:ext>
                <a:ext uri="{FF2B5EF4-FFF2-40B4-BE49-F238E27FC236}">
                  <a16:creationId xmlns:a16="http://schemas.microsoft.com/office/drawing/2014/main" id="{00000000-0008-0000-0900-00002E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4E67F5C5-7288-48F8-8859-4AB125499510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2BDBC38A-5005-4012-AD49-48090422D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EF39101E-39A7-4DC4-916E-EB42E63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367BE1-7385-4EC1-ABAE-A9655DD7E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76200</xdr:rowOff>
        </xdr:from>
        <xdr:to>
          <xdr:col>27</xdr:col>
          <xdr:colOff>47625</xdr:colOff>
          <xdr:row>0</xdr:row>
          <xdr:rowOff>295275</xdr:rowOff>
        </xdr:to>
        <xdr:sp macro="" textlink="">
          <xdr:nvSpPr>
            <xdr:cNvPr id="56321" name="表示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0A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表示①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76200</xdr:rowOff>
        </xdr:from>
        <xdr:to>
          <xdr:col>31</xdr:col>
          <xdr:colOff>76200</xdr:colOff>
          <xdr:row>0</xdr:row>
          <xdr:rowOff>295275</xdr:rowOff>
        </xdr:to>
        <xdr:sp macro="" textlink="">
          <xdr:nvSpPr>
            <xdr:cNvPr id="56322" name="表示2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0A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表示②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390525</xdr:rowOff>
        </xdr:from>
        <xdr:to>
          <xdr:col>4</xdr:col>
          <xdr:colOff>200025</xdr:colOff>
          <xdr:row>0</xdr:row>
          <xdr:rowOff>609600</xdr:rowOff>
        </xdr:to>
        <xdr:sp macro="" textlink="">
          <xdr:nvSpPr>
            <xdr:cNvPr id="56323" name="呼出" hidden="1">
              <a:extLst>
                <a:ext uri="{63B3BB69-23CF-44E3-9099-C40C66FF867C}">
                  <a14:compatExt spid="_x0000_s56323"/>
                </a:ext>
                <a:ext uri="{FF2B5EF4-FFF2-40B4-BE49-F238E27FC236}">
                  <a16:creationId xmlns:a16="http://schemas.microsoft.com/office/drawing/2014/main" id="{00000000-0008-0000-0A00-00000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呼出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390525</xdr:rowOff>
        </xdr:from>
        <xdr:to>
          <xdr:col>8</xdr:col>
          <xdr:colOff>123825</xdr:colOff>
          <xdr:row>0</xdr:row>
          <xdr:rowOff>609600</xdr:rowOff>
        </xdr:to>
        <xdr:sp macro="" textlink="">
          <xdr:nvSpPr>
            <xdr:cNvPr id="56324" name="保存" hidden="1">
              <a:extLst>
                <a:ext uri="{63B3BB69-23CF-44E3-9099-C40C66FF867C}">
                  <a14:compatExt spid="_x0000_s56324"/>
                </a:ext>
                <a:ext uri="{FF2B5EF4-FFF2-40B4-BE49-F238E27FC236}">
                  <a16:creationId xmlns:a16="http://schemas.microsoft.com/office/drawing/2014/main" id="{00000000-0008-0000-0A00-00000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保存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390525</xdr:rowOff>
        </xdr:from>
        <xdr:to>
          <xdr:col>44</xdr:col>
          <xdr:colOff>142875</xdr:colOff>
          <xdr:row>0</xdr:row>
          <xdr:rowOff>609600</xdr:rowOff>
        </xdr:to>
        <xdr:sp macro="" textlink="">
          <xdr:nvSpPr>
            <xdr:cNvPr id="56325" name="終了" hidden="1">
              <a:extLst>
                <a:ext uri="{63B3BB69-23CF-44E3-9099-C40C66FF867C}">
                  <a14:compatExt spid="_x0000_s56325"/>
                </a:ext>
                <a:ext uri="{FF2B5EF4-FFF2-40B4-BE49-F238E27FC236}">
                  <a16:creationId xmlns:a16="http://schemas.microsoft.com/office/drawing/2014/main" id="{00000000-0008-0000-0A00-00000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終了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76200</xdr:rowOff>
        </xdr:from>
        <xdr:to>
          <xdr:col>13</xdr:col>
          <xdr:colOff>114300</xdr:colOff>
          <xdr:row>0</xdr:row>
          <xdr:rowOff>295275</xdr:rowOff>
        </xdr:to>
        <xdr:sp macro="" textlink="">
          <xdr:nvSpPr>
            <xdr:cNvPr id="56326" name="印刷" hidden="1">
              <a:extLst>
                <a:ext uri="{63B3BB69-23CF-44E3-9099-C40C66FF867C}">
                  <a14:compatExt spid="_x0000_s56326"/>
                </a:ext>
                <a:ext uri="{FF2B5EF4-FFF2-40B4-BE49-F238E27FC236}">
                  <a16:creationId xmlns:a16="http://schemas.microsoft.com/office/drawing/2014/main" id="{00000000-0008-0000-0A00-000006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印刷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0</xdr:row>
          <xdr:rowOff>76200</xdr:rowOff>
        </xdr:from>
        <xdr:to>
          <xdr:col>4</xdr:col>
          <xdr:colOff>200025</xdr:colOff>
          <xdr:row>0</xdr:row>
          <xdr:rowOff>295275</xdr:rowOff>
        </xdr:to>
        <xdr:sp macro="" textlink="">
          <xdr:nvSpPr>
            <xdr:cNvPr id="56327" name="入力" hidden="1">
              <a:extLst>
                <a:ext uri="{63B3BB69-23CF-44E3-9099-C40C66FF867C}">
                  <a14:compatExt spid="_x0000_s56327"/>
                </a:ext>
                <a:ext uri="{FF2B5EF4-FFF2-40B4-BE49-F238E27FC236}">
                  <a16:creationId xmlns:a16="http://schemas.microsoft.com/office/drawing/2014/main" id="{00000000-0008-0000-0A00-000007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76200</xdr:rowOff>
        </xdr:from>
        <xdr:to>
          <xdr:col>22</xdr:col>
          <xdr:colOff>66675</xdr:colOff>
          <xdr:row>0</xdr:row>
          <xdr:rowOff>295275</xdr:rowOff>
        </xdr:to>
        <xdr:sp macro="" textlink="">
          <xdr:nvSpPr>
            <xdr:cNvPr id="56328" name="削除" hidden="1">
              <a:extLst>
                <a:ext uri="{63B3BB69-23CF-44E3-9099-C40C66FF867C}">
                  <a14:compatExt spid="_x0000_s56328"/>
                </a:ext>
                <a:ext uri="{FF2B5EF4-FFF2-40B4-BE49-F238E27FC236}">
                  <a16:creationId xmlns:a16="http://schemas.microsoft.com/office/drawing/2014/main" id="{00000000-0008-0000-0A00-000008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削除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76200</xdr:rowOff>
        </xdr:from>
        <xdr:to>
          <xdr:col>35</xdr:col>
          <xdr:colOff>47625</xdr:colOff>
          <xdr:row>0</xdr:row>
          <xdr:rowOff>295275</xdr:rowOff>
        </xdr:to>
        <xdr:sp macro="" textlink="">
          <xdr:nvSpPr>
            <xdr:cNvPr id="56329" name="合計無" hidden="1">
              <a:extLst>
                <a:ext uri="{63B3BB69-23CF-44E3-9099-C40C66FF867C}">
                  <a14:compatExt spid="_x0000_s56329"/>
                </a:ext>
                <a:ext uri="{FF2B5EF4-FFF2-40B4-BE49-F238E27FC236}">
                  <a16:creationId xmlns:a16="http://schemas.microsoft.com/office/drawing/2014/main" id="{00000000-0008-0000-0A00-000009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合計無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41</xdr:col>
          <xdr:colOff>19050</xdr:colOff>
          <xdr:row>0</xdr:row>
          <xdr:rowOff>76200</xdr:rowOff>
        </xdr:from>
        <xdr:to>
          <xdr:col>44</xdr:col>
          <xdr:colOff>142875</xdr:colOff>
          <xdr:row>0</xdr:row>
          <xdr:rowOff>295275</xdr:rowOff>
        </xdr:to>
        <xdr:sp macro="" textlink="">
          <xdr:nvSpPr>
            <xdr:cNvPr id="56330" name="ヘルプ" hidden="1">
              <a:extLst>
                <a:ext uri="{63B3BB69-23CF-44E3-9099-C40C66FF867C}">
                  <a14:compatExt spid="_x0000_s56330"/>
                </a:ext>
                <a:ext uri="{FF2B5EF4-FFF2-40B4-BE49-F238E27FC236}">
                  <a16:creationId xmlns:a16="http://schemas.microsoft.com/office/drawing/2014/main" id="{00000000-0008-0000-0A00-00000A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ヘルプ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152400</xdr:colOff>
          <xdr:row>0</xdr:row>
          <xdr:rowOff>400050</xdr:rowOff>
        </xdr:from>
        <xdr:to>
          <xdr:col>35</xdr:col>
          <xdr:colOff>47625</xdr:colOff>
          <xdr:row>0</xdr:row>
          <xdr:rowOff>619125</xdr:rowOff>
        </xdr:to>
        <xdr:sp macro="" textlink="">
          <xdr:nvSpPr>
            <xdr:cNvPr id="56331" name="税無" hidden="1">
              <a:extLst>
                <a:ext uri="{63B3BB69-23CF-44E3-9099-C40C66FF867C}">
                  <a14:compatExt spid="_x0000_s56331"/>
                </a:ext>
                <a:ext uri="{FF2B5EF4-FFF2-40B4-BE49-F238E27FC236}">
                  <a16:creationId xmlns:a16="http://schemas.microsoft.com/office/drawing/2014/main" id="{00000000-0008-0000-0A00-00000B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税無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0</xdr:row>
          <xdr:rowOff>390525</xdr:rowOff>
        </xdr:from>
        <xdr:to>
          <xdr:col>13</xdr:col>
          <xdr:colOff>114300</xdr:colOff>
          <xdr:row>0</xdr:row>
          <xdr:rowOff>609600</xdr:rowOff>
        </xdr:to>
        <xdr:sp macro="" textlink="">
          <xdr:nvSpPr>
            <xdr:cNvPr id="56332" name="画像" hidden="1">
              <a:extLst>
                <a:ext uri="{63B3BB69-23CF-44E3-9099-C40C66FF867C}">
                  <a14:compatExt spid="_x0000_s56332"/>
                </a:ext>
                <a:ext uri="{FF2B5EF4-FFF2-40B4-BE49-F238E27FC236}">
                  <a16:creationId xmlns:a16="http://schemas.microsoft.com/office/drawing/2014/main" id="{00000000-0008-0000-0A00-00000C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390525</xdr:rowOff>
        </xdr:from>
        <xdr:to>
          <xdr:col>18</xdr:col>
          <xdr:colOff>9525</xdr:colOff>
          <xdr:row>0</xdr:row>
          <xdr:rowOff>609600</xdr:rowOff>
        </xdr:to>
        <xdr:sp macro="" textlink="">
          <xdr:nvSpPr>
            <xdr:cNvPr id="56333" name="画像PW" hidden="1">
              <a:extLst>
                <a:ext uri="{63B3BB69-23CF-44E3-9099-C40C66FF867C}">
                  <a14:compatExt spid="_x0000_s56333"/>
                </a:ext>
                <a:ext uri="{FF2B5EF4-FFF2-40B4-BE49-F238E27FC236}">
                  <a16:creationId xmlns:a16="http://schemas.microsoft.com/office/drawing/2014/main" id="{00000000-0008-0000-0A00-00000D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印鑑PW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76200</xdr:rowOff>
        </xdr:from>
        <xdr:to>
          <xdr:col>8</xdr:col>
          <xdr:colOff>123825</xdr:colOff>
          <xdr:row>0</xdr:row>
          <xdr:rowOff>304800</xdr:rowOff>
        </xdr:to>
        <xdr:sp macro="" textlink="">
          <xdr:nvSpPr>
            <xdr:cNvPr id="56334" name="明細入力" hidden="1">
              <a:extLst>
                <a:ext uri="{63B3BB69-23CF-44E3-9099-C40C66FF867C}">
                  <a14:compatExt spid="_x0000_s56334"/>
                </a:ext>
                <a:ext uri="{FF2B5EF4-FFF2-40B4-BE49-F238E27FC236}">
                  <a16:creationId xmlns:a16="http://schemas.microsoft.com/office/drawing/2014/main" id="{00000000-0008-0000-0A00-00000E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明細入力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133350</xdr:colOff>
          <xdr:row>0</xdr:row>
          <xdr:rowOff>390525</xdr:rowOff>
        </xdr:from>
        <xdr:to>
          <xdr:col>27</xdr:col>
          <xdr:colOff>47625</xdr:colOff>
          <xdr:row>0</xdr:row>
          <xdr:rowOff>609600</xdr:rowOff>
        </xdr:to>
        <xdr:sp macro="" textlink="">
          <xdr:nvSpPr>
            <xdr:cNvPr id="56335" name="明細書" hidden="1">
              <a:extLst>
                <a:ext uri="{63B3BB69-23CF-44E3-9099-C40C66FF867C}">
                  <a14:compatExt spid="_x0000_s56335"/>
                </a:ext>
                <a:ext uri="{FF2B5EF4-FFF2-40B4-BE49-F238E27FC236}">
                  <a16:creationId xmlns:a16="http://schemas.microsoft.com/office/drawing/2014/main" id="{00000000-0008-0000-0A00-00000F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明細書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28</xdr:col>
      <xdr:colOff>57150</xdr:colOff>
      <xdr:row>8</xdr:row>
      <xdr:rowOff>9525</xdr:rowOff>
    </xdr:from>
    <xdr:to>
      <xdr:col>45</xdr:col>
      <xdr:colOff>19050</xdr:colOff>
      <xdr:row>9</xdr:row>
      <xdr:rowOff>28575</xdr:rowOff>
    </xdr:to>
    <xdr:sp macro="" textlink="">
      <xdr:nvSpPr>
        <xdr:cNvPr id="2" name="自社名">
          <a:extLst>
            <a:ext uri="{FF2B5EF4-FFF2-40B4-BE49-F238E27FC236}">
              <a16:creationId xmlns:a16="http://schemas.microsoft.com/office/drawing/2014/main" id="{057ED93E-2963-4D3D-8F84-CEDA55687ACD}"/>
            </a:ext>
          </a:extLst>
        </xdr:cNvPr>
        <xdr:cNvSpPr>
          <a:spLocks noChangeArrowheads="1"/>
        </xdr:cNvSpPr>
      </xdr:nvSpPr>
      <xdr:spPr bwMode="auto">
        <a:xfrm>
          <a:off x="4886325" y="2076450"/>
          <a:ext cx="27241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　株式会社リンシュンドウ</a:t>
          </a:r>
          <a:endParaRPr lang="ja-JP" altLang="en-US"/>
        </a:p>
      </xdr:txBody>
    </xdr:sp>
    <xdr:clientData/>
  </xdr:twoCellAnchor>
  <xdr:twoCellAnchor editAs="oneCell">
    <xdr:from>
      <xdr:col>30</xdr:col>
      <xdr:colOff>76201</xdr:colOff>
      <xdr:row>9</xdr:row>
      <xdr:rowOff>63500</xdr:rowOff>
    </xdr:from>
    <xdr:to>
      <xdr:col>40</xdr:col>
      <xdr:colOff>76200</xdr:colOff>
      <xdr:row>9</xdr:row>
      <xdr:rowOff>292100</xdr:rowOff>
    </xdr:to>
    <xdr:sp macro="" textlink="">
      <xdr:nvSpPr>
        <xdr:cNvPr id="3" name="自社郵便">
          <a:extLst>
            <a:ext uri="{FF2B5EF4-FFF2-40B4-BE49-F238E27FC236}">
              <a16:creationId xmlns:a16="http://schemas.microsoft.com/office/drawing/2014/main" id="{93009675-9F2A-4079-8DD1-68058CFDB883}"/>
            </a:ext>
          </a:extLst>
        </xdr:cNvPr>
        <xdr:cNvSpPr>
          <a:spLocks noChangeArrowheads="1"/>
        </xdr:cNvSpPr>
      </xdr:nvSpPr>
      <xdr:spPr bwMode="auto">
        <a:xfrm>
          <a:off x="5229226" y="2320925"/>
          <a:ext cx="1609724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47625</xdr:colOff>
      <xdr:row>9</xdr:row>
      <xdr:rowOff>247650</xdr:rowOff>
    </xdr:from>
    <xdr:to>
      <xdr:col>45</xdr:col>
      <xdr:colOff>19050</xdr:colOff>
      <xdr:row>10</xdr:row>
      <xdr:rowOff>76200</xdr:rowOff>
    </xdr:to>
    <xdr:sp macro="" textlink="">
      <xdr:nvSpPr>
        <xdr:cNvPr id="4" name="自社住所">
          <a:extLst>
            <a:ext uri="{FF2B5EF4-FFF2-40B4-BE49-F238E27FC236}">
              <a16:creationId xmlns:a16="http://schemas.microsoft.com/office/drawing/2014/main" id="{C43A6D66-69FD-40BE-920F-DB680F554604}"/>
            </a:ext>
          </a:extLst>
        </xdr:cNvPr>
        <xdr:cNvSpPr>
          <a:spLocks noChangeArrowheads="1"/>
        </xdr:cNvSpPr>
      </xdr:nvSpPr>
      <xdr:spPr bwMode="auto">
        <a:xfrm>
          <a:off x="4876800" y="2505075"/>
          <a:ext cx="27336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endParaRPr lang="ja-JP" altLang="en-US"/>
        </a:p>
      </xdr:txBody>
    </xdr:sp>
    <xdr:clientData/>
  </xdr:twoCellAnchor>
  <xdr:twoCellAnchor editAs="oneCell">
    <xdr:from>
      <xdr:col>28</xdr:col>
      <xdr:colOff>57150</xdr:colOff>
      <xdr:row>10</xdr:row>
      <xdr:rowOff>28575</xdr:rowOff>
    </xdr:from>
    <xdr:to>
      <xdr:col>45</xdr:col>
      <xdr:colOff>19050</xdr:colOff>
      <xdr:row>11</xdr:row>
      <xdr:rowOff>28575</xdr:rowOff>
    </xdr:to>
    <xdr:sp macro="" textlink="">
      <xdr:nvSpPr>
        <xdr:cNvPr id="5" name="自社TEL-FAX">
          <a:extLst>
            <a:ext uri="{FF2B5EF4-FFF2-40B4-BE49-F238E27FC236}">
              <a16:creationId xmlns:a16="http://schemas.microsoft.com/office/drawing/2014/main" id="{598F0285-BCC0-40C8-9727-80A6D4AE4C69}"/>
            </a:ext>
          </a:extLst>
        </xdr:cNvPr>
        <xdr:cNvSpPr>
          <a:spLocks noChangeArrowheads="1"/>
        </xdr:cNvSpPr>
      </xdr:nvSpPr>
      <xdr:spPr bwMode="auto">
        <a:xfrm>
          <a:off x="4886325" y="2686050"/>
          <a:ext cx="27241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/>
            <a:t>登録番号</a:t>
          </a:r>
          <a:r>
            <a:rPr lang="en-US" altLang="ja-JP"/>
            <a:t>T6200001005823</a:t>
          </a:r>
          <a:endParaRPr lang="ja-JP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5</xdr:row>
          <xdr:rowOff>180975</xdr:rowOff>
        </xdr:from>
        <xdr:to>
          <xdr:col>0</xdr:col>
          <xdr:colOff>476250</xdr:colOff>
          <xdr:row>7</xdr:row>
          <xdr:rowOff>19050</xdr:rowOff>
        </xdr:to>
        <xdr:sp macro="" textlink="">
          <xdr:nvSpPr>
            <xdr:cNvPr id="56336" name="客呼" hidden="1">
              <a:extLst>
                <a:ext uri="{63B3BB69-23CF-44E3-9099-C40C66FF867C}">
                  <a14:compatExt spid="_x0000_s56336"/>
                </a:ext>
                <a:ext uri="{FF2B5EF4-FFF2-40B4-BE49-F238E27FC236}">
                  <a16:creationId xmlns:a16="http://schemas.microsoft.com/office/drawing/2014/main" id="{00000000-0008-0000-0A00-000010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客呼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4</xdr:row>
          <xdr:rowOff>76200</xdr:rowOff>
        </xdr:from>
        <xdr:to>
          <xdr:col>0</xdr:col>
          <xdr:colOff>476250</xdr:colOff>
          <xdr:row>5</xdr:row>
          <xdr:rowOff>104775</xdr:rowOff>
        </xdr:to>
        <xdr:sp macro="" textlink="">
          <xdr:nvSpPr>
            <xdr:cNvPr id="56337" name="Button 17" hidden="1">
              <a:extLst>
                <a:ext uri="{63B3BB69-23CF-44E3-9099-C40C66FF867C}">
                  <a14:compatExt spid="_x0000_s56337"/>
                </a:ext>
                <a:ext uri="{FF2B5EF4-FFF2-40B4-BE49-F238E27FC236}">
                  <a16:creationId xmlns:a16="http://schemas.microsoft.com/office/drawing/2014/main" id="{00000000-0008-0000-0A00-00001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ﾏｽﾀ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7</xdr:row>
          <xdr:rowOff>95250</xdr:rowOff>
        </xdr:from>
        <xdr:to>
          <xdr:col>0</xdr:col>
          <xdr:colOff>476250</xdr:colOff>
          <xdr:row>8</xdr:row>
          <xdr:rowOff>123825</xdr:rowOff>
        </xdr:to>
        <xdr:sp macro="" textlink="">
          <xdr:nvSpPr>
            <xdr:cNvPr id="56338" name="担当呼出" hidden="1">
              <a:extLst>
                <a:ext uri="{63B3BB69-23CF-44E3-9099-C40C66FF867C}">
                  <a14:compatExt spid="_x0000_s56338"/>
                </a:ext>
                <a:ext uri="{FF2B5EF4-FFF2-40B4-BE49-F238E27FC236}">
                  <a16:creationId xmlns:a16="http://schemas.microsoft.com/office/drawing/2014/main" id="{00000000-0008-0000-0A00-00001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担呼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25</xdr:row>
          <xdr:rowOff>95250</xdr:rowOff>
        </xdr:from>
        <xdr:to>
          <xdr:col>0</xdr:col>
          <xdr:colOff>476250</xdr:colOff>
          <xdr:row>25</xdr:row>
          <xdr:rowOff>314325</xdr:rowOff>
        </xdr:to>
        <xdr:sp macro="" textlink="">
          <xdr:nvSpPr>
            <xdr:cNvPr id="56339" name="品名呼出01" hidden="1">
              <a:extLst>
                <a:ext uri="{63B3BB69-23CF-44E3-9099-C40C66FF867C}">
                  <a14:compatExt spid="_x0000_s56339"/>
                </a:ext>
                <a:ext uri="{FF2B5EF4-FFF2-40B4-BE49-F238E27FC236}">
                  <a16:creationId xmlns:a16="http://schemas.microsoft.com/office/drawing/2014/main" id="{00000000-0008-0000-0A00-00001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26</xdr:row>
          <xdr:rowOff>85725</xdr:rowOff>
        </xdr:from>
        <xdr:to>
          <xdr:col>0</xdr:col>
          <xdr:colOff>476250</xdr:colOff>
          <xdr:row>26</xdr:row>
          <xdr:rowOff>304800</xdr:rowOff>
        </xdr:to>
        <xdr:sp macro="" textlink="">
          <xdr:nvSpPr>
            <xdr:cNvPr id="56340" name="品名呼出02" hidden="1">
              <a:extLst>
                <a:ext uri="{63B3BB69-23CF-44E3-9099-C40C66FF867C}">
                  <a14:compatExt spid="_x0000_s56340"/>
                </a:ext>
                <a:ext uri="{FF2B5EF4-FFF2-40B4-BE49-F238E27FC236}">
                  <a16:creationId xmlns:a16="http://schemas.microsoft.com/office/drawing/2014/main" id="{00000000-0008-0000-0A00-00001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27</xdr:row>
          <xdr:rowOff>95250</xdr:rowOff>
        </xdr:from>
        <xdr:to>
          <xdr:col>0</xdr:col>
          <xdr:colOff>476250</xdr:colOff>
          <xdr:row>27</xdr:row>
          <xdr:rowOff>314325</xdr:rowOff>
        </xdr:to>
        <xdr:sp macro="" textlink="">
          <xdr:nvSpPr>
            <xdr:cNvPr id="56341" name="品名呼出03" hidden="1">
              <a:extLst>
                <a:ext uri="{63B3BB69-23CF-44E3-9099-C40C66FF867C}">
                  <a14:compatExt spid="_x0000_s56341"/>
                </a:ext>
                <a:ext uri="{FF2B5EF4-FFF2-40B4-BE49-F238E27FC236}">
                  <a16:creationId xmlns:a16="http://schemas.microsoft.com/office/drawing/2014/main" id="{00000000-0008-0000-0A00-00001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28</xdr:row>
          <xdr:rowOff>95250</xdr:rowOff>
        </xdr:from>
        <xdr:to>
          <xdr:col>0</xdr:col>
          <xdr:colOff>476250</xdr:colOff>
          <xdr:row>28</xdr:row>
          <xdr:rowOff>314325</xdr:rowOff>
        </xdr:to>
        <xdr:sp macro="" textlink="">
          <xdr:nvSpPr>
            <xdr:cNvPr id="56342" name="品名呼出04" hidden="1">
              <a:extLst>
                <a:ext uri="{63B3BB69-23CF-44E3-9099-C40C66FF867C}">
                  <a14:compatExt spid="_x0000_s56342"/>
                </a:ext>
                <a:ext uri="{FF2B5EF4-FFF2-40B4-BE49-F238E27FC236}">
                  <a16:creationId xmlns:a16="http://schemas.microsoft.com/office/drawing/2014/main" id="{00000000-0008-0000-0A00-000016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29</xdr:row>
          <xdr:rowOff>95250</xdr:rowOff>
        </xdr:from>
        <xdr:to>
          <xdr:col>0</xdr:col>
          <xdr:colOff>476250</xdr:colOff>
          <xdr:row>29</xdr:row>
          <xdr:rowOff>314325</xdr:rowOff>
        </xdr:to>
        <xdr:sp macro="" textlink="">
          <xdr:nvSpPr>
            <xdr:cNvPr id="56343" name="品名呼出05" hidden="1">
              <a:extLst>
                <a:ext uri="{63B3BB69-23CF-44E3-9099-C40C66FF867C}">
                  <a14:compatExt spid="_x0000_s56343"/>
                </a:ext>
                <a:ext uri="{FF2B5EF4-FFF2-40B4-BE49-F238E27FC236}">
                  <a16:creationId xmlns:a16="http://schemas.microsoft.com/office/drawing/2014/main" id="{00000000-0008-0000-0A00-000017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30</xdr:row>
          <xdr:rowOff>95250</xdr:rowOff>
        </xdr:from>
        <xdr:to>
          <xdr:col>0</xdr:col>
          <xdr:colOff>476250</xdr:colOff>
          <xdr:row>30</xdr:row>
          <xdr:rowOff>314325</xdr:rowOff>
        </xdr:to>
        <xdr:sp macro="" textlink="">
          <xdr:nvSpPr>
            <xdr:cNvPr id="56344" name="品名呼出06" hidden="1">
              <a:extLst>
                <a:ext uri="{63B3BB69-23CF-44E3-9099-C40C66FF867C}">
                  <a14:compatExt spid="_x0000_s56344"/>
                </a:ext>
                <a:ext uri="{FF2B5EF4-FFF2-40B4-BE49-F238E27FC236}">
                  <a16:creationId xmlns:a16="http://schemas.microsoft.com/office/drawing/2014/main" id="{00000000-0008-0000-0A00-000018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31</xdr:row>
          <xdr:rowOff>95250</xdr:rowOff>
        </xdr:from>
        <xdr:to>
          <xdr:col>0</xdr:col>
          <xdr:colOff>476250</xdr:colOff>
          <xdr:row>31</xdr:row>
          <xdr:rowOff>314325</xdr:rowOff>
        </xdr:to>
        <xdr:sp macro="" textlink="">
          <xdr:nvSpPr>
            <xdr:cNvPr id="56345" name="品名呼出07" hidden="1">
              <a:extLst>
                <a:ext uri="{63B3BB69-23CF-44E3-9099-C40C66FF867C}">
                  <a14:compatExt spid="_x0000_s56345"/>
                </a:ext>
                <a:ext uri="{FF2B5EF4-FFF2-40B4-BE49-F238E27FC236}">
                  <a16:creationId xmlns:a16="http://schemas.microsoft.com/office/drawing/2014/main" id="{00000000-0008-0000-0A00-000019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32</xdr:row>
          <xdr:rowOff>95250</xdr:rowOff>
        </xdr:from>
        <xdr:to>
          <xdr:col>0</xdr:col>
          <xdr:colOff>476250</xdr:colOff>
          <xdr:row>32</xdr:row>
          <xdr:rowOff>314325</xdr:rowOff>
        </xdr:to>
        <xdr:sp macro="" textlink="">
          <xdr:nvSpPr>
            <xdr:cNvPr id="56346" name="品名呼出08" hidden="1">
              <a:extLst>
                <a:ext uri="{63B3BB69-23CF-44E3-9099-C40C66FF867C}">
                  <a14:compatExt spid="_x0000_s56346"/>
                </a:ext>
                <a:ext uri="{FF2B5EF4-FFF2-40B4-BE49-F238E27FC236}">
                  <a16:creationId xmlns:a16="http://schemas.microsoft.com/office/drawing/2014/main" id="{00000000-0008-0000-0A00-00001A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33</xdr:row>
          <xdr:rowOff>95250</xdr:rowOff>
        </xdr:from>
        <xdr:to>
          <xdr:col>0</xdr:col>
          <xdr:colOff>476250</xdr:colOff>
          <xdr:row>33</xdr:row>
          <xdr:rowOff>314325</xdr:rowOff>
        </xdr:to>
        <xdr:sp macro="" textlink="">
          <xdr:nvSpPr>
            <xdr:cNvPr id="56347" name="品名呼出09" hidden="1">
              <a:extLst>
                <a:ext uri="{63B3BB69-23CF-44E3-9099-C40C66FF867C}">
                  <a14:compatExt spid="_x0000_s56347"/>
                </a:ext>
                <a:ext uri="{FF2B5EF4-FFF2-40B4-BE49-F238E27FC236}">
                  <a16:creationId xmlns:a16="http://schemas.microsoft.com/office/drawing/2014/main" id="{00000000-0008-0000-0A00-00001B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34</xdr:row>
          <xdr:rowOff>95250</xdr:rowOff>
        </xdr:from>
        <xdr:to>
          <xdr:col>0</xdr:col>
          <xdr:colOff>476250</xdr:colOff>
          <xdr:row>34</xdr:row>
          <xdr:rowOff>314325</xdr:rowOff>
        </xdr:to>
        <xdr:sp macro="" textlink="">
          <xdr:nvSpPr>
            <xdr:cNvPr id="56348" name="品名呼出10" hidden="1">
              <a:extLst>
                <a:ext uri="{63B3BB69-23CF-44E3-9099-C40C66FF867C}">
                  <a14:compatExt spid="_x0000_s56348"/>
                </a:ext>
                <a:ext uri="{FF2B5EF4-FFF2-40B4-BE49-F238E27FC236}">
                  <a16:creationId xmlns:a16="http://schemas.microsoft.com/office/drawing/2014/main" id="{00000000-0008-0000-0A00-00001C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35</xdr:row>
          <xdr:rowOff>95250</xdr:rowOff>
        </xdr:from>
        <xdr:to>
          <xdr:col>0</xdr:col>
          <xdr:colOff>476250</xdr:colOff>
          <xdr:row>35</xdr:row>
          <xdr:rowOff>314325</xdr:rowOff>
        </xdr:to>
        <xdr:sp macro="" textlink="">
          <xdr:nvSpPr>
            <xdr:cNvPr id="56349" name="品名呼出11" hidden="1">
              <a:extLst>
                <a:ext uri="{63B3BB69-23CF-44E3-9099-C40C66FF867C}">
                  <a14:compatExt spid="_x0000_s56349"/>
                </a:ext>
                <a:ext uri="{FF2B5EF4-FFF2-40B4-BE49-F238E27FC236}">
                  <a16:creationId xmlns:a16="http://schemas.microsoft.com/office/drawing/2014/main" id="{00000000-0008-0000-0A00-00001D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36</xdr:row>
          <xdr:rowOff>95250</xdr:rowOff>
        </xdr:from>
        <xdr:to>
          <xdr:col>0</xdr:col>
          <xdr:colOff>476250</xdr:colOff>
          <xdr:row>36</xdr:row>
          <xdr:rowOff>314325</xdr:rowOff>
        </xdr:to>
        <xdr:sp macro="" textlink="">
          <xdr:nvSpPr>
            <xdr:cNvPr id="56350" name="品名呼出12" hidden="1">
              <a:extLst>
                <a:ext uri="{63B3BB69-23CF-44E3-9099-C40C66FF867C}">
                  <a14:compatExt spid="_x0000_s56350"/>
                </a:ext>
                <a:ext uri="{FF2B5EF4-FFF2-40B4-BE49-F238E27FC236}">
                  <a16:creationId xmlns:a16="http://schemas.microsoft.com/office/drawing/2014/main" id="{00000000-0008-0000-0A00-00001E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品呼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2</xdr:row>
          <xdr:rowOff>161925</xdr:rowOff>
        </xdr:from>
        <xdr:to>
          <xdr:col>0</xdr:col>
          <xdr:colOff>476250</xdr:colOff>
          <xdr:row>4</xdr:row>
          <xdr:rowOff>0</xdr:rowOff>
        </xdr:to>
        <xdr:sp macro="" textlink="">
          <xdr:nvSpPr>
            <xdr:cNvPr id="56351" name="更新" hidden="1">
              <a:extLst>
                <a:ext uri="{63B3BB69-23CF-44E3-9099-C40C66FF867C}">
                  <a14:compatExt spid="_x0000_s56351"/>
                </a:ext>
                <a:ext uri="{FF2B5EF4-FFF2-40B4-BE49-F238E27FC236}">
                  <a16:creationId xmlns:a16="http://schemas.microsoft.com/office/drawing/2014/main" id="{00000000-0008-0000-0A00-00001F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76200</xdr:rowOff>
        </xdr:from>
        <xdr:to>
          <xdr:col>18</xdr:col>
          <xdr:colOff>9525</xdr:colOff>
          <xdr:row>0</xdr:row>
          <xdr:rowOff>295275</xdr:rowOff>
        </xdr:to>
        <xdr:sp macro="" textlink="">
          <xdr:nvSpPr>
            <xdr:cNvPr id="56352" name="プレビュー" hidden="1">
              <a:extLst>
                <a:ext uri="{63B3BB69-23CF-44E3-9099-C40C66FF867C}">
                  <a14:compatExt spid="_x0000_s56352"/>
                </a:ext>
                <a:ext uri="{FF2B5EF4-FFF2-40B4-BE49-F238E27FC236}">
                  <a16:creationId xmlns:a16="http://schemas.microsoft.com/office/drawing/2014/main" id="{00000000-0008-0000-0A00-000020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ﾌﾟﾚﾋﾞｭｰ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114300</xdr:colOff>
          <xdr:row>0</xdr:row>
          <xdr:rowOff>400050</xdr:rowOff>
        </xdr:from>
        <xdr:to>
          <xdr:col>31</xdr:col>
          <xdr:colOff>76200</xdr:colOff>
          <xdr:row>0</xdr:row>
          <xdr:rowOff>619125</xdr:rowOff>
        </xdr:to>
        <xdr:sp macro="" textlink="">
          <xdr:nvSpPr>
            <xdr:cNvPr id="56353" name="環境設定" hidden="1">
              <a:extLst>
                <a:ext uri="{63B3BB69-23CF-44E3-9099-C40C66FF867C}">
                  <a14:compatExt spid="_x0000_s56353"/>
                </a:ext>
                <a:ext uri="{FF2B5EF4-FFF2-40B4-BE49-F238E27FC236}">
                  <a16:creationId xmlns:a16="http://schemas.microsoft.com/office/drawing/2014/main" id="{00000000-0008-0000-0A00-00002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78</xdr:col>
          <xdr:colOff>76200</xdr:colOff>
          <xdr:row>98</xdr:row>
          <xdr:rowOff>66675</xdr:rowOff>
        </xdr:from>
        <xdr:to>
          <xdr:col>82</xdr:col>
          <xdr:colOff>57150</xdr:colOff>
          <xdr:row>99</xdr:row>
          <xdr:rowOff>95250</xdr:rowOff>
        </xdr:to>
        <xdr:sp macro="" textlink="">
          <xdr:nvSpPr>
            <xdr:cNvPr id="56354" name="詳細無" hidden="1">
              <a:extLst>
                <a:ext uri="{63B3BB69-23CF-44E3-9099-C40C66FF867C}">
                  <a14:compatExt spid="_x0000_s56354"/>
                </a:ext>
                <a:ext uri="{FF2B5EF4-FFF2-40B4-BE49-F238E27FC236}">
                  <a16:creationId xmlns:a16="http://schemas.microsoft.com/office/drawing/2014/main" id="{00000000-0008-0000-0A00-00002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85725</xdr:colOff>
          <xdr:row>0</xdr:row>
          <xdr:rowOff>390525</xdr:rowOff>
        </xdr:from>
        <xdr:to>
          <xdr:col>22</xdr:col>
          <xdr:colOff>66675</xdr:colOff>
          <xdr:row>0</xdr:row>
          <xdr:rowOff>609600</xdr:rowOff>
        </xdr:to>
        <xdr:sp macro="" textlink="">
          <xdr:nvSpPr>
            <xdr:cNvPr id="56355" name="電卓" hidden="1">
              <a:extLst>
                <a:ext uri="{63B3BB69-23CF-44E3-9099-C40C66FF867C}">
                  <a14:compatExt spid="_x0000_s56355"/>
                </a:ext>
                <a:ext uri="{FF2B5EF4-FFF2-40B4-BE49-F238E27FC236}">
                  <a16:creationId xmlns:a16="http://schemas.microsoft.com/office/drawing/2014/main" id="{00000000-0008-0000-0A00-000023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電卓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400</xdr:row>
          <xdr:rowOff>104775</xdr:rowOff>
        </xdr:from>
        <xdr:to>
          <xdr:col>156</xdr:col>
          <xdr:colOff>38100</xdr:colOff>
          <xdr:row>401</xdr:row>
          <xdr:rowOff>133350</xdr:rowOff>
        </xdr:to>
        <xdr:sp macro="" textlink="">
          <xdr:nvSpPr>
            <xdr:cNvPr id="56356" name="データ更新" hidden="1">
              <a:extLst>
                <a:ext uri="{63B3BB69-23CF-44E3-9099-C40C66FF867C}">
                  <a14:compatExt spid="_x0000_s56356"/>
                </a:ext>
                <a:ext uri="{FF2B5EF4-FFF2-40B4-BE49-F238E27FC236}">
                  <a16:creationId xmlns:a16="http://schemas.microsoft.com/office/drawing/2014/main" id="{00000000-0008-0000-0A00-000024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ﾃﾞｰﾀ更新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76200</xdr:rowOff>
        </xdr:from>
        <xdr:to>
          <xdr:col>40</xdr:col>
          <xdr:colOff>76200</xdr:colOff>
          <xdr:row>0</xdr:row>
          <xdr:rowOff>295275</xdr:rowOff>
        </xdr:to>
        <xdr:sp macro="" textlink="">
          <xdr:nvSpPr>
            <xdr:cNvPr id="56357" name="並替" hidden="1">
              <a:extLst>
                <a:ext uri="{63B3BB69-23CF-44E3-9099-C40C66FF867C}">
                  <a14:compatExt spid="_x0000_s56357"/>
                </a:ext>
                <a:ext uri="{FF2B5EF4-FFF2-40B4-BE49-F238E27FC236}">
                  <a16:creationId xmlns:a16="http://schemas.microsoft.com/office/drawing/2014/main" id="{00000000-0008-0000-0A00-000025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並替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403</xdr:row>
          <xdr:rowOff>104775</xdr:rowOff>
        </xdr:from>
        <xdr:to>
          <xdr:col>156</xdr:col>
          <xdr:colOff>38100</xdr:colOff>
          <xdr:row>404</xdr:row>
          <xdr:rowOff>133350</xdr:rowOff>
        </xdr:to>
        <xdr:sp macro="" textlink="">
          <xdr:nvSpPr>
            <xdr:cNvPr id="56358" name="戻る2" hidden="1">
              <a:extLst>
                <a:ext uri="{63B3BB69-23CF-44E3-9099-C40C66FF867C}">
                  <a14:compatExt spid="_x0000_s56358"/>
                </a:ext>
                <a:ext uri="{FF2B5EF4-FFF2-40B4-BE49-F238E27FC236}">
                  <a16:creationId xmlns:a16="http://schemas.microsoft.com/office/drawing/2014/main" id="{00000000-0008-0000-0A00-000026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戻る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402</xdr:row>
          <xdr:rowOff>19050</xdr:rowOff>
        </xdr:from>
        <xdr:to>
          <xdr:col>156</xdr:col>
          <xdr:colOff>38100</xdr:colOff>
          <xdr:row>403</xdr:row>
          <xdr:rowOff>47625</xdr:rowOff>
        </xdr:to>
        <xdr:sp macro="" textlink="">
          <xdr:nvSpPr>
            <xdr:cNvPr id="56359" name="環境設定2" hidden="1">
              <a:extLst>
                <a:ext uri="{63B3BB69-23CF-44E3-9099-C40C66FF867C}">
                  <a14:compatExt spid="_x0000_s56359"/>
                </a:ext>
                <a:ext uri="{FF2B5EF4-FFF2-40B4-BE49-F238E27FC236}">
                  <a16:creationId xmlns:a16="http://schemas.microsoft.com/office/drawing/2014/main" id="{00000000-0008-0000-0A00-000027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環境設定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151</xdr:col>
          <xdr:colOff>123825</xdr:colOff>
          <xdr:row>399</xdr:row>
          <xdr:rowOff>0</xdr:rowOff>
        </xdr:from>
        <xdr:to>
          <xdr:col>156</xdr:col>
          <xdr:colOff>38100</xdr:colOff>
          <xdr:row>400</xdr:row>
          <xdr:rowOff>28575</xdr:rowOff>
        </xdr:to>
        <xdr:sp macro="" textlink="">
          <xdr:nvSpPr>
            <xdr:cNvPr id="56360" name="再選択" hidden="1">
              <a:extLst>
                <a:ext uri="{63B3BB69-23CF-44E3-9099-C40C66FF867C}">
                  <a14:compatExt spid="_x0000_s56360"/>
                </a:ext>
                <a:ext uri="{FF2B5EF4-FFF2-40B4-BE49-F238E27FC236}">
                  <a16:creationId xmlns:a16="http://schemas.microsoft.com/office/drawing/2014/main" id="{00000000-0008-0000-0A00-000028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再選択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8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19050</xdr:colOff>
          <xdr:row>0</xdr:row>
          <xdr:rowOff>400050</xdr:rowOff>
        </xdr:from>
        <xdr:to>
          <xdr:col>40</xdr:col>
          <xdr:colOff>76200</xdr:colOff>
          <xdr:row>0</xdr:row>
          <xdr:rowOff>619125</xdr:rowOff>
        </xdr:to>
        <xdr:sp macro="" textlink="">
          <xdr:nvSpPr>
            <xdr:cNvPr id="56361" name="ﾃﾞｰﾀ処理" hidden="1">
              <a:extLst>
                <a:ext uri="{63B3BB69-23CF-44E3-9099-C40C66FF867C}">
                  <a14:compatExt spid="_x0000_s56361"/>
                </a:ext>
                <a:ext uri="{FF2B5EF4-FFF2-40B4-BE49-F238E27FC236}">
                  <a16:creationId xmlns:a16="http://schemas.microsoft.com/office/drawing/2014/main" id="{00000000-0008-0000-0A00-000029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8000"/>
                  </a:solidFill>
                  <a:latin typeface="ＭＳ Ｐゴシック"/>
                  <a:ea typeface="ＭＳ Ｐゴシック"/>
                </a:rPr>
                <a:t>ﾃﾞｰﾀ処理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82</xdr:col>
          <xdr:colOff>142875</xdr:colOff>
          <xdr:row>98</xdr:row>
          <xdr:rowOff>66675</xdr:rowOff>
        </xdr:from>
        <xdr:to>
          <xdr:col>88</xdr:col>
          <xdr:colOff>133350</xdr:colOff>
          <xdr:row>99</xdr:row>
          <xdr:rowOff>95250</xdr:rowOff>
        </xdr:to>
        <xdr:sp macro="" textlink="">
          <xdr:nvSpPr>
            <xdr:cNvPr id="56362" name="Button 42" hidden="1">
              <a:extLst>
                <a:ext uri="{63B3BB69-23CF-44E3-9099-C40C66FF867C}">
                  <a14:compatExt spid="_x0000_s56362"/>
                </a:ext>
                <a:ext uri="{FF2B5EF4-FFF2-40B4-BE49-F238E27FC236}">
                  <a16:creationId xmlns:a16="http://schemas.microsoft.com/office/drawing/2014/main" id="{00000000-0008-0000-0A00-00002A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自社情報更新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118</xdr:row>
          <xdr:rowOff>9525</xdr:rowOff>
        </xdr:from>
        <xdr:to>
          <xdr:col>115</xdr:col>
          <xdr:colOff>447675</xdr:colOff>
          <xdr:row>118</xdr:row>
          <xdr:rowOff>180975</xdr:rowOff>
        </xdr:to>
        <xdr:sp macro="" textlink="">
          <xdr:nvSpPr>
            <xdr:cNvPr id="56363" name="参照1" hidden="1">
              <a:extLst>
                <a:ext uri="{63B3BB69-23CF-44E3-9099-C40C66FF867C}">
                  <a14:compatExt spid="_x0000_s56363"/>
                </a:ext>
                <a:ext uri="{FF2B5EF4-FFF2-40B4-BE49-F238E27FC236}">
                  <a16:creationId xmlns:a16="http://schemas.microsoft.com/office/drawing/2014/main" id="{00000000-0008-0000-0A00-00002B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115</xdr:col>
          <xdr:colOff>57150</xdr:colOff>
          <xdr:row>119</xdr:row>
          <xdr:rowOff>19050</xdr:rowOff>
        </xdr:from>
        <xdr:to>
          <xdr:col>115</xdr:col>
          <xdr:colOff>447675</xdr:colOff>
          <xdr:row>120</xdr:row>
          <xdr:rowOff>0</xdr:rowOff>
        </xdr:to>
        <xdr:sp macro="" textlink="">
          <xdr:nvSpPr>
            <xdr:cNvPr id="56364" name="参照2" hidden="1">
              <a:extLst>
                <a:ext uri="{63B3BB69-23CF-44E3-9099-C40C66FF867C}">
                  <a14:compatExt spid="_x0000_s56364"/>
                </a:ext>
                <a:ext uri="{FF2B5EF4-FFF2-40B4-BE49-F238E27FC236}">
                  <a16:creationId xmlns:a16="http://schemas.microsoft.com/office/drawing/2014/main" id="{00000000-0008-0000-0A00-00002C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900" b="0" i="0" u="none" strike="noStrike" baseline="0">
                  <a:solidFill>
                    <a:srgbClr val="000080"/>
                  </a:solidFill>
                  <a:latin typeface="ＭＳ Ｐゴシック"/>
                  <a:ea typeface="ＭＳ Ｐゴシック"/>
                </a:rPr>
                <a:t>参照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89</xdr:col>
          <xdr:colOff>57150</xdr:colOff>
          <xdr:row>98</xdr:row>
          <xdr:rowOff>57150</xdr:rowOff>
        </xdr:from>
        <xdr:to>
          <xdr:col>91</xdr:col>
          <xdr:colOff>142875</xdr:colOff>
          <xdr:row>99</xdr:row>
          <xdr:rowOff>85725</xdr:rowOff>
        </xdr:to>
        <xdr:sp macro="" textlink="">
          <xdr:nvSpPr>
            <xdr:cNvPr id="56365" name="Button 45" hidden="1">
              <a:extLst>
                <a:ext uri="{63B3BB69-23CF-44E3-9099-C40C66FF867C}">
                  <a14:compatExt spid="_x0000_s56365"/>
                </a:ext>
                <a:ext uri="{FF2B5EF4-FFF2-40B4-BE49-F238E27FC236}">
                  <a16:creationId xmlns:a16="http://schemas.microsoft.com/office/drawing/2014/main" id="{00000000-0008-0000-0A00-00002D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認証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92</xdr:col>
          <xdr:colOff>66675</xdr:colOff>
          <xdr:row>98</xdr:row>
          <xdr:rowOff>57150</xdr:rowOff>
        </xdr:from>
        <xdr:to>
          <xdr:col>97</xdr:col>
          <xdr:colOff>85725</xdr:colOff>
          <xdr:row>99</xdr:row>
          <xdr:rowOff>85725</xdr:rowOff>
        </xdr:to>
        <xdr:sp macro="" textlink="">
          <xdr:nvSpPr>
            <xdr:cNvPr id="56366" name="Button 46" hidden="1">
              <a:extLst>
                <a:ext uri="{63B3BB69-23CF-44E3-9099-C40C66FF867C}">
                  <a14:compatExt spid="_x0000_s56366"/>
                </a:ext>
                <a:ext uri="{FF2B5EF4-FFF2-40B4-BE49-F238E27FC236}">
                  <a16:creationId xmlns:a16="http://schemas.microsoft.com/office/drawing/2014/main" id="{00000000-0008-0000-0A00-00002E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MACアドレス</a:t>
              </a:r>
            </a:p>
            <a:p>
              <a:pPr algn="ctr" rtl="0">
                <a:defRPr sz="1000"/>
              </a:pPr>
              <a:endPara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28</xdr:col>
      <xdr:colOff>9525</xdr:colOff>
      <xdr:row>6</xdr:row>
      <xdr:rowOff>133350</xdr:rowOff>
    </xdr:from>
    <xdr:to>
      <xdr:col>44</xdr:col>
      <xdr:colOff>142875</xdr:colOff>
      <xdr:row>7</xdr:row>
      <xdr:rowOff>152400</xdr:rowOff>
    </xdr:to>
    <xdr:sp macro="" textlink="">
      <xdr:nvSpPr>
        <xdr:cNvPr id="6" name="自社タイトル">
          <a:extLst>
            <a:ext uri="{FF2B5EF4-FFF2-40B4-BE49-F238E27FC236}">
              <a16:creationId xmlns:a16="http://schemas.microsoft.com/office/drawing/2014/main" id="{963F873A-7253-4B4F-B94D-EA4466CBA2DF}"/>
            </a:ext>
          </a:extLst>
        </xdr:cNvPr>
        <xdr:cNvSpPr>
          <a:spLocks noChangeArrowheads="1"/>
        </xdr:cNvSpPr>
      </xdr:nvSpPr>
      <xdr:spPr bwMode="auto">
        <a:xfrm>
          <a:off x="4838700" y="1819275"/>
          <a:ext cx="27336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サンマックスレーザー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FL/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GS/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LT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シリーズ</a:t>
          </a:r>
          <a:endParaRPr lang="ja-JP" altLang="en-US"/>
        </a:p>
      </xdr:txBody>
    </xdr:sp>
    <xdr:clientData/>
  </xdr:twoCellAnchor>
  <xdr:twoCellAnchor editAs="oneCell">
    <xdr:from>
      <xdr:col>39</xdr:col>
      <xdr:colOff>53975</xdr:colOff>
      <xdr:row>7</xdr:row>
      <xdr:rowOff>53975</xdr:rowOff>
    </xdr:from>
    <xdr:to>
      <xdr:col>44</xdr:col>
      <xdr:colOff>6350</xdr:colOff>
      <xdr:row>9</xdr:row>
      <xdr:rowOff>311150</xdr:rowOff>
    </xdr:to>
    <xdr:pic>
      <xdr:nvPicPr>
        <xdr:cNvPr id="7" name="Picture 393" descr="サンマックス">
          <a:extLst>
            <a:ext uri="{FF2B5EF4-FFF2-40B4-BE49-F238E27FC236}">
              <a16:creationId xmlns:a16="http://schemas.microsoft.com/office/drawing/2014/main" id="{47CAF49E-5B51-411E-A815-8135DF6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31000" y="1930400"/>
          <a:ext cx="7048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18</xdr:row>
      <xdr:rowOff>142875</xdr:rowOff>
    </xdr:from>
    <xdr:to>
      <xdr:col>31</xdr:col>
      <xdr:colOff>0</xdr:colOff>
      <xdr:row>21</xdr:row>
      <xdr:rowOff>133350</xdr:rowOff>
    </xdr:to>
    <xdr:pic>
      <xdr:nvPicPr>
        <xdr:cNvPr id="8" name="Picture 395" descr="田中">
          <a:extLst>
            <a:ext uri="{FF2B5EF4-FFF2-40B4-BE49-F238E27FC236}">
              <a16:creationId xmlns:a16="http://schemas.microsoft.com/office/drawing/2014/main" id="{358A9C31-3081-4F1E-B720-CDD987AE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3800475"/>
          <a:ext cx="4476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76200</xdr:colOff>
      <xdr:row>9</xdr:row>
      <xdr:rowOff>133351</xdr:rowOff>
    </xdr:from>
    <xdr:to>
      <xdr:col>43</xdr:col>
      <xdr:colOff>102265</xdr:colOff>
      <xdr:row>10</xdr:row>
      <xdr:rowOff>133351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E18A181-9049-41CB-ACA6-0C038C098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05375" y="2390776"/>
          <a:ext cx="246446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6.xml"/><Relationship Id="rId18" Type="http://schemas.openxmlformats.org/officeDocument/2006/relationships/ctrlProp" Target="../ctrlProps/ctrlProp61.xml"/><Relationship Id="rId26" Type="http://schemas.openxmlformats.org/officeDocument/2006/relationships/ctrlProp" Target="../ctrlProps/ctrlProp69.xml"/><Relationship Id="rId39" Type="http://schemas.openxmlformats.org/officeDocument/2006/relationships/ctrlProp" Target="../ctrlProps/ctrlProp82.xml"/><Relationship Id="rId21" Type="http://schemas.openxmlformats.org/officeDocument/2006/relationships/ctrlProp" Target="../ctrlProps/ctrlProp64.xml"/><Relationship Id="rId34" Type="http://schemas.openxmlformats.org/officeDocument/2006/relationships/ctrlProp" Target="../ctrlProps/ctrlProp77.xml"/><Relationship Id="rId42" Type="http://schemas.openxmlformats.org/officeDocument/2006/relationships/ctrlProp" Target="../ctrlProps/ctrlProp85.xml"/><Relationship Id="rId47" Type="http://schemas.openxmlformats.org/officeDocument/2006/relationships/ctrlProp" Target="../ctrlProps/ctrlProp90.xml"/><Relationship Id="rId7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9.xml"/><Relationship Id="rId29" Type="http://schemas.openxmlformats.org/officeDocument/2006/relationships/ctrlProp" Target="../ctrlProps/ctrlProp72.xml"/><Relationship Id="rId11" Type="http://schemas.openxmlformats.org/officeDocument/2006/relationships/ctrlProp" Target="../ctrlProps/ctrlProp54.xml"/><Relationship Id="rId24" Type="http://schemas.openxmlformats.org/officeDocument/2006/relationships/ctrlProp" Target="../ctrlProps/ctrlProp67.xml"/><Relationship Id="rId32" Type="http://schemas.openxmlformats.org/officeDocument/2006/relationships/ctrlProp" Target="../ctrlProps/ctrlProp75.xml"/><Relationship Id="rId37" Type="http://schemas.openxmlformats.org/officeDocument/2006/relationships/ctrlProp" Target="../ctrlProps/ctrlProp80.xml"/><Relationship Id="rId40" Type="http://schemas.openxmlformats.org/officeDocument/2006/relationships/ctrlProp" Target="../ctrlProps/ctrlProp83.xml"/><Relationship Id="rId45" Type="http://schemas.openxmlformats.org/officeDocument/2006/relationships/ctrlProp" Target="../ctrlProps/ctrlProp88.xml"/><Relationship Id="rId5" Type="http://schemas.openxmlformats.org/officeDocument/2006/relationships/ctrlProp" Target="../ctrlProps/ctrlProp48.xml"/><Relationship Id="rId15" Type="http://schemas.openxmlformats.org/officeDocument/2006/relationships/ctrlProp" Target="../ctrlProps/ctrlProp58.xml"/><Relationship Id="rId23" Type="http://schemas.openxmlformats.org/officeDocument/2006/relationships/ctrlProp" Target="../ctrlProps/ctrlProp66.xml"/><Relationship Id="rId28" Type="http://schemas.openxmlformats.org/officeDocument/2006/relationships/ctrlProp" Target="../ctrlProps/ctrlProp71.xml"/><Relationship Id="rId36" Type="http://schemas.openxmlformats.org/officeDocument/2006/relationships/ctrlProp" Target="../ctrlProps/ctrlProp79.xml"/><Relationship Id="rId49" Type="http://schemas.openxmlformats.org/officeDocument/2006/relationships/ctrlProp" Target="../ctrlProps/ctrlProp92.xml"/><Relationship Id="rId10" Type="http://schemas.openxmlformats.org/officeDocument/2006/relationships/ctrlProp" Target="../ctrlProps/ctrlProp53.xml"/><Relationship Id="rId19" Type="http://schemas.openxmlformats.org/officeDocument/2006/relationships/ctrlProp" Target="../ctrlProps/ctrlProp62.xml"/><Relationship Id="rId31" Type="http://schemas.openxmlformats.org/officeDocument/2006/relationships/ctrlProp" Target="../ctrlProps/ctrlProp74.xml"/><Relationship Id="rId44" Type="http://schemas.openxmlformats.org/officeDocument/2006/relationships/ctrlProp" Target="../ctrlProps/ctrlProp87.xml"/><Relationship Id="rId4" Type="http://schemas.openxmlformats.org/officeDocument/2006/relationships/ctrlProp" Target="../ctrlProps/ctrlProp47.xml"/><Relationship Id="rId9" Type="http://schemas.openxmlformats.org/officeDocument/2006/relationships/ctrlProp" Target="../ctrlProps/ctrlProp52.xml"/><Relationship Id="rId14" Type="http://schemas.openxmlformats.org/officeDocument/2006/relationships/ctrlProp" Target="../ctrlProps/ctrlProp57.xml"/><Relationship Id="rId22" Type="http://schemas.openxmlformats.org/officeDocument/2006/relationships/ctrlProp" Target="../ctrlProps/ctrlProp65.xml"/><Relationship Id="rId27" Type="http://schemas.openxmlformats.org/officeDocument/2006/relationships/ctrlProp" Target="../ctrlProps/ctrlProp70.xml"/><Relationship Id="rId30" Type="http://schemas.openxmlformats.org/officeDocument/2006/relationships/ctrlProp" Target="../ctrlProps/ctrlProp73.xml"/><Relationship Id="rId35" Type="http://schemas.openxmlformats.org/officeDocument/2006/relationships/ctrlProp" Target="../ctrlProps/ctrlProp78.xml"/><Relationship Id="rId43" Type="http://schemas.openxmlformats.org/officeDocument/2006/relationships/ctrlProp" Target="../ctrlProps/ctrlProp86.xml"/><Relationship Id="rId48" Type="http://schemas.openxmlformats.org/officeDocument/2006/relationships/ctrlProp" Target="../ctrlProps/ctrlProp91.xml"/><Relationship Id="rId8" Type="http://schemas.openxmlformats.org/officeDocument/2006/relationships/ctrlProp" Target="../ctrlProps/ctrlProp51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55.xml"/><Relationship Id="rId17" Type="http://schemas.openxmlformats.org/officeDocument/2006/relationships/ctrlProp" Target="../ctrlProps/ctrlProp60.xml"/><Relationship Id="rId25" Type="http://schemas.openxmlformats.org/officeDocument/2006/relationships/ctrlProp" Target="../ctrlProps/ctrlProp68.xml"/><Relationship Id="rId33" Type="http://schemas.openxmlformats.org/officeDocument/2006/relationships/ctrlProp" Target="../ctrlProps/ctrlProp76.xml"/><Relationship Id="rId38" Type="http://schemas.openxmlformats.org/officeDocument/2006/relationships/ctrlProp" Target="../ctrlProps/ctrlProp81.xml"/><Relationship Id="rId46" Type="http://schemas.openxmlformats.org/officeDocument/2006/relationships/ctrlProp" Target="../ctrlProps/ctrlProp89.xml"/><Relationship Id="rId20" Type="http://schemas.openxmlformats.org/officeDocument/2006/relationships/ctrlProp" Target="../ctrlProps/ctrlProp63.xml"/><Relationship Id="rId41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9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2.xml"/><Relationship Id="rId18" Type="http://schemas.openxmlformats.org/officeDocument/2006/relationships/ctrlProp" Target="../ctrlProps/ctrlProp107.xml"/><Relationship Id="rId26" Type="http://schemas.openxmlformats.org/officeDocument/2006/relationships/ctrlProp" Target="../ctrlProps/ctrlProp115.xml"/><Relationship Id="rId39" Type="http://schemas.openxmlformats.org/officeDocument/2006/relationships/ctrlProp" Target="../ctrlProps/ctrlProp128.xml"/><Relationship Id="rId21" Type="http://schemas.openxmlformats.org/officeDocument/2006/relationships/ctrlProp" Target="../ctrlProps/ctrlProp110.xml"/><Relationship Id="rId34" Type="http://schemas.openxmlformats.org/officeDocument/2006/relationships/ctrlProp" Target="../ctrlProps/ctrlProp123.xml"/><Relationship Id="rId42" Type="http://schemas.openxmlformats.org/officeDocument/2006/relationships/ctrlProp" Target="../ctrlProps/ctrlProp131.xml"/><Relationship Id="rId47" Type="http://schemas.openxmlformats.org/officeDocument/2006/relationships/ctrlProp" Target="../ctrlProps/ctrlProp136.xml"/><Relationship Id="rId7" Type="http://schemas.openxmlformats.org/officeDocument/2006/relationships/ctrlProp" Target="../ctrlProps/ctrlProp9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05.xml"/><Relationship Id="rId29" Type="http://schemas.openxmlformats.org/officeDocument/2006/relationships/ctrlProp" Target="../ctrlProps/ctrlProp118.xml"/><Relationship Id="rId11" Type="http://schemas.openxmlformats.org/officeDocument/2006/relationships/ctrlProp" Target="../ctrlProps/ctrlProp100.xml"/><Relationship Id="rId24" Type="http://schemas.openxmlformats.org/officeDocument/2006/relationships/ctrlProp" Target="../ctrlProps/ctrlProp113.xml"/><Relationship Id="rId32" Type="http://schemas.openxmlformats.org/officeDocument/2006/relationships/ctrlProp" Target="../ctrlProps/ctrlProp121.xml"/><Relationship Id="rId37" Type="http://schemas.openxmlformats.org/officeDocument/2006/relationships/ctrlProp" Target="../ctrlProps/ctrlProp126.xml"/><Relationship Id="rId40" Type="http://schemas.openxmlformats.org/officeDocument/2006/relationships/ctrlProp" Target="../ctrlProps/ctrlProp129.xml"/><Relationship Id="rId45" Type="http://schemas.openxmlformats.org/officeDocument/2006/relationships/ctrlProp" Target="../ctrlProps/ctrlProp134.xml"/><Relationship Id="rId5" Type="http://schemas.openxmlformats.org/officeDocument/2006/relationships/ctrlProp" Target="../ctrlProps/ctrlProp94.xml"/><Relationship Id="rId15" Type="http://schemas.openxmlformats.org/officeDocument/2006/relationships/ctrlProp" Target="../ctrlProps/ctrlProp104.xml"/><Relationship Id="rId23" Type="http://schemas.openxmlformats.org/officeDocument/2006/relationships/ctrlProp" Target="../ctrlProps/ctrlProp112.xml"/><Relationship Id="rId28" Type="http://schemas.openxmlformats.org/officeDocument/2006/relationships/ctrlProp" Target="../ctrlProps/ctrlProp117.xml"/><Relationship Id="rId36" Type="http://schemas.openxmlformats.org/officeDocument/2006/relationships/ctrlProp" Target="../ctrlProps/ctrlProp125.xml"/><Relationship Id="rId49" Type="http://schemas.openxmlformats.org/officeDocument/2006/relationships/ctrlProp" Target="../ctrlProps/ctrlProp138.xml"/><Relationship Id="rId10" Type="http://schemas.openxmlformats.org/officeDocument/2006/relationships/ctrlProp" Target="../ctrlProps/ctrlProp99.xml"/><Relationship Id="rId19" Type="http://schemas.openxmlformats.org/officeDocument/2006/relationships/ctrlProp" Target="../ctrlProps/ctrlProp108.xml"/><Relationship Id="rId31" Type="http://schemas.openxmlformats.org/officeDocument/2006/relationships/ctrlProp" Target="../ctrlProps/ctrlProp120.xml"/><Relationship Id="rId44" Type="http://schemas.openxmlformats.org/officeDocument/2006/relationships/ctrlProp" Target="../ctrlProps/ctrlProp133.xml"/><Relationship Id="rId4" Type="http://schemas.openxmlformats.org/officeDocument/2006/relationships/ctrlProp" Target="../ctrlProps/ctrlProp93.xml"/><Relationship Id="rId9" Type="http://schemas.openxmlformats.org/officeDocument/2006/relationships/ctrlProp" Target="../ctrlProps/ctrlProp98.xml"/><Relationship Id="rId14" Type="http://schemas.openxmlformats.org/officeDocument/2006/relationships/ctrlProp" Target="../ctrlProps/ctrlProp103.xml"/><Relationship Id="rId22" Type="http://schemas.openxmlformats.org/officeDocument/2006/relationships/ctrlProp" Target="../ctrlProps/ctrlProp111.xml"/><Relationship Id="rId27" Type="http://schemas.openxmlformats.org/officeDocument/2006/relationships/ctrlProp" Target="../ctrlProps/ctrlProp116.xml"/><Relationship Id="rId30" Type="http://schemas.openxmlformats.org/officeDocument/2006/relationships/ctrlProp" Target="../ctrlProps/ctrlProp119.xml"/><Relationship Id="rId35" Type="http://schemas.openxmlformats.org/officeDocument/2006/relationships/ctrlProp" Target="../ctrlProps/ctrlProp124.xml"/><Relationship Id="rId43" Type="http://schemas.openxmlformats.org/officeDocument/2006/relationships/ctrlProp" Target="../ctrlProps/ctrlProp132.xml"/><Relationship Id="rId48" Type="http://schemas.openxmlformats.org/officeDocument/2006/relationships/ctrlProp" Target="../ctrlProps/ctrlProp137.xml"/><Relationship Id="rId8" Type="http://schemas.openxmlformats.org/officeDocument/2006/relationships/ctrlProp" Target="../ctrlProps/ctrlProp97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01.xml"/><Relationship Id="rId17" Type="http://schemas.openxmlformats.org/officeDocument/2006/relationships/ctrlProp" Target="../ctrlProps/ctrlProp106.xml"/><Relationship Id="rId25" Type="http://schemas.openxmlformats.org/officeDocument/2006/relationships/ctrlProp" Target="../ctrlProps/ctrlProp114.xml"/><Relationship Id="rId33" Type="http://schemas.openxmlformats.org/officeDocument/2006/relationships/ctrlProp" Target="../ctrlProps/ctrlProp122.xml"/><Relationship Id="rId38" Type="http://schemas.openxmlformats.org/officeDocument/2006/relationships/ctrlProp" Target="../ctrlProps/ctrlProp127.xml"/><Relationship Id="rId46" Type="http://schemas.openxmlformats.org/officeDocument/2006/relationships/ctrlProp" Target="../ctrlProps/ctrlProp135.xml"/><Relationship Id="rId20" Type="http://schemas.openxmlformats.org/officeDocument/2006/relationships/ctrlProp" Target="../ctrlProps/ctrlProp109.xml"/><Relationship Id="rId41" Type="http://schemas.openxmlformats.org/officeDocument/2006/relationships/ctrlProp" Target="../ctrlProps/ctrlProp130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95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48.xml"/><Relationship Id="rId18" Type="http://schemas.openxmlformats.org/officeDocument/2006/relationships/ctrlProp" Target="../ctrlProps/ctrlProp153.xml"/><Relationship Id="rId26" Type="http://schemas.openxmlformats.org/officeDocument/2006/relationships/ctrlProp" Target="../ctrlProps/ctrlProp161.xml"/><Relationship Id="rId39" Type="http://schemas.openxmlformats.org/officeDocument/2006/relationships/ctrlProp" Target="../ctrlProps/ctrlProp174.xml"/><Relationship Id="rId21" Type="http://schemas.openxmlformats.org/officeDocument/2006/relationships/ctrlProp" Target="../ctrlProps/ctrlProp156.xml"/><Relationship Id="rId34" Type="http://schemas.openxmlformats.org/officeDocument/2006/relationships/ctrlProp" Target="../ctrlProps/ctrlProp169.xml"/><Relationship Id="rId42" Type="http://schemas.openxmlformats.org/officeDocument/2006/relationships/ctrlProp" Target="../ctrlProps/ctrlProp177.xml"/><Relationship Id="rId47" Type="http://schemas.openxmlformats.org/officeDocument/2006/relationships/ctrlProp" Target="../ctrlProps/ctrlProp182.xml"/><Relationship Id="rId7" Type="http://schemas.openxmlformats.org/officeDocument/2006/relationships/ctrlProp" Target="../ctrlProps/ctrlProp142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151.xml"/><Relationship Id="rId29" Type="http://schemas.openxmlformats.org/officeDocument/2006/relationships/ctrlProp" Target="../ctrlProps/ctrlProp164.xml"/><Relationship Id="rId11" Type="http://schemas.openxmlformats.org/officeDocument/2006/relationships/ctrlProp" Target="../ctrlProps/ctrlProp146.xml"/><Relationship Id="rId24" Type="http://schemas.openxmlformats.org/officeDocument/2006/relationships/ctrlProp" Target="../ctrlProps/ctrlProp159.xml"/><Relationship Id="rId32" Type="http://schemas.openxmlformats.org/officeDocument/2006/relationships/ctrlProp" Target="../ctrlProps/ctrlProp167.xml"/><Relationship Id="rId37" Type="http://schemas.openxmlformats.org/officeDocument/2006/relationships/ctrlProp" Target="../ctrlProps/ctrlProp172.xml"/><Relationship Id="rId40" Type="http://schemas.openxmlformats.org/officeDocument/2006/relationships/ctrlProp" Target="../ctrlProps/ctrlProp175.xml"/><Relationship Id="rId45" Type="http://schemas.openxmlformats.org/officeDocument/2006/relationships/ctrlProp" Target="../ctrlProps/ctrlProp180.xml"/><Relationship Id="rId5" Type="http://schemas.openxmlformats.org/officeDocument/2006/relationships/ctrlProp" Target="../ctrlProps/ctrlProp140.xml"/><Relationship Id="rId15" Type="http://schemas.openxmlformats.org/officeDocument/2006/relationships/ctrlProp" Target="../ctrlProps/ctrlProp150.xml"/><Relationship Id="rId23" Type="http://schemas.openxmlformats.org/officeDocument/2006/relationships/ctrlProp" Target="../ctrlProps/ctrlProp158.xml"/><Relationship Id="rId28" Type="http://schemas.openxmlformats.org/officeDocument/2006/relationships/ctrlProp" Target="../ctrlProps/ctrlProp163.xml"/><Relationship Id="rId36" Type="http://schemas.openxmlformats.org/officeDocument/2006/relationships/ctrlProp" Target="../ctrlProps/ctrlProp171.xml"/><Relationship Id="rId49" Type="http://schemas.openxmlformats.org/officeDocument/2006/relationships/ctrlProp" Target="../ctrlProps/ctrlProp184.xml"/><Relationship Id="rId10" Type="http://schemas.openxmlformats.org/officeDocument/2006/relationships/ctrlProp" Target="../ctrlProps/ctrlProp145.xml"/><Relationship Id="rId19" Type="http://schemas.openxmlformats.org/officeDocument/2006/relationships/ctrlProp" Target="../ctrlProps/ctrlProp154.xml"/><Relationship Id="rId31" Type="http://schemas.openxmlformats.org/officeDocument/2006/relationships/ctrlProp" Target="../ctrlProps/ctrlProp166.xml"/><Relationship Id="rId44" Type="http://schemas.openxmlformats.org/officeDocument/2006/relationships/ctrlProp" Target="../ctrlProps/ctrlProp179.xml"/><Relationship Id="rId4" Type="http://schemas.openxmlformats.org/officeDocument/2006/relationships/ctrlProp" Target="../ctrlProps/ctrlProp139.xml"/><Relationship Id="rId9" Type="http://schemas.openxmlformats.org/officeDocument/2006/relationships/ctrlProp" Target="../ctrlProps/ctrlProp144.xml"/><Relationship Id="rId14" Type="http://schemas.openxmlformats.org/officeDocument/2006/relationships/ctrlProp" Target="../ctrlProps/ctrlProp149.xml"/><Relationship Id="rId22" Type="http://schemas.openxmlformats.org/officeDocument/2006/relationships/ctrlProp" Target="../ctrlProps/ctrlProp157.xml"/><Relationship Id="rId27" Type="http://schemas.openxmlformats.org/officeDocument/2006/relationships/ctrlProp" Target="../ctrlProps/ctrlProp162.xml"/><Relationship Id="rId30" Type="http://schemas.openxmlformats.org/officeDocument/2006/relationships/ctrlProp" Target="../ctrlProps/ctrlProp165.xml"/><Relationship Id="rId35" Type="http://schemas.openxmlformats.org/officeDocument/2006/relationships/ctrlProp" Target="../ctrlProps/ctrlProp170.xml"/><Relationship Id="rId43" Type="http://schemas.openxmlformats.org/officeDocument/2006/relationships/ctrlProp" Target="../ctrlProps/ctrlProp178.xml"/><Relationship Id="rId48" Type="http://schemas.openxmlformats.org/officeDocument/2006/relationships/ctrlProp" Target="../ctrlProps/ctrlProp183.xml"/><Relationship Id="rId8" Type="http://schemas.openxmlformats.org/officeDocument/2006/relationships/ctrlProp" Target="../ctrlProps/ctrlProp143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147.xml"/><Relationship Id="rId17" Type="http://schemas.openxmlformats.org/officeDocument/2006/relationships/ctrlProp" Target="../ctrlProps/ctrlProp152.xml"/><Relationship Id="rId25" Type="http://schemas.openxmlformats.org/officeDocument/2006/relationships/ctrlProp" Target="../ctrlProps/ctrlProp160.xml"/><Relationship Id="rId33" Type="http://schemas.openxmlformats.org/officeDocument/2006/relationships/ctrlProp" Target="../ctrlProps/ctrlProp168.xml"/><Relationship Id="rId38" Type="http://schemas.openxmlformats.org/officeDocument/2006/relationships/ctrlProp" Target="../ctrlProps/ctrlProp173.xml"/><Relationship Id="rId46" Type="http://schemas.openxmlformats.org/officeDocument/2006/relationships/ctrlProp" Target="../ctrlProps/ctrlProp181.xml"/><Relationship Id="rId20" Type="http://schemas.openxmlformats.org/officeDocument/2006/relationships/ctrlProp" Target="../ctrlProps/ctrlProp155.xml"/><Relationship Id="rId41" Type="http://schemas.openxmlformats.org/officeDocument/2006/relationships/ctrlProp" Target="../ctrlProps/ctrlProp17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41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94.xml"/><Relationship Id="rId18" Type="http://schemas.openxmlformats.org/officeDocument/2006/relationships/ctrlProp" Target="../ctrlProps/ctrlProp199.xml"/><Relationship Id="rId26" Type="http://schemas.openxmlformats.org/officeDocument/2006/relationships/ctrlProp" Target="../ctrlProps/ctrlProp207.xml"/><Relationship Id="rId39" Type="http://schemas.openxmlformats.org/officeDocument/2006/relationships/ctrlProp" Target="../ctrlProps/ctrlProp220.xml"/><Relationship Id="rId21" Type="http://schemas.openxmlformats.org/officeDocument/2006/relationships/ctrlProp" Target="../ctrlProps/ctrlProp202.xml"/><Relationship Id="rId34" Type="http://schemas.openxmlformats.org/officeDocument/2006/relationships/ctrlProp" Target="../ctrlProps/ctrlProp215.xml"/><Relationship Id="rId42" Type="http://schemas.openxmlformats.org/officeDocument/2006/relationships/ctrlProp" Target="../ctrlProps/ctrlProp223.xml"/><Relationship Id="rId47" Type="http://schemas.openxmlformats.org/officeDocument/2006/relationships/ctrlProp" Target="../ctrlProps/ctrlProp228.xml"/><Relationship Id="rId7" Type="http://schemas.openxmlformats.org/officeDocument/2006/relationships/ctrlProp" Target="../ctrlProps/ctrlProp188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97.xml"/><Relationship Id="rId29" Type="http://schemas.openxmlformats.org/officeDocument/2006/relationships/ctrlProp" Target="../ctrlProps/ctrlProp210.xml"/><Relationship Id="rId11" Type="http://schemas.openxmlformats.org/officeDocument/2006/relationships/ctrlProp" Target="../ctrlProps/ctrlProp192.xml"/><Relationship Id="rId24" Type="http://schemas.openxmlformats.org/officeDocument/2006/relationships/ctrlProp" Target="../ctrlProps/ctrlProp205.xml"/><Relationship Id="rId32" Type="http://schemas.openxmlformats.org/officeDocument/2006/relationships/ctrlProp" Target="../ctrlProps/ctrlProp213.xml"/><Relationship Id="rId37" Type="http://schemas.openxmlformats.org/officeDocument/2006/relationships/ctrlProp" Target="../ctrlProps/ctrlProp218.xml"/><Relationship Id="rId40" Type="http://schemas.openxmlformats.org/officeDocument/2006/relationships/ctrlProp" Target="../ctrlProps/ctrlProp221.xml"/><Relationship Id="rId45" Type="http://schemas.openxmlformats.org/officeDocument/2006/relationships/ctrlProp" Target="../ctrlProps/ctrlProp226.xml"/><Relationship Id="rId5" Type="http://schemas.openxmlformats.org/officeDocument/2006/relationships/ctrlProp" Target="../ctrlProps/ctrlProp186.xml"/><Relationship Id="rId15" Type="http://schemas.openxmlformats.org/officeDocument/2006/relationships/ctrlProp" Target="../ctrlProps/ctrlProp196.xml"/><Relationship Id="rId23" Type="http://schemas.openxmlformats.org/officeDocument/2006/relationships/ctrlProp" Target="../ctrlProps/ctrlProp204.xml"/><Relationship Id="rId28" Type="http://schemas.openxmlformats.org/officeDocument/2006/relationships/ctrlProp" Target="../ctrlProps/ctrlProp209.xml"/><Relationship Id="rId36" Type="http://schemas.openxmlformats.org/officeDocument/2006/relationships/ctrlProp" Target="../ctrlProps/ctrlProp217.xml"/><Relationship Id="rId49" Type="http://schemas.openxmlformats.org/officeDocument/2006/relationships/ctrlProp" Target="../ctrlProps/ctrlProp230.xml"/><Relationship Id="rId10" Type="http://schemas.openxmlformats.org/officeDocument/2006/relationships/ctrlProp" Target="../ctrlProps/ctrlProp191.xml"/><Relationship Id="rId19" Type="http://schemas.openxmlformats.org/officeDocument/2006/relationships/ctrlProp" Target="../ctrlProps/ctrlProp200.xml"/><Relationship Id="rId31" Type="http://schemas.openxmlformats.org/officeDocument/2006/relationships/ctrlProp" Target="../ctrlProps/ctrlProp212.xml"/><Relationship Id="rId44" Type="http://schemas.openxmlformats.org/officeDocument/2006/relationships/ctrlProp" Target="../ctrlProps/ctrlProp225.xml"/><Relationship Id="rId4" Type="http://schemas.openxmlformats.org/officeDocument/2006/relationships/ctrlProp" Target="../ctrlProps/ctrlProp185.xml"/><Relationship Id="rId9" Type="http://schemas.openxmlformats.org/officeDocument/2006/relationships/ctrlProp" Target="../ctrlProps/ctrlProp190.xml"/><Relationship Id="rId14" Type="http://schemas.openxmlformats.org/officeDocument/2006/relationships/ctrlProp" Target="../ctrlProps/ctrlProp195.xml"/><Relationship Id="rId22" Type="http://schemas.openxmlformats.org/officeDocument/2006/relationships/ctrlProp" Target="../ctrlProps/ctrlProp203.xml"/><Relationship Id="rId27" Type="http://schemas.openxmlformats.org/officeDocument/2006/relationships/ctrlProp" Target="../ctrlProps/ctrlProp208.xml"/><Relationship Id="rId30" Type="http://schemas.openxmlformats.org/officeDocument/2006/relationships/ctrlProp" Target="../ctrlProps/ctrlProp211.xml"/><Relationship Id="rId35" Type="http://schemas.openxmlformats.org/officeDocument/2006/relationships/ctrlProp" Target="../ctrlProps/ctrlProp216.xml"/><Relationship Id="rId43" Type="http://schemas.openxmlformats.org/officeDocument/2006/relationships/ctrlProp" Target="../ctrlProps/ctrlProp224.xml"/><Relationship Id="rId48" Type="http://schemas.openxmlformats.org/officeDocument/2006/relationships/ctrlProp" Target="../ctrlProps/ctrlProp229.xml"/><Relationship Id="rId8" Type="http://schemas.openxmlformats.org/officeDocument/2006/relationships/ctrlProp" Target="../ctrlProps/ctrlProp189.xml"/><Relationship Id="rId3" Type="http://schemas.openxmlformats.org/officeDocument/2006/relationships/vmlDrawing" Target="../drawings/vmlDrawing5.vml"/><Relationship Id="rId12" Type="http://schemas.openxmlformats.org/officeDocument/2006/relationships/ctrlProp" Target="../ctrlProps/ctrlProp193.xml"/><Relationship Id="rId17" Type="http://schemas.openxmlformats.org/officeDocument/2006/relationships/ctrlProp" Target="../ctrlProps/ctrlProp198.xml"/><Relationship Id="rId25" Type="http://schemas.openxmlformats.org/officeDocument/2006/relationships/ctrlProp" Target="../ctrlProps/ctrlProp206.xml"/><Relationship Id="rId33" Type="http://schemas.openxmlformats.org/officeDocument/2006/relationships/ctrlProp" Target="../ctrlProps/ctrlProp214.xml"/><Relationship Id="rId38" Type="http://schemas.openxmlformats.org/officeDocument/2006/relationships/ctrlProp" Target="../ctrlProps/ctrlProp219.xml"/><Relationship Id="rId46" Type="http://schemas.openxmlformats.org/officeDocument/2006/relationships/ctrlProp" Target="../ctrlProps/ctrlProp227.xml"/><Relationship Id="rId20" Type="http://schemas.openxmlformats.org/officeDocument/2006/relationships/ctrlProp" Target="../ctrlProps/ctrlProp201.xml"/><Relationship Id="rId41" Type="http://schemas.openxmlformats.org/officeDocument/2006/relationships/ctrlProp" Target="../ctrlProps/ctrlProp22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87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40.xml"/><Relationship Id="rId18" Type="http://schemas.openxmlformats.org/officeDocument/2006/relationships/ctrlProp" Target="../ctrlProps/ctrlProp245.xml"/><Relationship Id="rId26" Type="http://schemas.openxmlformats.org/officeDocument/2006/relationships/ctrlProp" Target="../ctrlProps/ctrlProp253.xml"/><Relationship Id="rId39" Type="http://schemas.openxmlformats.org/officeDocument/2006/relationships/ctrlProp" Target="../ctrlProps/ctrlProp266.xml"/><Relationship Id="rId21" Type="http://schemas.openxmlformats.org/officeDocument/2006/relationships/ctrlProp" Target="../ctrlProps/ctrlProp248.xml"/><Relationship Id="rId34" Type="http://schemas.openxmlformats.org/officeDocument/2006/relationships/ctrlProp" Target="../ctrlProps/ctrlProp261.xml"/><Relationship Id="rId42" Type="http://schemas.openxmlformats.org/officeDocument/2006/relationships/ctrlProp" Target="../ctrlProps/ctrlProp269.xml"/><Relationship Id="rId47" Type="http://schemas.openxmlformats.org/officeDocument/2006/relationships/ctrlProp" Target="../ctrlProps/ctrlProp274.xml"/><Relationship Id="rId7" Type="http://schemas.openxmlformats.org/officeDocument/2006/relationships/ctrlProp" Target="../ctrlProps/ctrlProp234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243.xml"/><Relationship Id="rId29" Type="http://schemas.openxmlformats.org/officeDocument/2006/relationships/ctrlProp" Target="../ctrlProps/ctrlProp256.xml"/><Relationship Id="rId11" Type="http://schemas.openxmlformats.org/officeDocument/2006/relationships/ctrlProp" Target="../ctrlProps/ctrlProp238.xml"/><Relationship Id="rId24" Type="http://schemas.openxmlformats.org/officeDocument/2006/relationships/ctrlProp" Target="../ctrlProps/ctrlProp251.xml"/><Relationship Id="rId32" Type="http://schemas.openxmlformats.org/officeDocument/2006/relationships/ctrlProp" Target="../ctrlProps/ctrlProp259.xml"/><Relationship Id="rId37" Type="http://schemas.openxmlformats.org/officeDocument/2006/relationships/ctrlProp" Target="../ctrlProps/ctrlProp264.xml"/><Relationship Id="rId40" Type="http://schemas.openxmlformats.org/officeDocument/2006/relationships/ctrlProp" Target="../ctrlProps/ctrlProp267.xml"/><Relationship Id="rId45" Type="http://schemas.openxmlformats.org/officeDocument/2006/relationships/ctrlProp" Target="../ctrlProps/ctrlProp272.xml"/><Relationship Id="rId5" Type="http://schemas.openxmlformats.org/officeDocument/2006/relationships/ctrlProp" Target="../ctrlProps/ctrlProp232.xml"/><Relationship Id="rId15" Type="http://schemas.openxmlformats.org/officeDocument/2006/relationships/ctrlProp" Target="../ctrlProps/ctrlProp242.xml"/><Relationship Id="rId23" Type="http://schemas.openxmlformats.org/officeDocument/2006/relationships/ctrlProp" Target="../ctrlProps/ctrlProp250.xml"/><Relationship Id="rId28" Type="http://schemas.openxmlformats.org/officeDocument/2006/relationships/ctrlProp" Target="../ctrlProps/ctrlProp255.xml"/><Relationship Id="rId36" Type="http://schemas.openxmlformats.org/officeDocument/2006/relationships/ctrlProp" Target="../ctrlProps/ctrlProp263.xml"/><Relationship Id="rId49" Type="http://schemas.openxmlformats.org/officeDocument/2006/relationships/ctrlProp" Target="../ctrlProps/ctrlProp276.xml"/><Relationship Id="rId10" Type="http://schemas.openxmlformats.org/officeDocument/2006/relationships/ctrlProp" Target="../ctrlProps/ctrlProp237.xml"/><Relationship Id="rId19" Type="http://schemas.openxmlformats.org/officeDocument/2006/relationships/ctrlProp" Target="../ctrlProps/ctrlProp246.xml"/><Relationship Id="rId31" Type="http://schemas.openxmlformats.org/officeDocument/2006/relationships/ctrlProp" Target="../ctrlProps/ctrlProp258.xml"/><Relationship Id="rId44" Type="http://schemas.openxmlformats.org/officeDocument/2006/relationships/ctrlProp" Target="../ctrlProps/ctrlProp271.xml"/><Relationship Id="rId4" Type="http://schemas.openxmlformats.org/officeDocument/2006/relationships/ctrlProp" Target="../ctrlProps/ctrlProp231.xml"/><Relationship Id="rId9" Type="http://schemas.openxmlformats.org/officeDocument/2006/relationships/ctrlProp" Target="../ctrlProps/ctrlProp236.xml"/><Relationship Id="rId14" Type="http://schemas.openxmlformats.org/officeDocument/2006/relationships/ctrlProp" Target="../ctrlProps/ctrlProp241.xml"/><Relationship Id="rId22" Type="http://schemas.openxmlformats.org/officeDocument/2006/relationships/ctrlProp" Target="../ctrlProps/ctrlProp249.xml"/><Relationship Id="rId27" Type="http://schemas.openxmlformats.org/officeDocument/2006/relationships/ctrlProp" Target="../ctrlProps/ctrlProp254.xml"/><Relationship Id="rId30" Type="http://schemas.openxmlformats.org/officeDocument/2006/relationships/ctrlProp" Target="../ctrlProps/ctrlProp257.xml"/><Relationship Id="rId35" Type="http://schemas.openxmlformats.org/officeDocument/2006/relationships/ctrlProp" Target="../ctrlProps/ctrlProp262.xml"/><Relationship Id="rId43" Type="http://schemas.openxmlformats.org/officeDocument/2006/relationships/ctrlProp" Target="../ctrlProps/ctrlProp270.xml"/><Relationship Id="rId48" Type="http://schemas.openxmlformats.org/officeDocument/2006/relationships/ctrlProp" Target="../ctrlProps/ctrlProp275.xml"/><Relationship Id="rId8" Type="http://schemas.openxmlformats.org/officeDocument/2006/relationships/ctrlProp" Target="../ctrlProps/ctrlProp235.xml"/><Relationship Id="rId3" Type="http://schemas.openxmlformats.org/officeDocument/2006/relationships/vmlDrawing" Target="../drawings/vmlDrawing6.vml"/><Relationship Id="rId12" Type="http://schemas.openxmlformats.org/officeDocument/2006/relationships/ctrlProp" Target="../ctrlProps/ctrlProp239.xml"/><Relationship Id="rId17" Type="http://schemas.openxmlformats.org/officeDocument/2006/relationships/ctrlProp" Target="../ctrlProps/ctrlProp244.xml"/><Relationship Id="rId25" Type="http://schemas.openxmlformats.org/officeDocument/2006/relationships/ctrlProp" Target="../ctrlProps/ctrlProp252.xml"/><Relationship Id="rId33" Type="http://schemas.openxmlformats.org/officeDocument/2006/relationships/ctrlProp" Target="../ctrlProps/ctrlProp260.xml"/><Relationship Id="rId38" Type="http://schemas.openxmlformats.org/officeDocument/2006/relationships/ctrlProp" Target="../ctrlProps/ctrlProp265.xml"/><Relationship Id="rId46" Type="http://schemas.openxmlformats.org/officeDocument/2006/relationships/ctrlProp" Target="../ctrlProps/ctrlProp273.xml"/><Relationship Id="rId20" Type="http://schemas.openxmlformats.org/officeDocument/2006/relationships/ctrlProp" Target="../ctrlProps/ctrlProp247.xml"/><Relationship Id="rId41" Type="http://schemas.openxmlformats.org/officeDocument/2006/relationships/ctrlProp" Target="../ctrlProps/ctrlProp268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233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286.xml"/><Relationship Id="rId18" Type="http://schemas.openxmlformats.org/officeDocument/2006/relationships/ctrlProp" Target="../ctrlProps/ctrlProp291.xml"/><Relationship Id="rId26" Type="http://schemas.openxmlformats.org/officeDocument/2006/relationships/ctrlProp" Target="../ctrlProps/ctrlProp299.xml"/><Relationship Id="rId39" Type="http://schemas.openxmlformats.org/officeDocument/2006/relationships/ctrlProp" Target="../ctrlProps/ctrlProp312.xml"/><Relationship Id="rId21" Type="http://schemas.openxmlformats.org/officeDocument/2006/relationships/ctrlProp" Target="../ctrlProps/ctrlProp294.xml"/><Relationship Id="rId34" Type="http://schemas.openxmlformats.org/officeDocument/2006/relationships/ctrlProp" Target="../ctrlProps/ctrlProp307.xml"/><Relationship Id="rId42" Type="http://schemas.openxmlformats.org/officeDocument/2006/relationships/ctrlProp" Target="../ctrlProps/ctrlProp315.xml"/><Relationship Id="rId47" Type="http://schemas.openxmlformats.org/officeDocument/2006/relationships/ctrlProp" Target="../ctrlProps/ctrlProp320.xml"/><Relationship Id="rId7" Type="http://schemas.openxmlformats.org/officeDocument/2006/relationships/ctrlProp" Target="../ctrlProps/ctrlProp280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289.xml"/><Relationship Id="rId29" Type="http://schemas.openxmlformats.org/officeDocument/2006/relationships/ctrlProp" Target="../ctrlProps/ctrlProp302.xml"/><Relationship Id="rId11" Type="http://schemas.openxmlformats.org/officeDocument/2006/relationships/ctrlProp" Target="../ctrlProps/ctrlProp284.xml"/><Relationship Id="rId24" Type="http://schemas.openxmlformats.org/officeDocument/2006/relationships/ctrlProp" Target="../ctrlProps/ctrlProp297.xml"/><Relationship Id="rId32" Type="http://schemas.openxmlformats.org/officeDocument/2006/relationships/ctrlProp" Target="../ctrlProps/ctrlProp305.xml"/><Relationship Id="rId37" Type="http://schemas.openxmlformats.org/officeDocument/2006/relationships/ctrlProp" Target="../ctrlProps/ctrlProp310.xml"/><Relationship Id="rId40" Type="http://schemas.openxmlformats.org/officeDocument/2006/relationships/ctrlProp" Target="../ctrlProps/ctrlProp313.xml"/><Relationship Id="rId45" Type="http://schemas.openxmlformats.org/officeDocument/2006/relationships/ctrlProp" Target="../ctrlProps/ctrlProp318.xml"/><Relationship Id="rId5" Type="http://schemas.openxmlformats.org/officeDocument/2006/relationships/ctrlProp" Target="../ctrlProps/ctrlProp278.xml"/><Relationship Id="rId15" Type="http://schemas.openxmlformats.org/officeDocument/2006/relationships/ctrlProp" Target="../ctrlProps/ctrlProp288.xml"/><Relationship Id="rId23" Type="http://schemas.openxmlformats.org/officeDocument/2006/relationships/ctrlProp" Target="../ctrlProps/ctrlProp296.xml"/><Relationship Id="rId28" Type="http://schemas.openxmlformats.org/officeDocument/2006/relationships/ctrlProp" Target="../ctrlProps/ctrlProp301.xml"/><Relationship Id="rId36" Type="http://schemas.openxmlformats.org/officeDocument/2006/relationships/ctrlProp" Target="../ctrlProps/ctrlProp309.xml"/><Relationship Id="rId49" Type="http://schemas.openxmlformats.org/officeDocument/2006/relationships/ctrlProp" Target="../ctrlProps/ctrlProp322.xml"/><Relationship Id="rId10" Type="http://schemas.openxmlformats.org/officeDocument/2006/relationships/ctrlProp" Target="../ctrlProps/ctrlProp283.xml"/><Relationship Id="rId19" Type="http://schemas.openxmlformats.org/officeDocument/2006/relationships/ctrlProp" Target="../ctrlProps/ctrlProp292.xml"/><Relationship Id="rId31" Type="http://schemas.openxmlformats.org/officeDocument/2006/relationships/ctrlProp" Target="../ctrlProps/ctrlProp304.xml"/><Relationship Id="rId44" Type="http://schemas.openxmlformats.org/officeDocument/2006/relationships/ctrlProp" Target="../ctrlProps/ctrlProp317.xml"/><Relationship Id="rId4" Type="http://schemas.openxmlformats.org/officeDocument/2006/relationships/ctrlProp" Target="../ctrlProps/ctrlProp277.xml"/><Relationship Id="rId9" Type="http://schemas.openxmlformats.org/officeDocument/2006/relationships/ctrlProp" Target="../ctrlProps/ctrlProp282.xml"/><Relationship Id="rId14" Type="http://schemas.openxmlformats.org/officeDocument/2006/relationships/ctrlProp" Target="../ctrlProps/ctrlProp287.xml"/><Relationship Id="rId22" Type="http://schemas.openxmlformats.org/officeDocument/2006/relationships/ctrlProp" Target="../ctrlProps/ctrlProp295.xml"/><Relationship Id="rId27" Type="http://schemas.openxmlformats.org/officeDocument/2006/relationships/ctrlProp" Target="../ctrlProps/ctrlProp300.xml"/><Relationship Id="rId30" Type="http://schemas.openxmlformats.org/officeDocument/2006/relationships/ctrlProp" Target="../ctrlProps/ctrlProp303.xml"/><Relationship Id="rId35" Type="http://schemas.openxmlformats.org/officeDocument/2006/relationships/ctrlProp" Target="../ctrlProps/ctrlProp308.xml"/><Relationship Id="rId43" Type="http://schemas.openxmlformats.org/officeDocument/2006/relationships/ctrlProp" Target="../ctrlProps/ctrlProp316.xml"/><Relationship Id="rId48" Type="http://schemas.openxmlformats.org/officeDocument/2006/relationships/ctrlProp" Target="../ctrlProps/ctrlProp321.xml"/><Relationship Id="rId8" Type="http://schemas.openxmlformats.org/officeDocument/2006/relationships/ctrlProp" Target="../ctrlProps/ctrlProp281.xml"/><Relationship Id="rId3" Type="http://schemas.openxmlformats.org/officeDocument/2006/relationships/vmlDrawing" Target="../drawings/vmlDrawing7.vml"/><Relationship Id="rId12" Type="http://schemas.openxmlformats.org/officeDocument/2006/relationships/ctrlProp" Target="../ctrlProps/ctrlProp285.xml"/><Relationship Id="rId17" Type="http://schemas.openxmlformats.org/officeDocument/2006/relationships/ctrlProp" Target="../ctrlProps/ctrlProp290.xml"/><Relationship Id="rId25" Type="http://schemas.openxmlformats.org/officeDocument/2006/relationships/ctrlProp" Target="../ctrlProps/ctrlProp298.xml"/><Relationship Id="rId33" Type="http://schemas.openxmlformats.org/officeDocument/2006/relationships/ctrlProp" Target="../ctrlProps/ctrlProp306.xml"/><Relationship Id="rId38" Type="http://schemas.openxmlformats.org/officeDocument/2006/relationships/ctrlProp" Target="../ctrlProps/ctrlProp311.xml"/><Relationship Id="rId46" Type="http://schemas.openxmlformats.org/officeDocument/2006/relationships/ctrlProp" Target="../ctrlProps/ctrlProp319.xml"/><Relationship Id="rId20" Type="http://schemas.openxmlformats.org/officeDocument/2006/relationships/ctrlProp" Target="../ctrlProps/ctrlProp293.xml"/><Relationship Id="rId41" Type="http://schemas.openxmlformats.org/officeDocument/2006/relationships/ctrlProp" Target="../ctrlProps/ctrlProp314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79.xm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32.xml"/><Relationship Id="rId18" Type="http://schemas.openxmlformats.org/officeDocument/2006/relationships/ctrlProp" Target="../ctrlProps/ctrlProp337.xml"/><Relationship Id="rId26" Type="http://schemas.openxmlformats.org/officeDocument/2006/relationships/ctrlProp" Target="../ctrlProps/ctrlProp345.xml"/><Relationship Id="rId39" Type="http://schemas.openxmlformats.org/officeDocument/2006/relationships/ctrlProp" Target="../ctrlProps/ctrlProp358.xml"/><Relationship Id="rId21" Type="http://schemas.openxmlformats.org/officeDocument/2006/relationships/ctrlProp" Target="../ctrlProps/ctrlProp340.xml"/><Relationship Id="rId34" Type="http://schemas.openxmlformats.org/officeDocument/2006/relationships/ctrlProp" Target="../ctrlProps/ctrlProp353.xml"/><Relationship Id="rId42" Type="http://schemas.openxmlformats.org/officeDocument/2006/relationships/ctrlProp" Target="../ctrlProps/ctrlProp361.xml"/><Relationship Id="rId47" Type="http://schemas.openxmlformats.org/officeDocument/2006/relationships/ctrlProp" Target="../ctrlProps/ctrlProp366.xml"/><Relationship Id="rId7" Type="http://schemas.openxmlformats.org/officeDocument/2006/relationships/ctrlProp" Target="../ctrlProps/ctrlProp326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335.xml"/><Relationship Id="rId29" Type="http://schemas.openxmlformats.org/officeDocument/2006/relationships/ctrlProp" Target="../ctrlProps/ctrlProp348.xml"/><Relationship Id="rId11" Type="http://schemas.openxmlformats.org/officeDocument/2006/relationships/ctrlProp" Target="../ctrlProps/ctrlProp330.xml"/><Relationship Id="rId24" Type="http://schemas.openxmlformats.org/officeDocument/2006/relationships/ctrlProp" Target="../ctrlProps/ctrlProp343.xml"/><Relationship Id="rId32" Type="http://schemas.openxmlformats.org/officeDocument/2006/relationships/ctrlProp" Target="../ctrlProps/ctrlProp351.xml"/><Relationship Id="rId37" Type="http://schemas.openxmlformats.org/officeDocument/2006/relationships/ctrlProp" Target="../ctrlProps/ctrlProp356.xml"/><Relationship Id="rId40" Type="http://schemas.openxmlformats.org/officeDocument/2006/relationships/ctrlProp" Target="../ctrlProps/ctrlProp359.xml"/><Relationship Id="rId45" Type="http://schemas.openxmlformats.org/officeDocument/2006/relationships/ctrlProp" Target="../ctrlProps/ctrlProp364.xml"/><Relationship Id="rId5" Type="http://schemas.openxmlformats.org/officeDocument/2006/relationships/ctrlProp" Target="../ctrlProps/ctrlProp324.xml"/><Relationship Id="rId15" Type="http://schemas.openxmlformats.org/officeDocument/2006/relationships/ctrlProp" Target="../ctrlProps/ctrlProp334.xml"/><Relationship Id="rId23" Type="http://schemas.openxmlformats.org/officeDocument/2006/relationships/ctrlProp" Target="../ctrlProps/ctrlProp342.xml"/><Relationship Id="rId28" Type="http://schemas.openxmlformats.org/officeDocument/2006/relationships/ctrlProp" Target="../ctrlProps/ctrlProp347.xml"/><Relationship Id="rId36" Type="http://schemas.openxmlformats.org/officeDocument/2006/relationships/ctrlProp" Target="../ctrlProps/ctrlProp355.xml"/><Relationship Id="rId49" Type="http://schemas.openxmlformats.org/officeDocument/2006/relationships/ctrlProp" Target="../ctrlProps/ctrlProp368.xml"/><Relationship Id="rId10" Type="http://schemas.openxmlformats.org/officeDocument/2006/relationships/ctrlProp" Target="../ctrlProps/ctrlProp329.xml"/><Relationship Id="rId19" Type="http://schemas.openxmlformats.org/officeDocument/2006/relationships/ctrlProp" Target="../ctrlProps/ctrlProp338.xml"/><Relationship Id="rId31" Type="http://schemas.openxmlformats.org/officeDocument/2006/relationships/ctrlProp" Target="../ctrlProps/ctrlProp350.xml"/><Relationship Id="rId44" Type="http://schemas.openxmlformats.org/officeDocument/2006/relationships/ctrlProp" Target="../ctrlProps/ctrlProp363.xml"/><Relationship Id="rId4" Type="http://schemas.openxmlformats.org/officeDocument/2006/relationships/ctrlProp" Target="../ctrlProps/ctrlProp323.xml"/><Relationship Id="rId9" Type="http://schemas.openxmlformats.org/officeDocument/2006/relationships/ctrlProp" Target="../ctrlProps/ctrlProp328.xml"/><Relationship Id="rId14" Type="http://schemas.openxmlformats.org/officeDocument/2006/relationships/ctrlProp" Target="../ctrlProps/ctrlProp333.xml"/><Relationship Id="rId22" Type="http://schemas.openxmlformats.org/officeDocument/2006/relationships/ctrlProp" Target="../ctrlProps/ctrlProp341.xml"/><Relationship Id="rId27" Type="http://schemas.openxmlformats.org/officeDocument/2006/relationships/ctrlProp" Target="../ctrlProps/ctrlProp346.xml"/><Relationship Id="rId30" Type="http://schemas.openxmlformats.org/officeDocument/2006/relationships/ctrlProp" Target="../ctrlProps/ctrlProp349.xml"/><Relationship Id="rId35" Type="http://schemas.openxmlformats.org/officeDocument/2006/relationships/ctrlProp" Target="../ctrlProps/ctrlProp354.xml"/><Relationship Id="rId43" Type="http://schemas.openxmlformats.org/officeDocument/2006/relationships/ctrlProp" Target="../ctrlProps/ctrlProp362.xml"/><Relationship Id="rId48" Type="http://schemas.openxmlformats.org/officeDocument/2006/relationships/ctrlProp" Target="../ctrlProps/ctrlProp367.xml"/><Relationship Id="rId8" Type="http://schemas.openxmlformats.org/officeDocument/2006/relationships/ctrlProp" Target="../ctrlProps/ctrlProp327.xml"/><Relationship Id="rId3" Type="http://schemas.openxmlformats.org/officeDocument/2006/relationships/vmlDrawing" Target="../drawings/vmlDrawing8.vml"/><Relationship Id="rId12" Type="http://schemas.openxmlformats.org/officeDocument/2006/relationships/ctrlProp" Target="../ctrlProps/ctrlProp331.xml"/><Relationship Id="rId17" Type="http://schemas.openxmlformats.org/officeDocument/2006/relationships/ctrlProp" Target="../ctrlProps/ctrlProp336.xml"/><Relationship Id="rId25" Type="http://schemas.openxmlformats.org/officeDocument/2006/relationships/ctrlProp" Target="../ctrlProps/ctrlProp344.xml"/><Relationship Id="rId33" Type="http://schemas.openxmlformats.org/officeDocument/2006/relationships/ctrlProp" Target="../ctrlProps/ctrlProp352.xml"/><Relationship Id="rId38" Type="http://schemas.openxmlformats.org/officeDocument/2006/relationships/ctrlProp" Target="../ctrlProps/ctrlProp357.xml"/><Relationship Id="rId46" Type="http://schemas.openxmlformats.org/officeDocument/2006/relationships/ctrlProp" Target="../ctrlProps/ctrlProp365.xml"/><Relationship Id="rId20" Type="http://schemas.openxmlformats.org/officeDocument/2006/relationships/ctrlProp" Target="../ctrlProps/ctrlProp339.xml"/><Relationship Id="rId41" Type="http://schemas.openxmlformats.org/officeDocument/2006/relationships/ctrlProp" Target="../ctrlProps/ctrlProp360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325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378.xml"/><Relationship Id="rId18" Type="http://schemas.openxmlformats.org/officeDocument/2006/relationships/ctrlProp" Target="../ctrlProps/ctrlProp383.xml"/><Relationship Id="rId26" Type="http://schemas.openxmlformats.org/officeDocument/2006/relationships/ctrlProp" Target="../ctrlProps/ctrlProp391.xml"/><Relationship Id="rId39" Type="http://schemas.openxmlformats.org/officeDocument/2006/relationships/ctrlProp" Target="../ctrlProps/ctrlProp404.xml"/><Relationship Id="rId21" Type="http://schemas.openxmlformats.org/officeDocument/2006/relationships/ctrlProp" Target="../ctrlProps/ctrlProp386.xml"/><Relationship Id="rId34" Type="http://schemas.openxmlformats.org/officeDocument/2006/relationships/ctrlProp" Target="../ctrlProps/ctrlProp399.xml"/><Relationship Id="rId42" Type="http://schemas.openxmlformats.org/officeDocument/2006/relationships/ctrlProp" Target="../ctrlProps/ctrlProp407.xml"/><Relationship Id="rId47" Type="http://schemas.openxmlformats.org/officeDocument/2006/relationships/ctrlProp" Target="../ctrlProps/ctrlProp412.xml"/><Relationship Id="rId7" Type="http://schemas.openxmlformats.org/officeDocument/2006/relationships/ctrlProp" Target="../ctrlProps/ctrlProp372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381.xml"/><Relationship Id="rId29" Type="http://schemas.openxmlformats.org/officeDocument/2006/relationships/ctrlProp" Target="../ctrlProps/ctrlProp394.xml"/><Relationship Id="rId11" Type="http://schemas.openxmlformats.org/officeDocument/2006/relationships/ctrlProp" Target="../ctrlProps/ctrlProp376.xml"/><Relationship Id="rId24" Type="http://schemas.openxmlformats.org/officeDocument/2006/relationships/ctrlProp" Target="../ctrlProps/ctrlProp389.xml"/><Relationship Id="rId32" Type="http://schemas.openxmlformats.org/officeDocument/2006/relationships/ctrlProp" Target="../ctrlProps/ctrlProp397.xml"/><Relationship Id="rId37" Type="http://schemas.openxmlformats.org/officeDocument/2006/relationships/ctrlProp" Target="../ctrlProps/ctrlProp402.xml"/><Relationship Id="rId40" Type="http://schemas.openxmlformats.org/officeDocument/2006/relationships/ctrlProp" Target="../ctrlProps/ctrlProp405.xml"/><Relationship Id="rId45" Type="http://schemas.openxmlformats.org/officeDocument/2006/relationships/ctrlProp" Target="../ctrlProps/ctrlProp410.xml"/><Relationship Id="rId5" Type="http://schemas.openxmlformats.org/officeDocument/2006/relationships/ctrlProp" Target="../ctrlProps/ctrlProp370.xml"/><Relationship Id="rId15" Type="http://schemas.openxmlformats.org/officeDocument/2006/relationships/ctrlProp" Target="../ctrlProps/ctrlProp380.xml"/><Relationship Id="rId23" Type="http://schemas.openxmlformats.org/officeDocument/2006/relationships/ctrlProp" Target="../ctrlProps/ctrlProp388.xml"/><Relationship Id="rId28" Type="http://schemas.openxmlformats.org/officeDocument/2006/relationships/ctrlProp" Target="../ctrlProps/ctrlProp393.xml"/><Relationship Id="rId36" Type="http://schemas.openxmlformats.org/officeDocument/2006/relationships/ctrlProp" Target="../ctrlProps/ctrlProp401.xml"/><Relationship Id="rId49" Type="http://schemas.openxmlformats.org/officeDocument/2006/relationships/ctrlProp" Target="../ctrlProps/ctrlProp414.xml"/><Relationship Id="rId10" Type="http://schemas.openxmlformats.org/officeDocument/2006/relationships/ctrlProp" Target="../ctrlProps/ctrlProp375.xml"/><Relationship Id="rId19" Type="http://schemas.openxmlformats.org/officeDocument/2006/relationships/ctrlProp" Target="../ctrlProps/ctrlProp384.xml"/><Relationship Id="rId31" Type="http://schemas.openxmlformats.org/officeDocument/2006/relationships/ctrlProp" Target="../ctrlProps/ctrlProp396.xml"/><Relationship Id="rId44" Type="http://schemas.openxmlformats.org/officeDocument/2006/relationships/ctrlProp" Target="../ctrlProps/ctrlProp409.xml"/><Relationship Id="rId4" Type="http://schemas.openxmlformats.org/officeDocument/2006/relationships/ctrlProp" Target="../ctrlProps/ctrlProp369.xml"/><Relationship Id="rId9" Type="http://schemas.openxmlformats.org/officeDocument/2006/relationships/ctrlProp" Target="../ctrlProps/ctrlProp374.xml"/><Relationship Id="rId14" Type="http://schemas.openxmlformats.org/officeDocument/2006/relationships/ctrlProp" Target="../ctrlProps/ctrlProp379.xml"/><Relationship Id="rId22" Type="http://schemas.openxmlformats.org/officeDocument/2006/relationships/ctrlProp" Target="../ctrlProps/ctrlProp387.xml"/><Relationship Id="rId27" Type="http://schemas.openxmlformats.org/officeDocument/2006/relationships/ctrlProp" Target="../ctrlProps/ctrlProp392.xml"/><Relationship Id="rId30" Type="http://schemas.openxmlformats.org/officeDocument/2006/relationships/ctrlProp" Target="../ctrlProps/ctrlProp395.xml"/><Relationship Id="rId35" Type="http://schemas.openxmlformats.org/officeDocument/2006/relationships/ctrlProp" Target="../ctrlProps/ctrlProp400.xml"/><Relationship Id="rId43" Type="http://schemas.openxmlformats.org/officeDocument/2006/relationships/ctrlProp" Target="../ctrlProps/ctrlProp408.xml"/><Relationship Id="rId48" Type="http://schemas.openxmlformats.org/officeDocument/2006/relationships/ctrlProp" Target="../ctrlProps/ctrlProp413.xml"/><Relationship Id="rId8" Type="http://schemas.openxmlformats.org/officeDocument/2006/relationships/ctrlProp" Target="../ctrlProps/ctrlProp373.xml"/><Relationship Id="rId3" Type="http://schemas.openxmlformats.org/officeDocument/2006/relationships/vmlDrawing" Target="../drawings/vmlDrawing9.vml"/><Relationship Id="rId12" Type="http://schemas.openxmlformats.org/officeDocument/2006/relationships/ctrlProp" Target="../ctrlProps/ctrlProp377.xml"/><Relationship Id="rId17" Type="http://schemas.openxmlformats.org/officeDocument/2006/relationships/ctrlProp" Target="../ctrlProps/ctrlProp382.xml"/><Relationship Id="rId25" Type="http://schemas.openxmlformats.org/officeDocument/2006/relationships/ctrlProp" Target="../ctrlProps/ctrlProp390.xml"/><Relationship Id="rId33" Type="http://schemas.openxmlformats.org/officeDocument/2006/relationships/ctrlProp" Target="../ctrlProps/ctrlProp398.xml"/><Relationship Id="rId38" Type="http://schemas.openxmlformats.org/officeDocument/2006/relationships/ctrlProp" Target="../ctrlProps/ctrlProp403.xml"/><Relationship Id="rId46" Type="http://schemas.openxmlformats.org/officeDocument/2006/relationships/ctrlProp" Target="../ctrlProps/ctrlProp411.xml"/><Relationship Id="rId20" Type="http://schemas.openxmlformats.org/officeDocument/2006/relationships/ctrlProp" Target="../ctrlProps/ctrlProp385.xml"/><Relationship Id="rId41" Type="http://schemas.openxmlformats.org/officeDocument/2006/relationships/ctrlProp" Target="../ctrlProps/ctrlProp406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371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24.xml"/><Relationship Id="rId18" Type="http://schemas.openxmlformats.org/officeDocument/2006/relationships/ctrlProp" Target="../ctrlProps/ctrlProp429.xml"/><Relationship Id="rId26" Type="http://schemas.openxmlformats.org/officeDocument/2006/relationships/ctrlProp" Target="../ctrlProps/ctrlProp437.xml"/><Relationship Id="rId39" Type="http://schemas.openxmlformats.org/officeDocument/2006/relationships/ctrlProp" Target="../ctrlProps/ctrlProp450.xml"/><Relationship Id="rId21" Type="http://schemas.openxmlformats.org/officeDocument/2006/relationships/ctrlProp" Target="../ctrlProps/ctrlProp432.xml"/><Relationship Id="rId34" Type="http://schemas.openxmlformats.org/officeDocument/2006/relationships/ctrlProp" Target="../ctrlProps/ctrlProp445.xml"/><Relationship Id="rId42" Type="http://schemas.openxmlformats.org/officeDocument/2006/relationships/ctrlProp" Target="../ctrlProps/ctrlProp453.xml"/><Relationship Id="rId47" Type="http://schemas.openxmlformats.org/officeDocument/2006/relationships/ctrlProp" Target="../ctrlProps/ctrlProp458.xml"/><Relationship Id="rId7" Type="http://schemas.openxmlformats.org/officeDocument/2006/relationships/ctrlProp" Target="../ctrlProps/ctrlProp418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427.xml"/><Relationship Id="rId29" Type="http://schemas.openxmlformats.org/officeDocument/2006/relationships/ctrlProp" Target="../ctrlProps/ctrlProp440.xml"/><Relationship Id="rId11" Type="http://schemas.openxmlformats.org/officeDocument/2006/relationships/ctrlProp" Target="../ctrlProps/ctrlProp422.xml"/><Relationship Id="rId24" Type="http://schemas.openxmlformats.org/officeDocument/2006/relationships/ctrlProp" Target="../ctrlProps/ctrlProp435.xml"/><Relationship Id="rId32" Type="http://schemas.openxmlformats.org/officeDocument/2006/relationships/ctrlProp" Target="../ctrlProps/ctrlProp443.xml"/><Relationship Id="rId37" Type="http://schemas.openxmlformats.org/officeDocument/2006/relationships/ctrlProp" Target="../ctrlProps/ctrlProp448.xml"/><Relationship Id="rId40" Type="http://schemas.openxmlformats.org/officeDocument/2006/relationships/ctrlProp" Target="../ctrlProps/ctrlProp451.xml"/><Relationship Id="rId45" Type="http://schemas.openxmlformats.org/officeDocument/2006/relationships/ctrlProp" Target="../ctrlProps/ctrlProp456.xml"/><Relationship Id="rId5" Type="http://schemas.openxmlformats.org/officeDocument/2006/relationships/ctrlProp" Target="../ctrlProps/ctrlProp416.xml"/><Relationship Id="rId15" Type="http://schemas.openxmlformats.org/officeDocument/2006/relationships/ctrlProp" Target="../ctrlProps/ctrlProp426.xml"/><Relationship Id="rId23" Type="http://schemas.openxmlformats.org/officeDocument/2006/relationships/ctrlProp" Target="../ctrlProps/ctrlProp434.xml"/><Relationship Id="rId28" Type="http://schemas.openxmlformats.org/officeDocument/2006/relationships/ctrlProp" Target="../ctrlProps/ctrlProp439.xml"/><Relationship Id="rId36" Type="http://schemas.openxmlformats.org/officeDocument/2006/relationships/ctrlProp" Target="../ctrlProps/ctrlProp447.xml"/><Relationship Id="rId49" Type="http://schemas.openxmlformats.org/officeDocument/2006/relationships/ctrlProp" Target="../ctrlProps/ctrlProp460.xml"/><Relationship Id="rId10" Type="http://schemas.openxmlformats.org/officeDocument/2006/relationships/ctrlProp" Target="../ctrlProps/ctrlProp421.xml"/><Relationship Id="rId19" Type="http://schemas.openxmlformats.org/officeDocument/2006/relationships/ctrlProp" Target="../ctrlProps/ctrlProp430.xml"/><Relationship Id="rId31" Type="http://schemas.openxmlformats.org/officeDocument/2006/relationships/ctrlProp" Target="../ctrlProps/ctrlProp442.xml"/><Relationship Id="rId44" Type="http://schemas.openxmlformats.org/officeDocument/2006/relationships/ctrlProp" Target="../ctrlProps/ctrlProp455.xml"/><Relationship Id="rId4" Type="http://schemas.openxmlformats.org/officeDocument/2006/relationships/ctrlProp" Target="../ctrlProps/ctrlProp415.xml"/><Relationship Id="rId9" Type="http://schemas.openxmlformats.org/officeDocument/2006/relationships/ctrlProp" Target="../ctrlProps/ctrlProp420.xml"/><Relationship Id="rId14" Type="http://schemas.openxmlformats.org/officeDocument/2006/relationships/ctrlProp" Target="../ctrlProps/ctrlProp425.xml"/><Relationship Id="rId22" Type="http://schemas.openxmlformats.org/officeDocument/2006/relationships/ctrlProp" Target="../ctrlProps/ctrlProp433.xml"/><Relationship Id="rId27" Type="http://schemas.openxmlformats.org/officeDocument/2006/relationships/ctrlProp" Target="../ctrlProps/ctrlProp438.xml"/><Relationship Id="rId30" Type="http://schemas.openxmlformats.org/officeDocument/2006/relationships/ctrlProp" Target="../ctrlProps/ctrlProp441.xml"/><Relationship Id="rId35" Type="http://schemas.openxmlformats.org/officeDocument/2006/relationships/ctrlProp" Target="../ctrlProps/ctrlProp446.xml"/><Relationship Id="rId43" Type="http://schemas.openxmlformats.org/officeDocument/2006/relationships/ctrlProp" Target="../ctrlProps/ctrlProp454.xml"/><Relationship Id="rId48" Type="http://schemas.openxmlformats.org/officeDocument/2006/relationships/ctrlProp" Target="../ctrlProps/ctrlProp459.xml"/><Relationship Id="rId8" Type="http://schemas.openxmlformats.org/officeDocument/2006/relationships/ctrlProp" Target="../ctrlProps/ctrlProp419.xml"/><Relationship Id="rId3" Type="http://schemas.openxmlformats.org/officeDocument/2006/relationships/vmlDrawing" Target="../drawings/vmlDrawing10.vml"/><Relationship Id="rId12" Type="http://schemas.openxmlformats.org/officeDocument/2006/relationships/ctrlProp" Target="../ctrlProps/ctrlProp423.xml"/><Relationship Id="rId17" Type="http://schemas.openxmlformats.org/officeDocument/2006/relationships/ctrlProp" Target="../ctrlProps/ctrlProp428.xml"/><Relationship Id="rId25" Type="http://schemas.openxmlformats.org/officeDocument/2006/relationships/ctrlProp" Target="../ctrlProps/ctrlProp436.xml"/><Relationship Id="rId33" Type="http://schemas.openxmlformats.org/officeDocument/2006/relationships/ctrlProp" Target="../ctrlProps/ctrlProp444.xml"/><Relationship Id="rId38" Type="http://schemas.openxmlformats.org/officeDocument/2006/relationships/ctrlProp" Target="../ctrlProps/ctrlProp449.xml"/><Relationship Id="rId46" Type="http://schemas.openxmlformats.org/officeDocument/2006/relationships/ctrlProp" Target="../ctrlProps/ctrlProp457.xml"/><Relationship Id="rId20" Type="http://schemas.openxmlformats.org/officeDocument/2006/relationships/ctrlProp" Target="../ctrlProps/ctrlProp431.xml"/><Relationship Id="rId41" Type="http://schemas.openxmlformats.org/officeDocument/2006/relationships/ctrlProp" Target="../ctrlProps/ctrlProp452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417.xm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470.xml"/><Relationship Id="rId18" Type="http://schemas.openxmlformats.org/officeDocument/2006/relationships/ctrlProp" Target="../ctrlProps/ctrlProp475.xml"/><Relationship Id="rId26" Type="http://schemas.openxmlformats.org/officeDocument/2006/relationships/ctrlProp" Target="../ctrlProps/ctrlProp483.xml"/><Relationship Id="rId39" Type="http://schemas.openxmlformats.org/officeDocument/2006/relationships/ctrlProp" Target="../ctrlProps/ctrlProp496.xml"/><Relationship Id="rId21" Type="http://schemas.openxmlformats.org/officeDocument/2006/relationships/ctrlProp" Target="../ctrlProps/ctrlProp478.xml"/><Relationship Id="rId34" Type="http://schemas.openxmlformats.org/officeDocument/2006/relationships/ctrlProp" Target="../ctrlProps/ctrlProp491.xml"/><Relationship Id="rId42" Type="http://schemas.openxmlformats.org/officeDocument/2006/relationships/ctrlProp" Target="../ctrlProps/ctrlProp499.xml"/><Relationship Id="rId47" Type="http://schemas.openxmlformats.org/officeDocument/2006/relationships/ctrlProp" Target="../ctrlProps/ctrlProp504.xml"/><Relationship Id="rId7" Type="http://schemas.openxmlformats.org/officeDocument/2006/relationships/ctrlProp" Target="../ctrlProps/ctrlProp464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473.xml"/><Relationship Id="rId29" Type="http://schemas.openxmlformats.org/officeDocument/2006/relationships/ctrlProp" Target="../ctrlProps/ctrlProp486.xml"/><Relationship Id="rId11" Type="http://schemas.openxmlformats.org/officeDocument/2006/relationships/ctrlProp" Target="../ctrlProps/ctrlProp468.xml"/><Relationship Id="rId24" Type="http://schemas.openxmlformats.org/officeDocument/2006/relationships/ctrlProp" Target="../ctrlProps/ctrlProp481.xml"/><Relationship Id="rId32" Type="http://schemas.openxmlformats.org/officeDocument/2006/relationships/ctrlProp" Target="../ctrlProps/ctrlProp489.xml"/><Relationship Id="rId37" Type="http://schemas.openxmlformats.org/officeDocument/2006/relationships/ctrlProp" Target="../ctrlProps/ctrlProp494.xml"/><Relationship Id="rId40" Type="http://schemas.openxmlformats.org/officeDocument/2006/relationships/ctrlProp" Target="../ctrlProps/ctrlProp497.xml"/><Relationship Id="rId45" Type="http://schemas.openxmlformats.org/officeDocument/2006/relationships/ctrlProp" Target="../ctrlProps/ctrlProp502.xml"/><Relationship Id="rId5" Type="http://schemas.openxmlformats.org/officeDocument/2006/relationships/ctrlProp" Target="../ctrlProps/ctrlProp462.xml"/><Relationship Id="rId15" Type="http://schemas.openxmlformats.org/officeDocument/2006/relationships/ctrlProp" Target="../ctrlProps/ctrlProp472.xml"/><Relationship Id="rId23" Type="http://schemas.openxmlformats.org/officeDocument/2006/relationships/ctrlProp" Target="../ctrlProps/ctrlProp480.xml"/><Relationship Id="rId28" Type="http://schemas.openxmlformats.org/officeDocument/2006/relationships/ctrlProp" Target="../ctrlProps/ctrlProp485.xml"/><Relationship Id="rId36" Type="http://schemas.openxmlformats.org/officeDocument/2006/relationships/ctrlProp" Target="../ctrlProps/ctrlProp493.xml"/><Relationship Id="rId49" Type="http://schemas.openxmlformats.org/officeDocument/2006/relationships/ctrlProp" Target="../ctrlProps/ctrlProp506.xml"/><Relationship Id="rId10" Type="http://schemas.openxmlformats.org/officeDocument/2006/relationships/ctrlProp" Target="../ctrlProps/ctrlProp467.xml"/><Relationship Id="rId19" Type="http://schemas.openxmlformats.org/officeDocument/2006/relationships/ctrlProp" Target="../ctrlProps/ctrlProp476.xml"/><Relationship Id="rId31" Type="http://schemas.openxmlformats.org/officeDocument/2006/relationships/ctrlProp" Target="../ctrlProps/ctrlProp488.xml"/><Relationship Id="rId44" Type="http://schemas.openxmlformats.org/officeDocument/2006/relationships/ctrlProp" Target="../ctrlProps/ctrlProp501.xml"/><Relationship Id="rId4" Type="http://schemas.openxmlformats.org/officeDocument/2006/relationships/ctrlProp" Target="../ctrlProps/ctrlProp461.xml"/><Relationship Id="rId9" Type="http://schemas.openxmlformats.org/officeDocument/2006/relationships/ctrlProp" Target="../ctrlProps/ctrlProp466.xml"/><Relationship Id="rId14" Type="http://schemas.openxmlformats.org/officeDocument/2006/relationships/ctrlProp" Target="../ctrlProps/ctrlProp471.xml"/><Relationship Id="rId22" Type="http://schemas.openxmlformats.org/officeDocument/2006/relationships/ctrlProp" Target="../ctrlProps/ctrlProp479.xml"/><Relationship Id="rId27" Type="http://schemas.openxmlformats.org/officeDocument/2006/relationships/ctrlProp" Target="../ctrlProps/ctrlProp484.xml"/><Relationship Id="rId30" Type="http://schemas.openxmlformats.org/officeDocument/2006/relationships/ctrlProp" Target="../ctrlProps/ctrlProp487.xml"/><Relationship Id="rId35" Type="http://schemas.openxmlformats.org/officeDocument/2006/relationships/ctrlProp" Target="../ctrlProps/ctrlProp492.xml"/><Relationship Id="rId43" Type="http://schemas.openxmlformats.org/officeDocument/2006/relationships/ctrlProp" Target="../ctrlProps/ctrlProp500.xml"/><Relationship Id="rId48" Type="http://schemas.openxmlformats.org/officeDocument/2006/relationships/ctrlProp" Target="../ctrlProps/ctrlProp505.xml"/><Relationship Id="rId8" Type="http://schemas.openxmlformats.org/officeDocument/2006/relationships/ctrlProp" Target="../ctrlProps/ctrlProp465.xml"/><Relationship Id="rId3" Type="http://schemas.openxmlformats.org/officeDocument/2006/relationships/vmlDrawing" Target="../drawings/vmlDrawing11.vml"/><Relationship Id="rId12" Type="http://schemas.openxmlformats.org/officeDocument/2006/relationships/ctrlProp" Target="../ctrlProps/ctrlProp469.xml"/><Relationship Id="rId17" Type="http://schemas.openxmlformats.org/officeDocument/2006/relationships/ctrlProp" Target="../ctrlProps/ctrlProp474.xml"/><Relationship Id="rId25" Type="http://schemas.openxmlformats.org/officeDocument/2006/relationships/ctrlProp" Target="../ctrlProps/ctrlProp482.xml"/><Relationship Id="rId33" Type="http://schemas.openxmlformats.org/officeDocument/2006/relationships/ctrlProp" Target="../ctrlProps/ctrlProp490.xml"/><Relationship Id="rId38" Type="http://schemas.openxmlformats.org/officeDocument/2006/relationships/ctrlProp" Target="../ctrlProps/ctrlProp495.xml"/><Relationship Id="rId46" Type="http://schemas.openxmlformats.org/officeDocument/2006/relationships/ctrlProp" Target="../ctrlProps/ctrlProp503.xml"/><Relationship Id="rId20" Type="http://schemas.openxmlformats.org/officeDocument/2006/relationships/ctrlProp" Target="../ctrlProps/ctrlProp477.xml"/><Relationship Id="rId41" Type="http://schemas.openxmlformats.org/officeDocument/2006/relationships/ctrlProp" Target="../ctrlProps/ctrlProp498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463.xm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16.xml"/><Relationship Id="rId18" Type="http://schemas.openxmlformats.org/officeDocument/2006/relationships/ctrlProp" Target="../ctrlProps/ctrlProp521.xml"/><Relationship Id="rId26" Type="http://schemas.openxmlformats.org/officeDocument/2006/relationships/ctrlProp" Target="../ctrlProps/ctrlProp529.xml"/><Relationship Id="rId39" Type="http://schemas.openxmlformats.org/officeDocument/2006/relationships/ctrlProp" Target="../ctrlProps/ctrlProp542.xml"/><Relationship Id="rId21" Type="http://schemas.openxmlformats.org/officeDocument/2006/relationships/ctrlProp" Target="../ctrlProps/ctrlProp524.xml"/><Relationship Id="rId34" Type="http://schemas.openxmlformats.org/officeDocument/2006/relationships/ctrlProp" Target="../ctrlProps/ctrlProp537.xml"/><Relationship Id="rId42" Type="http://schemas.openxmlformats.org/officeDocument/2006/relationships/ctrlProp" Target="../ctrlProps/ctrlProp545.xml"/><Relationship Id="rId47" Type="http://schemas.openxmlformats.org/officeDocument/2006/relationships/ctrlProp" Target="../ctrlProps/ctrlProp550.xml"/><Relationship Id="rId7" Type="http://schemas.openxmlformats.org/officeDocument/2006/relationships/ctrlProp" Target="../ctrlProps/ctrlProp510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519.xml"/><Relationship Id="rId29" Type="http://schemas.openxmlformats.org/officeDocument/2006/relationships/ctrlProp" Target="../ctrlProps/ctrlProp532.xml"/><Relationship Id="rId11" Type="http://schemas.openxmlformats.org/officeDocument/2006/relationships/ctrlProp" Target="../ctrlProps/ctrlProp514.xml"/><Relationship Id="rId24" Type="http://schemas.openxmlformats.org/officeDocument/2006/relationships/ctrlProp" Target="../ctrlProps/ctrlProp527.xml"/><Relationship Id="rId32" Type="http://schemas.openxmlformats.org/officeDocument/2006/relationships/ctrlProp" Target="../ctrlProps/ctrlProp535.xml"/><Relationship Id="rId37" Type="http://schemas.openxmlformats.org/officeDocument/2006/relationships/ctrlProp" Target="../ctrlProps/ctrlProp540.xml"/><Relationship Id="rId40" Type="http://schemas.openxmlformats.org/officeDocument/2006/relationships/ctrlProp" Target="../ctrlProps/ctrlProp543.xml"/><Relationship Id="rId45" Type="http://schemas.openxmlformats.org/officeDocument/2006/relationships/ctrlProp" Target="../ctrlProps/ctrlProp548.xml"/><Relationship Id="rId5" Type="http://schemas.openxmlformats.org/officeDocument/2006/relationships/ctrlProp" Target="../ctrlProps/ctrlProp508.xml"/><Relationship Id="rId15" Type="http://schemas.openxmlformats.org/officeDocument/2006/relationships/ctrlProp" Target="../ctrlProps/ctrlProp518.xml"/><Relationship Id="rId23" Type="http://schemas.openxmlformats.org/officeDocument/2006/relationships/ctrlProp" Target="../ctrlProps/ctrlProp526.xml"/><Relationship Id="rId28" Type="http://schemas.openxmlformats.org/officeDocument/2006/relationships/ctrlProp" Target="../ctrlProps/ctrlProp531.xml"/><Relationship Id="rId36" Type="http://schemas.openxmlformats.org/officeDocument/2006/relationships/ctrlProp" Target="../ctrlProps/ctrlProp539.xml"/><Relationship Id="rId49" Type="http://schemas.openxmlformats.org/officeDocument/2006/relationships/ctrlProp" Target="../ctrlProps/ctrlProp552.xml"/><Relationship Id="rId10" Type="http://schemas.openxmlformats.org/officeDocument/2006/relationships/ctrlProp" Target="../ctrlProps/ctrlProp513.xml"/><Relationship Id="rId19" Type="http://schemas.openxmlformats.org/officeDocument/2006/relationships/ctrlProp" Target="../ctrlProps/ctrlProp522.xml"/><Relationship Id="rId31" Type="http://schemas.openxmlformats.org/officeDocument/2006/relationships/ctrlProp" Target="../ctrlProps/ctrlProp534.xml"/><Relationship Id="rId44" Type="http://schemas.openxmlformats.org/officeDocument/2006/relationships/ctrlProp" Target="../ctrlProps/ctrlProp547.xml"/><Relationship Id="rId4" Type="http://schemas.openxmlformats.org/officeDocument/2006/relationships/ctrlProp" Target="../ctrlProps/ctrlProp507.xml"/><Relationship Id="rId9" Type="http://schemas.openxmlformats.org/officeDocument/2006/relationships/ctrlProp" Target="../ctrlProps/ctrlProp512.xml"/><Relationship Id="rId14" Type="http://schemas.openxmlformats.org/officeDocument/2006/relationships/ctrlProp" Target="../ctrlProps/ctrlProp517.xml"/><Relationship Id="rId22" Type="http://schemas.openxmlformats.org/officeDocument/2006/relationships/ctrlProp" Target="../ctrlProps/ctrlProp525.xml"/><Relationship Id="rId27" Type="http://schemas.openxmlformats.org/officeDocument/2006/relationships/ctrlProp" Target="../ctrlProps/ctrlProp530.xml"/><Relationship Id="rId30" Type="http://schemas.openxmlformats.org/officeDocument/2006/relationships/ctrlProp" Target="../ctrlProps/ctrlProp533.xml"/><Relationship Id="rId35" Type="http://schemas.openxmlformats.org/officeDocument/2006/relationships/ctrlProp" Target="../ctrlProps/ctrlProp538.xml"/><Relationship Id="rId43" Type="http://schemas.openxmlformats.org/officeDocument/2006/relationships/ctrlProp" Target="../ctrlProps/ctrlProp546.xml"/><Relationship Id="rId48" Type="http://schemas.openxmlformats.org/officeDocument/2006/relationships/ctrlProp" Target="../ctrlProps/ctrlProp551.xml"/><Relationship Id="rId8" Type="http://schemas.openxmlformats.org/officeDocument/2006/relationships/ctrlProp" Target="../ctrlProps/ctrlProp511.xml"/><Relationship Id="rId3" Type="http://schemas.openxmlformats.org/officeDocument/2006/relationships/vmlDrawing" Target="../drawings/vmlDrawing12.vml"/><Relationship Id="rId12" Type="http://schemas.openxmlformats.org/officeDocument/2006/relationships/ctrlProp" Target="../ctrlProps/ctrlProp515.xml"/><Relationship Id="rId17" Type="http://schemas.openxmlformats.org/officeDocument/2006/relationships/ctrlProp" Target="../ctrlProps/ctrlProp520.xml"/><Relationship Id="rId25" Type="http://schemas.openxmlformats.org/officeDocument/2006/relationships/ctrlProp" Target="../ctrlProps/ctrlProp528.xml"/><Relationship Id="rId33" Type="http://schemas.openxmlformats.org/officeDocument/2006/relationships/ctrlProp" Target="../ctrlProps/ctrlProp536.xml"/><Relationship Id="rId38" Type="http://schemas.openxmlformats.org/officeDocument/2006/relationships/ctrlProp" Target="../ctrlProps/ctrlProp541.xml"/><Relationship Id="rId46" Type="http://schemas.openxmlformats.org/officeDocument/2006/relationships/ctrlProp" Target="../ctrlProps/ctrlProp549.xml"/><Relationship Id="rId20" Type="http://schemas.openxmlformats.org/officeDocument/2006/relationships/ctrlProp" Target="../ctrlProps/ctrlProp523.xml"/><Relationship Id="rId41" Type="http://schemas.openxmlformats.org/officeDocument/2006/relationships/ctrlProp" Target="../ctrlProps/ctrlProp544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50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I642"/>
  <sheetViews>
    <sheetView showGridLines="0" showRowColHeaders="0" topLeftCell="A17" workbookViewId="0">
      <selection activeCell="AM33" sqref="AM33:AS3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117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4</v>
      </c>
      <c r="AN6" s="197"/>
      <c r="AO6" s="9" t="s">
        <v>2</v>
      </c>
      <c r="AP6" s="197">
        <v>7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C19" s="72"/>
      <c r="D19" s="72"/>
      <c r="E19" s="72"/>
      <c r="F19" s="72"/>
      <c r="G19" s="72"/>
      <c r="H19" s="72"/>
      <c r="I19" s="72"/>
      <c r="J19" s="79">
        <f>H39</f>
        <v>1953600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C20" s="72"/>
      <c r="D20" s="204" t="s">
        <v>87</v>
      </c>
      <c r="E20" s="204"/>
      <c r="F20" s="204"/>
      <c r="G20" s="204"/>
      <c r="H20" s="204"/>
      <c r="I20" s="204"/>
      <c r="J20" s="202">
        <f>H39</f>
        <v>1953600</v>
      </c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C21" s="72"/>
      <c r="D21" s="205"/>
      <c r="E21" s="205"/>
      <c r="F21" s="205"/>
      <c r="G21" s="205"/>
      <c r="H21" s="205"/>
      <c r="I21" s="205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215" t="s">
        <v>111</v>
      </c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16"/>
      <c r="T26" s="153"/>
      <c r="U26" s="154"/>
      <c r="V26" s="154"/>
      <c r="W26" s="154"/>
      <c r="X26" s="155" t="s">
        <v>20</v>
      </c>
      <c r="Y26" s="155"/>
      <c r="Z26" s="156"/>
      <c r="AA26" s="153">
        <v>66000</v>
      </c>
      <c r="AB26" s="154"/>
      <c r="AC26" s="154"/>
      <c r="AD26" s="154"/>
      <c r="AE26" s="157"/>
      <c r="AF26" s="153">
        <f t="shared" ref="AF26" si="0">IF(T26="",1*AA26,T26*AA26)</f>
        <v>66000</v>
      </c>
      <c r="AG26" s="154"/>
      <c r="AH26" s="154"/>
      <c r="AI26" s="154"/>
      <c r="AJ26" s="154"/>
      <c r="AK26" s="154"/>
      <c r="AL26" s="157"/>
      <c r="AM26" s="206" t="s">
        <v>94</v>
      </c>
      <c r="AN26" s="207"/>
      <c r="AO26" s="207"/>
      <c r="AP26" s="207"/>
      <c r="AQ26" s="207"/>
      <c r="AR26" s="207"/>
      <c r="AS26" s="208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215" t="s">
        <v>115</v>
      </c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16"/>
      <c r="T27" s="153"/>
      <c r="U27" s="154"/>
      <c r="V27" s="154"/>
      <c r="W27" s="154"/>
      <c r="X27" s="155" t="s">
        <v>20</v>
      </c>
      <c r="Y27" s="155"/>
      <c r="Z27" s="156"/>
      <c r="AA27" s="153">
        <v>150000</v>
      </c>
      <c r="AB27" s="154"/>
      <c r="AC27" s="154"/>
      <c r="AD27" s="154"/>
      <c r="AE27" s="157"/>
      <c r="AF27" s="153">
        <f t="shared" ref="AF27" si="1">IF(T27="",1*AA27,T27*AA27)</f>
        <v>150000</v>
      </c>
      <c r="AG27" s="154"/>
      <c r="AH27" s="154"/>
      <c r="AI27" s="154"/>
      <c r="AJ27" s="154"/>
      <c r="AK27" s="154"/>
      <c r="AL27" s="157"/>
      <c r="AM27" s="206" t="s">
        <v>93</v>
      </c>
      <c r="AN27" s="207"/>
      <c r="AO27" s="207"/>
      <c r="AP27" s="207"/>
      <c r="AQ27" s="207"/>
      <c r="AR27" s="207"/>
      <c r="AS27" s="208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215" t="s">
        <v>116</v>
      </c>
      <c r="C28" s="207"/>
      <c r="D28" s="207"/>
      <c r="E28" s="207"/>
      <c r="F28" s="207"/>
      <c r="G28" s="207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16"/>
      <c r="T28" s="153"/>
      <c r="U28" s="154"/>
      <c r="V28" s="154"/>
      <c r="W28" s="154"/>
      <c r="X28" s="155" t="s">
        <v>20</v>
      </c>
      <c r="Y28" s="155"/>
      <c r="Z28" s="156"/>
      <c r="AA28" s="153">
        <v>150000</v>
      </c>
      <c r="AB28" s="154"/>
      <c r="AC28" s="154"/>
      <c r="AD28" s="154"/>
      <c r="AE28" s="157"/>
      <c r="AF28" s="153">
        <f>IF(T28="",1*AA28,T28*AA28)</f>
        <v>150000</v>
      </c>
      <c r="AG28" s="154"/>
      <c r="AH28" s="154"/>
      <c r="AI28" s="154"/>
      <c r="AJ28" s="154"/>
      <c r="AK28" s="154"/>
      <c r="AL28" s="157"/>
      <c r="AM28" s="206" t="s">
        <v>95</v>
      </c>
      <c r="AN28" s="207"/>
      <c r="AO28" s="207"/>
      <c r="AP28" s="207"/>
      <c r="AQ28" s="207"/>
      <c r="AR28" s="207"/>
      <c r="AS28" s="208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215" t="s">
        <v>111</v>
      </c>
      <c r="C29" s="207"/>
      <c r="D29" s="207"/>
      <c r="E29" s="207"/>
      <c r="F29" s="207"/>
      <c r="G29" s="207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16"/>
      <c r="T29" s="153"/>
      <c r="U29" s="154"/>
      <c r="V29" s="154"/>
      <c r="W29" s="154"/>
      <c r="X29" s="155" t="s">
        <v>20</v>
      </c>
      <c r="Y29" s="155"/>
      <c r="Z29" s="156"/>
      <c r="AA29" s="153">
        <v>85000</v>
      </c>
      <c r="AB29" s="154"/>
      <c r="AC29" s="154"/>
      <c r="AD29" s="154"/>
      <c r="AE29" s="157"/>
      <c r="AF29" s="153">
        <f t="shared" ref="AF29" si="2">IF(T29="",1*AA29,T29*AA29)</f>
        <v>85000</v>
      </c>
      <c r="AG29" s="154"/>
      <c r="AH29" s="154"/>
      <c r="AI29" s="154"/>
      <c r="AJ29" s="154"/>
      <c r="AK29" s="154"/>
      <c r="AL29" s="157"/>
      <c r="AM29" s="206" t="s">
        <v>96</v>
      </c>
      <c r="AN29" s="207"/>
      <c r="AO29" s="207"/>
      <c r="AP29" s="207"/>
      <c r="AQ29" s="207"/>
      <c r="AR29" s="207"/>
      <c r="AS29" s="208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215" t="s">
        <v>114</v>
      </c>
      <c r="C30" s="207"/>
      <c r="D30" s="207"/>
      <c r="E30" s="207"/>
      <c r="F30" s="207"/>
      <c r="G30" s="207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16"/>
      <c r="T30" s="153"/>
      <c r="U30" s="154"/>
      <c r="V30" s="154"/>
      <c r="W30" s="154"/>
      <c r="X30" s="155" t="s">
        <v>20</v>
      </c>
      <c r="Y30" s="155"/>
      <c r="Z30" s="156"/>
      <c r="AA30" s="153">
        <v>230000</v>
      </c>
      <c r="AB30" s="154"/>
      <c r="AC30" s="154"/>
      <c r="AD30" s="154"/>
      <c r="AE30" s="157"/>
      <c r="AF30" s="153">
        <f t="shared" ref="AF30" si="3">IF(T30="",1*AA30,T30*AA30)</f>
        <v>230000</v>
      </c>
      <c r="AG30" s="154"/>
      <c r="AH30" s="154"/>
      <c r="AI30" s="154"/>
      <c r="AJ30" s="154"/>
      <c r="AK30" s="154"/>
      <c r="AL30" s="157"/>
      <c r="AM30" s="206" t="s">
        <v>97</v>
      </c>
      <c r="AN30" s="207"/>
      <c r="AO30" s="207"/>
      <c r="AP30" s="207"/>
      <c r="AQ30" s="207"/>
      <c r="AR30" s="207"/>
      <c r="AS30" s="208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215" t="s">
        <v>111</v>
      </c>
      <c r="C31" s="207"/>
      <c r="D31" s="207"/>
      <c r="E31" s="207"/>
      <c r="F31" s="207"/>
      <c r="G31" s="207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16"/>
      <c r="T31" s="153"/>
      <c r="U31" s="154"/>
      <c r="V31" s="154"/>
      <c r="W31" s="154"/>
      <c r="X31" s="155" t="s">
        <v>20</v>
      </c>
      <c r="Y31" s="155"/>
      <c r="Z31" s="156"/>
      <c r="AA31" s="153">
        <v>85000</v>
      </c>
      <c r="AB31" s="154"/>
      <c r="AC31" s="154"/>
      <c r="AD31" s="154"/>
      <c r="AE31" s="157"/>
      <c r="AF31" s="153">
        <f t="shared" ref="AF31:AF32" si="4">IF(T31="",1*AA31,T31*AA31)</f>
        <v>85000</v>
      </c>
      <c r="AG31" s="154"/>
      <c r="AH31" s="154"/>
      <c r="AI31" s="154"/>
      <c r="AJ31" s="154"/>
      <c r="AK31" s="154"/>
      <c r="AL31" s="157"/>
      <c r="AM31" s="206" t="s">
        <v>98</v>
      </c>
      <c r="AN31" s="207"/>
      <c r="AO31" s="207"/>
      <c r="AP31" s="207"/>
      <c r="AQ31" s="207"/>
      <c r="AR31" s="207"/>
      <c r="AS31" s="208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215" t="s">
        <v>112</v>
      </c>
      <c r="C32" s="207"/>
      <c r="D32" s="207"/>
      <c r="E32" s="207"/>
      <c r="F32" s="207"/>
      <c r="G32" s="207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16"/>
      <c r="T32" s="153"/>
      <c r="U32" s="154"/>
      <c r="V32" s="154"/>
      <c r="W32" s="154"/>
      <c r="X32" s="155" t="s">
        <v>20</v>
      </c>
      <c r="Y32" s="155"/>
      <c r="Z32" s="156"/>
      <c r="AA32" s="153">
        <v>150000</v>
      </c>
      <c r="AB32" s="154"/>
      <c r="AC32" s="154"/>
      <c r="AD32" s="154"/>
      <c r="AE32" s="157"/>
      <c r="AF32" s="153">
        <f t="shared" si="4"/>
        <v>150000</v>
      </c>
      <c r="AG32" s="154"/>
      <c r="AH32" s="154"/>
      <c r="AI32" s="154"/>
      <c r="AJ32" s="154"/>
      <c r="AK32" s="154"/>
      <c r="AL32" s="157"/>
      <c r="AM32" s="206" t="s">
        <v>99</v>
      </c>
      <c r="AN32" s="207"/>
      <c r="AO32" s="207"/>
      <c r="AP32" s="207"/>
      <c r="AQ32" s="207"/>
      <c r="AR32" s="207"/>
      <c r="AS32" s="208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215" t="s">
        <v>111</v>
      </c>
      <c r="C33" s="207"/>
      <c r="D33" s="207"/>
      <c r="E33" s="207"/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16"/>
      <c r="T33" s="153"/>
      <c r="U33" s="154"/>
      <c r="V33" s="154"/>
      <c r="W33" s="154"/>
      <c r="X33" s="155" t="s">
        <v>20</v>
      </c>
      <c r="Y33" s="155"/>
      <c r="Z33" s="156"/>
      <c r="AA33" s="153">
        <v>100000</v>
      </c>
      <c r="AB33" s="154"/>
      <c r="AC33" s="154"/>
      <c r="AD33" s="154"/>
      <c r="AE33" s="157"/>
      <c r="AF33" s="153">
        <f>IF(T33="",1*AA33,T33*AA33)</f>
        <v>100000</v>
      </c>
      <c r="AG33" s="154"/>
      <c r="AH33" s="154"/>
      <c r="AI33" s="154"/>
      <c r="AJ33" s="154"/>
      <c r="AK33" s="154"/>
      <c r="AL33" s="157"/>
      <c r="AM33" s="206" t="s">
        <v>100</v>
      </c>
      <c r="AN33" s="207"/>
      <c r="AO33" s="207"/>
      <c r="AP33" s="207"/>
      <c r="AQ33" s="207"/>
      <c r="AR33" s="207"/>
      <c r="AS33" s="208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 t="s">
        <v>110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 t="s">
        <v>20</v>
      </c>
      <c r="Y34" s="155"/>
      <c r="Z34" s="156"/>
      <c r="AA34" s="153">
        <v>150000</v>
      </c>
      <c r="AB34" s="154"/>
      <c r="AC34" s="154"/>
      <c r="AD34" s="154"/>
      <c r="AE34" s="157"/>
      <c r="AF34" s="153">
        <f>IF(T34="",1*AA34,T34*AA34)</f>
        <v>150000</v>
      </c>
      <c r="AG34" s="154"/>
      <c r="AH34" s="154"/>
      <c r="AI34" s="154"/>
      <c r="AJ34" s="154"/>
      <c r="AK34" s="154"/>
      <c r="AL34" s="157"/>
      <c r="AM34" s="206" t="s">
        <v>101</v>
      </c>
      <c r="AN34" s="207"/>
      <c r="AO34" s="207"/>
      <c r="AP34" s="207"/>
      <c r="AQ34" s="207"/>
      <c r="AR34" s="207"/>
      <c r="AS34" s="208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215" t="s">
        <v>113</v>
      </c>
      <c r="C35" s="207"/>
      <c r="D35" s="207"/>
      <c r="E35" s="207"/>
      <c r="F35" s="207"/>
      <c r="G35" s="207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16"/>
      <c r="T35" s="153"/>
      <c r="U35" s="154"/>
      <c r="V35" s="154"/>
      <c r="W35" s="154"/>
      <c r="X35" s="155" t="s">
        <v>20</v>
      </c>
      <c r="Y35" s="155"/>
      <c r="Z35" s="156"/>
      <c r="AA35" s="153">
        <v>180000</v>
      </c>
      <c r="AB35" s="154"/>
      <c r="AC35" s="154"/>
      <c r="AD35" s="154"/>
      <c r="AE35" s="157"/>
      <c r="AF35" s="153">
        <f>IF(T35="",1*AA35,T35*AA35)</f>
        <v>180000</v>
      </c>
      <c r="AG35" s="154"/>
      <c r="AH35" s="154"/>
      <c r="AI35" s="154"/>
      <c r="AJ35" s="154"/>
      <c r="AK35" s="154"/>
      <c r="AL35" s="157"/>
      <c r="AM35" s="206" t="s">
        <v>106</v>
      </c>
      <c r="AN35" s="207"/>
      <c r="AO35" s="207"/>
      <c r="AP35" s="207"/>
      <c r="AQ35" s="207"/>
      <c r="AR35" s="207"/>
      <c r="AS35" s="20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215" t="s">
        <v>113</v>
      </c>
      <c r="C36" s="207"/>
      <c r="D36" s="207"/>
      <c r="E36" s="207"/>
      <c r="F36" s="207"/>
      <c r="G36" s="207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16"/>
      <c r="T36" s="153"/>
      <c r="U36" s="154"/>
      <c r="V36" s="154"/>
      <c r="W36" s="154"/>
      <c r="X36" s="155" t="s">
        <v>20</v>
      </c>
      <c r="Y36" s="155"/>
      <c r="Z36" s="156"/>
      <c r="AA36" s="153">
        <v>180000</v>
      </c>
      <c r="AB36" s="154"/>
      <c r="AC36" s="154"/>
      <c r="AD36" s="154"/>
      <c r="AE36" s="157"/>
      <c r="AF36" s="153">
        <f>IF(T36="",1*AA36,T36*AA36)</f>
        <v>180000</v>
      </c>
      <c r="AG36" s="154"/>
      <c r="AH36" s="154"/>
      <c r="AI36" s="154"/>
      <c r="AJ36" s="154"/>
      <c r="AK36" s="154"/>
      <c r="AL36" s="157"/>
      <c r="AM36" s="206" t="s">
        <v>108</v>
      </c>
      <c r="AN36" s="207"/>
      <c r="AO36" s="207"/>
      <c r="AP36" s="207"/>
      <c r="AQ36" s="207"/>
      <c r="AR36" s="207"/>
      <c r="AS36" s="20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215" t="s">
        <v>109</v>
      </c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16"/>
      <c r="T37" s="145"/>
      <c r="U37" s="146"/>
      <c r="V37" s="146"/>
      <c r="W37" s="146"/>
      <c r="X37" s="147" t="s">
        <v>20</v>
      </c>
      <c r="Y37" s="147"/>
      <c r="Z37" s="148"/>
      <c r="AA37" s="145">
        <v>250000</v>
      </c>
      <c r="AB37" s="146"/>
      <c r="AC37" s="146"/>
      <c r="AD37" s="146"/>
      <c r="AE37" s="149"/>
      <c r="AF37" s="145">
        <f>IF(T37="",1*AA37,T37*AA37)</f>
        <v>250000</v>
      </c>
      <c r="AG37" s="146"/>
      <c r="AH37" s="146"/>
      <c r="AI37" s="146"/>
      <c r="AJ37" s="146"/>
      <c r="AK37" s="146"/>
      <c r="AL37" s="149"/>
      <c r="AM37" s="206" t="s">
        <v>108</v>
      </c>
      <c r="AN37" s="207"/>
      <c r="AO37" s="207"/>
      <c r="AP37" s="207"/>
      <c r="AQ37" s="207"/>
      <c r="AR37" s="207"/>
      <c r="AS37" s="20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220">
        <f>AA38*0.1</f>
        <v>177600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2"/>
      <c r="T38" s="84" t="s">
        <v>13</v>
      </c>
      <c r="U38" s="106"/>
      <c r="V38" s="106"/>
      <c r="W38" s="106"/>
      <c r="X38" s="106"/>
      <c r="Y38" s="106"/>
      <c r="Z38" s="85"/>
      <c r="AA38" s="223">
        <f>SUM(AF26:AL37)</f>
        <v>1776000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5"/>
      <c r="AM38" s="212"/>
      <c r="AN38" s="213"/>
      <c r="AO38" s="213"/>
      <c r="AP38" s="213"/>
      <c r="AQ38" s="213"/>
      <c r="AR38" s="213"/>
      <c r="AS38" s="21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217">
        <f>CK115+H38</f>
        <v>1953600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9"/>
      <c r="AM39" s="209"/>
      <c r="AN39" s="210"/>
      <c r="AO39" s="210"/>
      <c r="AP39" s="210"/>
      <c r="AQ39" s="210"/>
      <c r="AR39" s="210"/>
      <c r="AS39" s="21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107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 t="s">
        <v>105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1776000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1500w　加工デモ　日帰り　ハイエース使用</v>
      </c>
      <c r="FE101" s="61">
        <f>T26</f>
        <v>0</v>
      </c>
      <c r="FF101" s="61" t="str">
        <f>X26</f>
        <v>一式</v>
      </c>
      <c r="FG101" s="61">
        <f>AA26</f>
        <v>66000</v>
      </c>
      <c r="FH101" s="61">
        <f>AF26</f>
        <v>66000</v>
      </c>
      <c r="FI101" s="61" t="str">
        <f>AM26</f>
        <v>岐阜市内客先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5">B27</f>
        <v>FL-LCW 1500w　加工デモ　一泊二日　　公共交通</v>
      </c>
      <c r="FE102" s="61">
        <f t="shared" ref="FE102:FE112" si="6">T27</f>
        <v>0</v>
      </c>
      <c r="FF102" s="61" t="str">
        <f t="shared" ref="FF102:FF112" si="7">X27</f>
        <v>一式</v>
      </c>
      <c r="FG102" s="61">
        <f t="shared" ref="FG102:FG112" si="8">AA27</f>
        <v>150000</v>
      </c>
      <c r="FH102" s="61">
        <f t="shared" ref="FH102:FH112" si="9">AF27</f>
        <v>150000</v>
      </c>
      <c r="FI102" s="61" t="str">
        <f t="shared" ref="FI102:FI112" si="10">AM27</f>
        <v>茨城営業所内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5"/>
        <v>FL-LCW 1500w　加工デモ　一泊二日　　公共交通</v>
      </c>
      <c r="FE103" s="61">
        <f t="shared" si="6"/>
        <v>0</v>
      </c>
      <c r="FF103" s="61" t="str">
        <f t="shared" si="7"/>
        <v>一式</v>
      </c>
      <c r="FG103" s="61">
        <f t="shared" si="8"/>
        <v>150000</v>
      </c>
      <c r="FH103" s="61">
        <f t="shared" si="9"/>
        <v>150000</v>
      </c>
      <c r="FI103" s="61" t="str">
        <f t="shared" si="10"/>
        <v>横浜市内客先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1776000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FL-LCW 1500w　加工デモ　日帰り　ハイエース使用</v>
      </c>
      <c r="FE104" s="61">
        <f t="shared" si="6"/>
        <v>0</v>
      </c>
      <c r="FF104" s="61" t="str">
        <f t="shared" si="7"/>
        <v>一式</v>
      </c>
      <c r="FG104" s="61">
        <f t="shared" si="8"/>
        <v>85000</v>
      </c>
      <c r="FH104" s="61">
        <f t="shared" si="9"/>
        <v>85000</v>
      </c>
      <c r="FI104" s="61" t="str">
        <f t="shared" si="10"/>
        <v>岡崎市内客先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6"/>
        <v>0</v>
      </c>
      <c r="FF105" s="61" t="str">
        <f t="shared" si="7"/>
        <v>一式</v>
      </c>
      <c r="FG105" s="61">
        <f t="shared" si="8"/>
        <v>230000</v>
      </c>
      <c r="FH105" s="61">
        <f t="shared" si="9"/>
        <v>230000</v>
      </c>
      <c r="FI105" s="61" t="str">
        <f t="shared" si="10"/>
        <v>函館市内客先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6"/>
        <v>0</v>
      </c>
      <c r="FF106" s="61" t="str">
        <f t="shared" si="7"/>
        <v>一式</v>
      </c>
      <c r="FG106" s="61">
        <f t="shared" si="8"/>
        <v>85000</v>
      </c>
      <c r="FH106" s="61">
        <f t="shared" si="9"/>
        <v>85000</v>
      </c>
      <c r="FI106" s="61" t="str">
        <f t="shared" si="10"/>
        <v>四日市市内客先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6"/>
        <v>0</v>
      </c>
      <c r="FF107" s="61" t="str">
        <f t="shared" si="7"/>
        <v>一式</v>
      </c>
      <c r="FG107" s="61">
        <f t="shared" si="8"/>
        <v>150000</v>
      </c>
      <c r="FH107" s="61">
        <f t="shared" si="9"/>
        <v>150000</v>
      </c>
      <c r="FI107" s="61" t="str">
        <f t="shared" si="10"/>
        <v>行田市内客先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 1500w　加工デモ　日帰り　ハイエース使用</v>
      </c>
      <c r="FE108" s="61">
        <f t="shared" si="6"/>
        <v>0</v>
      </c>
      <c r="FF108" s="61" t="str">
        <f t="shared" si="7"/>
        <v>一式</v>
      </c>
      <c r="FG108" s="61">
        <f t="shared" si="8"/>
        <v>100000</v>
      </c>
      <c r="FH108" s="61">
        <f t="shared" si="9"/>
        <v>100000</v>
      </c>
      <c r="FI108" s="61" t="str">
        <f t="shared" si="10"/>
        <v>大阪市内客先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5"/>
        <v>FL-LCW 1500w加工デモ　一泊二日　ハイエース使用</v>
      </c>
      <c r="FE109" s="61">
        <f t="shared" si="6"/>
        <v>0</v>
      </c>
      <c r="FF109" s="61" t="str">
        <f t="shared" si="7"/>
        <v>一式</v>
      </c>
      <c r="FG109" s="61">
        <f t="shared" si="8"/>
        <v>150000</v>
      </c>
      <c r="FH109" s="61">
        <f t="shared" si="9"/>
        <v>150000</v>
      </c>
      <c r="FI109" s="61" t="str">
        <f t="shared" si="10"/>
        <v>千葉県内客先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5"/>
        <v>FL-LCW 1500w加工デモ　一泊二日　　公共交通</v>
      </c>
      <c r="FE110" s="61">
        <f t="shared" si="6"/>
        <v>0</v>
      </c>
      <c r="FF110" s="61" t="str">
        <f t="shared" si="7"/>
        <v>一式</v>
      </c>
      <c r="FG110" s="61">
        <f t="shared" si="8"/>
        <v>180000</v>
      </c>
      <c r="FH110" s="61">
        <f t="shared" si="9"/>
        <v>180000</v>
      </c>
      <c r="FI110" s="61" t="str">
        <f t="shared" si="10"/>
        <v>東京都内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5"/>
        <v>FL-LCW 1500w加工デモ　一泊二日　　公共交通</v>
      </c>
      <c r="FE111" s="61">
        <f t="shared" si="6"/>
        <v>0</v>
      </c>
      <c r="FF111" s="61" t="str">
        <f t="shared" si="7"/>
        <v>一式</v>
      </c>
      <c r="FG111" s="61">
        <f t="shared" si="8"/>
        <v>180000</v>
      </c>
      <c r="FH111" s="61">
        <f t="shared" si="9"/>
        <v>180000</v>
      </c>
      <c r="FI111" s="61" t="str">
        <f t="shared" si="10"/>
        <v>新潟市内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5"/>
        <v>FL-LCW 1500w加工デモ　二泊三日　ハイエース使用</v>
      </c>
      <c r="FE112" s="61">
        <f t="shared" si="6"/>
        <v>0</v>
      </c>
      <c r="FF112" s="61" t="str">
        <f t="shared" si="7"/>
        <v>一式</v>
      </c>
      <c r="FG112" s="61">
        <f t="shared" si="8"/>
        <v>250000</v>
      </c>
      <c r="FH112" s="61">
        <f t="shared" si="9"/>
        <v>250000</v>
      </c>
      <c r="FI112" s="61" t="str">
        <f t="shared" si="10"/>
        <v>新潟市内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1776000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M119:DN119"/>
    <mergeCell ref="DO119:DU119"/>
    <mergeCell ref="DR112:EC112"/>
    <mergeCell ref="DR115:EC115"/>
    <mergeCell ref="CI119:CL119"/>
    <mergeCell ref="CM119:DK119"/>
    <mergeCell ref="CW113:DD113"/>
    <mergeCell ref="DE113:DK113"/>
    <mergeCell ref="DE114:DK114"/>
    <mergeCell ref="CI115:CJ115"/>
    <mergeCell ref="CK113:CQ113"/>
    <mergeCell ref="CW114:DD114"/>
    <mergeCell ref="CW115:DD115"/>
    <mergeCell ref="CI112:CJ112"/>
    <mergeCell ref="DE115:DK115"/>
    <mergeCell ref="CI113:CJ113"/>
    <mergeCell ref="CK112:CQ112"/>
    <mergeCell ref="CW112:DD112"/>
    <mergeCell ref="CK115:CQ115"/>
    <mergeCell ref="CI114:CJ114"/>
    <mergeCell ref="CK114:CQ114"/>
    <mergeCell ref="DE112:DK112"/>
    <mergeCell ref="CW107:CY107"/>
    <mergeCell ref="CW111:DD111"/>
    <mergeCell ref="DE111:DK111"/>
    <mergeCell ref="CV110:DD110"/>
    <mergeCell ref="DR113:EC113"/>
    <mergeCell ref="DR114:EC114"/>
    <mergeCell ref="DM107:DR107"/>
    <mergeCell ref="DM108:DR108"/>
    <mergeCell ref="DE110:DK110"/>
    <mergeCell ref="CI111:CJ111"/>
    <mergeCell ref="CK111:CQ111"/>
    <mergeCell ref="P55:V55"/>
    <mergeCell ref="CI104:CJ104"/>
    <mergeCell ref="CK104:CQ104"/>
    <mergeCell ref="CK105:CQ105"/>
    <mergeCell ref="DM103:DR103"/>
    <mergeCell ref="DM104:DR104"/>
    <mergeCell ref="DR111:EC111"/>
    <mergeCell ref="CI110:CJ110"/>
    <mergeCell ref="CK110:CQ110"/>
    <mergeCell ref="DM109:DR109"/>
    <mergeCell ref="CI109:CJ109"/>
    <mergeCell ref="CK109:CQ109"/>
    <mergeCell ref="CI107:CJ107"/>
    <mergeCell ref="CK107:CQ107"/>
    <mergeCell ref="CI106:CJ106"/>
    <mergeCell ref="CK106:CQ106"/>
    <mergeCell ref="CV106:CZ106"/>
    <mergeCell ref="CK108:CQ108"/>
    <mergeCell ref="CW108:CY108"/>
    <mergeCell ref="CI108:CJ108"/>
    <mergeCell ref="DM106:DR106"/>
    <mergeCell ref="DR110:EC110"/>
    <mergeCell ref="AW56:BH56"/>
    <mergeCell ref="N56:O56"/>
    <mergeCell ref="P56:V56"/>
    <mergeCell ref="AB56:AI56"/>
    <mergeCell ref="AJ56:AP56"/>
    <mergeCell ref="AW57:BH57"/>
    <mergeCell ref="N55:O55"/>
    <mergeCell ref="CW104:CX104"/>
    <mergeCell ref="CI105:CJ105"/>
    <mergeCell ref="AR60:AS60"/>
    <mergeCell ref="CI103:CQ103"/>
    <mergeCell ref="CW103:CY103"/>
    <mergeCell ref="AB55:AI55"/>
    <mergeCell ref="AJ55:AP55"/>
    <mergeCell ref="R60:AP60"/>
    <mergeCell ref="N60:Q60"/>
    <mergeCell ref="AB54:AI54"/>
    <mergeCell ref="AJ54:AP54"/>
    <mergeCell ref="AW55:BH55"/>
    <mergeCell ref="N53:O53"/>
    <mergeCell ref="P53:V53"/>
    <mergeCell ref="AB49:AD49"/>
    <mergeCell ref="N50:O50"/>
    <mergeCell ref="P50:V50"/>
    <mergeCell ref="AW52:BH52"/>
    <mergeCell ref="AB53:AI53"/>
    <mergeCell ref="N51:O51"/>
    <mergeCell ref="P51:V51"/>
    <mergeCell ref="N52:O52"/>
    <mergeCell ref="P52:V52"/>
    <mergeCell ref="AB52:AI52"/>
    <mergeCell ref="AJ52:AP52"/>
    <mergeCell ref="N54:O54"/>
    <mergeCell ref="P54:V54"/>
    <mergeCell ref="AJ51:AP51"/>
    <mergeCell ref="N49:O49"/>
    <mergeCell ref="P49:V49"/>
    <mergeCell ref="N45:O45"/>
    <mergeCell ref="P45:V45"/>
    <mergeCell ref="AB45:AC45"/>
    <mergeCell ref="N47:O47"/>
    <mergeCell ref="P47:V47"/>
    <mergeCell ref="AA47:AE47"/>
    <mergeCell ref="N48:O48"/>
    <mergeCell ref="P48:V48"/>
    <mergeCell ref="N44:V44"/>
    <mergeCell ref="AB44:AD44"/>
    <mergeCell ref="N46:O46"/>
    <mergeCell ref="P46:V46"/>
    <mergeCell ref="AB48:AD48"/>
    <mergeCell ref="B39:G39"/>
    <mergeCell ref="H39:AL39"/>
    <mergeCell ref="B40:D40"/>
    <mergeCell ref="E40:AS40"/>
    <mergeCell ref="B42:AS42"/>
    <mergeCell ref="B41:AS41"/>
    <mergeCell ref="B38:G38"/>
    <mergeCell ref="H38:S38"/>
    <mergeCell ref="T38:Z38"/>
    <mergeCell ref="AA38:AL38"/>
    <mergeCell ref="B34:S34"/>
    <mergeCell ref="T34:W34"/>
    <mergeCell ref="X34:Z34"/>
    <mergeCell ref="AA34:AE34"/>
    <mergeCell ref="AM36:AS36"/>
    <mergeCell ref="B35:S35"/>
    <mergeCell ref="AF35:AL35"/>
    <mergeCell ref="AF36:AL36"/>
    <mergeCell ref="AA36:AE36"/>
    <mergeCell ref="B37:S37"/>
    <mergeCell ref="T37:W37"/>
    <mergeCell ref="X37:Z37"/>
    <mergeCell ref="AF37:AL37"/>
    <mergeCell ref="X35:Z35"/>
    <mergeCell ref="AA35:AE35"/>
    <mergeCell ref="B36:S36"/>
    <mergeCell ref="T36:W36"/>
    <mergeCell ref="X36:Z36"/>
    <mergeCell ref="T35:W35"/>
    <mergeCell ref="B33:S33"/>
    <mergeCell ref="AF33:AL33"/>
    <mergeCell ref="AF32:AL32"/>
    <mergeCell ref="T32:W32"/>
    <mergeCell ref="X32:Z32"/>
    <mergeCell ref="AA33:AE33"/>
    <mergeCell ref="T33:W33"/>
    <mergeCell ref="B32:S32"/>
    <mergeCell ref="X33:Z33"/>
    <mergeCell ref="X29:Z29"/>
    <mergeCell ref="T31:W31"/>
    <mergeCell ref="T30:W30"/>
    <mergeCell ref="B30:S30"/>
    <mergeCell ref="X31:Z31"/>
    <mergeCell ref="AM29:AS29"/>
    <mergeCell ref="AM30:AS30"/>
    <mergeCell ref="AF30:AL30"/>
    <mergeCell ref="AA29:AE29"/>
    <mergeCell ref="X30:Z30"/>
    <mergeCell ref="AA30:AE30"/>
    <mergeCell ref="AF29:AL29"/>
    <mergeCell ref="AF31:AL31"/>
    <mergeCell ref="AM31:AS31"/>
    <mergeCell ref="AA31:AE31"/>
    <mergeCell ref="B31:S31"/>
    <mergeCell ref="AA24:AE25"/>
    <mergeCell ref="CI120:CL120"/>
    <mergeCell ref="B26:S26"/>
    <mergeCell ref="T26:W26"/>
    <mergeCell ref="X26:Z26"/>
    <mergeCell ref="AF28:AL28"/>
    <mergeCell ref="AM28:AS28"/>
    <mergeCell ref="B27:S27"/>
    <mergeCell ref="T27:W27"/>
    <mergeCell ref="AA28:AE28"/>
    <mergeCell ref="AM24:AS25"/>
    <mergeCell ref="AF26:AL26"/>
    <mergeCell ref="AM26:AS26"/>
    <mergeCell ref="AF27:AL27"/>
    <mergeCell ref="AM27:AS27"/>
    <mergeCell ref="AF24:AL25"/>
    <mergeCell ref="AA26:AE26"/>
    <mergeCell ref="B28:S28"/>
    <mergeCell ref="T28:W28"/>
    <mergeCell ref="X28:Z28"/>
    <mergeCell ref="X27:Z27"/>
    <mergeCell ref="B29:S29"/>
    <mergeCell ref="B24:S25"/>
    <mergeCell ref="T29:W29"/>
    <mergeCell ref="CM120:DK120"/>
    <mergeCell ref="AA2:AJ3"/>
    <mergeCell ref="AB19:AF22"/>
    <mergeCell ref="AG19:AK22"/>
    <mergeCell ref="AF17:AL17"/>
    <mergeCell ref="AB13:AD13"/>
    <mergeCell ref="AE13:AT13"/>
    <mergeCell ref="AE15:AT15"/>
    <mergeCell ref="AB15:AD15"/>
    <mergeCell ref="AM32:AS32"/>
    <mergeCell ref="AA37:AE37"/>
    <mergeCell ref="AM33:AS33"/>
    <mergeCell ref="AM35:AS35"/>
    <mergeCell ref="AA32:AE32"/>
    <mergeCell ref="AM34:AS34"/>
    <mergeCell ref="AF34:AL34"/>
    <mergeCell ref="AM37:AS37"/>
    <mergeCell ref="AA27:AE27"/>
    <mergeCell ref="AM39:AS39"/>
    <mergeCell ref="AJ53:AP53"/>
    <mergeCell ref="AW53:BH53"/>
    <mergeCell ref="AW54:BH54"/>
    <mergeCell ref="AA51:AI51"/>
    <mergeCell ref="AM38:AS38"/>
    <mergeCell ref="AN3:AR3"/>
    <mergeCell ref="AL19:AP22"/>
    <mergeCell ref="D20:I21"/>
    <mergeCell ref="D4:U4"/>
    <mergeCell ref="F6:Q6"/>
    <mergeCell ref="T7:V8"/>
    <mergeCell ref="D7:S8"/>
    <mergeCell ref="AM6:AN6"/>
    <mergeCell ref="AP6:AQ6"/>
    <mergeCell ref="AI6:AK6"/>
    <mergeCell ref="N17:O17"/>
    <mergeCell ref="Q17:R17"/>
    <mergeCell ref="B22:U22"/>
    <mergeCell ref="T24:Z25"/>
    <mergeCell ref="J17:L17"/>
    <mergeCell ref="J20:U21"/>
    <mergeCell ref="P2:R2"/>
    <mergeCell ref="M2:O2"/>
    <mergeCell ref="D5:R5"/>
    <mergeCell ref="E3:H3"/>
    <mergeCell ref="H13:T13"/>
    <mergeCell ref="H11:S11"/>
  </mergeCells>
  <phoneticPr fontId="4"/>
  <dataValidations xWindow="452" yWindow="935" count="23">
    <dataValidation imeMode="off" allowBlank="1" showInputMessage="1" showErrorMessage="1" prompt="年を入力  西暦表示の場合、平成を消してください" sqref="AI6:AK6" xr:uid="{00000000-0002-0000-0000-000000000000}"/>
    <dataValidation imeMode="off" allowBlank="1" showInputMessage="1" showErrorMessage="1" prompt="月を入力" sqref="AM6:AN6 N17:O17" xr:uid="{00000000-0002-0000-0000-000001000000}"/>
    <dataValidation imeMode="off" allowBlank="1" showInputMessage="1" showErrorMessage="1" prompt="日を入力" sqref="AP6:AQ6 Q17:R17" xr:uid="{00000000-0002-0000-0000-000002000000}"/>
    <dataValidation imeMode="off" allowBlank="1" showInputMessage="1" showErrorMessage="1" prompt="お客様の郵便番号を入力" sqref="E3:H3" xr:uid="{00000000-0002-0000-0000-000003000000}"/>
    <dataValidation imeMode="hiragana" allowBlank="1" showInputMessage="1" showErrorMessage="1" prompt="お客様の住所を入力" sqref="D4" xr:uid="{00000000-0002-0000-0000-000004000000}"/>
    <dataValidation imeMode="hiragana" allowBlank="1" showInputMessage="1" showErrorMessage="1" prompt="お客様の住所でビル名番地など入力" sqref="D5:R5" xr:uid="{00000000-0002-0000-0000-000005000000}"/>
    <dataValidation imeMode="hiragana" allowBlank="1" showInputMessage="1" showErrorMessage="1" prompt="お客様名を入力" sqref="D7:S8" xr:uid="{00000000-0002-0000-0000-000006000000}"/>
    <dataValidation allowBlank="1" showInputMessage="1" showErrorMessage="1" prompt="見積書NOを入力" sqref="AN3:AR3" xr:uid="{00000000-0002-0000-0000-000007000000}"/>
    <dataValidation imeMode="hiragana" allowBlank="1" showInputMessage="1" showErrorMessage="1" sqref="AB9:AS9 B41:AS42 E40:AS40" xr:uid="{00000000-0002-0000-0000-000008000000}"/>
    <dataValidation imeMode="off" allowBlank="1" showInputMessage="1" showErrorMessage="1" prompt="年を入力" sqref="J17:L17" xr:uid="{00000000-0002-0000-0000-000009000000}"/>
    <dataValidation imeMode="hiragana" allowBlank="1" showInputMessage="1" showErrorMessage="1" prompt="受渡場所を入力_x000a_例：貴社指定場所" sqref="H13:T13" xr:uid="{00000000-0002-0000-0000-00000A000000}"/>
    <dataValidation imeMode="hiragana" allowBlank="1" showInputMessage="1" showErrorMessage="1" prompt="担当者を入力" sqref="AF17:AL17" xr:uid="{00000000-0002-0000-0000-00000C000000}"/>
    <dataValidation imeMode="hiragana" allowBlank="1" showInputMessage="1" showErrorMessage="1" prompt="品名を入力" sqref="B26:S37" xr:uid="{00000000-0002-0000-0000-00000D000000}"/>
    <dataValidation imeMode="off" allowBlank="1" showInputMessage="1" showErrorMessage="1" prompt="数量を入力" sqref="T26:W37" xr:uid="{00000000-0002-0000-0000-00000E000000}"/>
    <dataValidation imeMode="off" allowBlank="1" showInputMessage="1" showErrorMessage="1" prompt="単価を入力" sqref="AA26:AE37" xr:uid="{00000000-0002-0000-0000-00000F000000}"/>
    <dataValidation imeMode="hiragana" allowBlank="1" showInputMessage="1" showErrorMessage="1" prompt="備考があれば入力" sqref="AM26:AM37 AN35:AS37" xr:uid="{00000000-0002-0000-0000-000010000000}"/>
    <dataValidation type="list" allowBlank="1" showInputMessage="1" showErrorMessage="1" sqref="AA2:AJ3" xr:uid="{00000000-0002-0000-0000-000011000000}">
      <formula1>$DD$104:$DD$108</formula1>
    </dataValidation>
    <dataValidation type="list" imeMode="hiragana" allowBlank="1" showInputMessage="1" showErrorMessage="1" prompt="ボタンを押し単位を入力" sqref="X26:Z37" xr:uid="{00000000-0002-0000-0000-000012000000}">
      <formula1>$CS$104:$CS$116</formula1>
    </dataValidation>
    <dataValidation type="list" allowBlank="1" showInputMessage="1" showErrorMessage="1" sqref="T7:V8" xr:uid="{00000000-0002-0000-0000-000013000000}">
      <formula1>$CE$109:$CE$111</formula1>
    </dataValidation>
    <dataValidation type="list" allowBlank="1" showInputMessage="1" showErrorMessage="1" sqref="DM104:DR104" xr:uid="{00000000-0002-0000-0000-000014000000}">
      <formula1>$EM$102:$EM$103</formula1>
    </dataValidation>
    <dataValidation allowBlank="1" showInputMessage="1" showErrorMessage="1" promptTitle="シート数を入力" prompt="明細書が出ていない状態でシート枚数を表示" sqref="CE106" xr:uid="{00000000-0002-0000-0000-000015000000}"/>
    <dataValidation allowBlank="1" showInputMessage="1" showErrorMessage="1" promptTitle="明細書01の状態" prompt="明細書01が表示されているときは 0_x000a_明細書01が非表示のときは 1" sqref="CE107" xr:uid="{00000000-0002-0000-0000-000016000000}"/>
    <dataValidation imeMode="hiragana" allowBlank="1" showInputMessage="1" showErrorMessage="1" prompt="取引方法を入力_x000a_例：従来通り" sqref="I15:T15" xr:uid="{00000000-0002-0000-0000-00000B00000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0" name="Button 69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45" name="Button 328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48" name="Button 35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49" name="Button 357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87FE-A628-4046-A29C-664CDC73F5B1}">
  <sheetPr>
    <pageSetUpPr fitToPage="1"/>
  </sheetPr>
  <dimension ref="A1:FI642"/>
  <sheetViews>
    <sheetView showGridLines="0" showRowColHeaders="0" topLeftCell="A10" workbookViewId="0">
      <selection activeCell="W13" sqref="W1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166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11</v>
      </c>
      <c r="AN6" s="197"/>
      <c r="AO6" s="9" t="s">
        <v>2</v>
      </c>
      <c r="AP6" s="197">
        <v>19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C19" s="72"/>
      <c r="D19" s="72"/>
      <c r="E19" s="72"/>
      <c r="F19" s="72"/>
      <c r="G19" s="72"/>
      <c r="H19" s="72"/>
      <c r="I19" s="72"/>
      <c r="J19" s="79">
        <f>H39</f>
        <v>2032800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C20" s="72"/>
      <c r="D20" s="204" t="s">
        <v>87</v>
      </c>
      <c r="E20" s="204"/>
      <c r="F20" s="204"/>
      <c r="G20" s="204"/>
      <c r="H20" s="204"/>
      <c r="I20" s="204"/>
      <c r="J20" s="202">
        <f>H39</f>
        <v>2032800</v>
      </c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C21" s="72"/>
      <c r="D21" s="205"/>
      <c r="E21" s="205"/>
      <c r="F21" s="205"/>
      <c r="G21" s="205"/>
      <c r="H21" s="205"/>
      <c r="I21" s="205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120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270000</v>
      </c>
      <c r="AB26" s="154"/>
      <c r="AC26" s="154"/>
      <c r="AD26" s="154"/>
      <c r="AE26" s="157"/>
      <c r="AF26" s="153">
        <f t="shared" ref="AF26:AF27" si="0">IF(T26="",1*AA26,T26*AA26)</f>
        <v>270000</v>
      </c>
      <c r="AG26" s="154"/>
      <c r="AH26" s="154"/>
      <c r="AI26" s="154"/>
      <c r="AJ26" s="154"/>
      <c r="AK26" s="154"/>
      <c r="AL26" s="157"/>
      <c r="AM26" s="206" t="s">
        <v>118</v>
      </c>
      <c r="AN26" s="207"/>
      <c r="AO26" s="207"/>
      <c r="AP26" s="207"/>
      <c r="AQ26" s="207"/>
      <c r="AR26" s="207"/>
      <c r="AS26" s="208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121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150000</v>
      </c>
      <c r="AB27" s="154"/>
      <c r="AC27" s="154"/>
      <c r="AD27" s="154"/>
      <c r="AE27" s="157"/>
      <c r="AF27" s="153">
        <f t="shared" si="0"/>
        <v>150000</v>
      </c>
      <c r="AG27" s="154"/>
      <c r="AH27" s="154"/>
      <c r="AI27" s="154"/>
      <c r="AJ27" s="154"/>
      <c r="AK27" s="154"/>
      <c r="AL27" s="157"/>
      <c r="AM27" s="206" t="s">
        <v>119</v>
      </c>
      <c r="AN27" s="207"/>
      <c r="AO27" s="207"/>
      <c r="AP27" s="207"/>
      <c r="AQ27" s="207"/>
      <c r="AR27" s="207"/>
      <c r="AS27" s="208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122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150000</v>
      </c>
      <c r="AB28" s="154"/>
      <c r="AC28" s="154"/>
      <c r="AD28" s="154"/>
      <c r="AE28" s="157"/>
      <c r="AF28" s="153">
        <f>IF(T28="",1*AA28,T28*AA28)</f>
        <v>150000</v>
      </c>
      <c r="AG28" s="154"/>
      <c r="AH28" s="154"/>
      <c r="AI28" s="154"/>
      <c r="AJ28" s="154"/>
      <c r="AK28" s="154"/>
      <c r="AL28" s="157"/>
      <c r="AM28" s="206" t="s">
        <v>123</v>
      </c>
      <c r="AN28" s="207"/>
      <c r="AO28" s="207"/>
      <c r="AP28" s="207"/>
      <c r="AQ28" s="207"/>
      <c r="AR28" s="207"/>
      <c r="AS28" s="208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126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100000</v>
      </c>
      <c r="AB29" s="154"/>
      <c r="AC29" s="154"/>
      <c r="AD29" s="154"/>
      <c r="AE29" s="157"/>
      <c r="AF29" s="153">
        <f t="shared" ref="AF29:AF32" si="1">IF(T29="",1*AA29,T29*AA29)</f>
        <v>100000</v>
      </c>
      <c r="AG29" s="154"/>
      <c r="AH29" s="154"/>
      <c r="AI29" s="154"/>
      <c r="AJ29" s="154"/>
      <c r="AK29" s="154"/>
      <c r="AL29" s="157"/>
      <c r="AM29" s="206" t="s">
        <v>124</v>
      </c>
      <c r="AN29" s="207"/>
      <c r="AO29" s="207"/>
      <c r="AP29" s="207"/>
      <c r="AQ29" s="207"/>
      <c r="AR29" s="207"/>
      <c r="AS29" s="208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126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 t="s">
        <v>20</v>
      </c>
      <c r="Y30" s="155"/>
      <c r="Z30" s="156"/>
      <c r="AA30" s="153">
        <v>120000</v>
      </c>
      <c r="AB30" s="154"/>
      <c r="AC30" s="154"/>
      <c r="AD30" s="154"/>
      <c r="AE30" s="157"/>
      <c r="AF30" s="153">
        <f t="shared" si="1"/>
        <v>120000</v>
      </c>
      <c r="AG30" s="154"/>
      <c r="AH30" s="154"/>
      <c r="AI30" s="154"/>
      <c r="AJ30" s="154"/>
      <c r="AK30" s="154"/>
      <c r="AL30" s="157"/>
      <c r="AM30" s="206" t="s">
        <v>125</v>
      </c>
      <c r="AN30" s="207"/>
      <c r="AO30" s="207"/>
      <c r="AP30" s="207"/>
      <c r="AQ30" s="207"/>
      <c r="AR30" s="207"/>
      <c r="AS30" s="208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127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 t="s">
        <v>20</v>
      </c>
      <c r="Y31" s="155"/>
      <c r="Z31" s="156"/>
      <c r="AA31" s="153">
        <v>125000</v>
      </c>
      <c r="AB31" s="154"/>
      <c r="AC31" s="154"/>
      <c r="AD31" s="154"/>
      <c r="AE31" s="157"/>
      <c r="AF31" s="153">
        <f t="shared" si="1"/>
        <v>125000</v>
      </c>
      <c r="AG31" s="154"/>
      <c r="AH31" s="154"/>
      <c r="AI31" s="154"/>
      <c r="AJ31" s="154"/>
      <c r="AK31" s="154"/>
      <c r="AL31" s="157"/>
      <c r="AM31" s="206" t="s">
        <v>124</v>
      </c>
      <c r="AN31" s="207"/>
      <c r="AO31" s="207"/>
      <c r="AP31" s="207"/>
      <c r="AQ31" s="207"/>
      <c r="AR31" s="207"/>
      <c r="AS31" s="208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127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 t="s">
        <v>20</v>
      </c>
      <c r="Y32" s="155"/>
      <c r="Z32" s="156"/>
      <c r="AA32" s="153">
        <v>145000</v>
      </c>
      <c r="AB32" s="154"/>
      <c r="AC32" s="154"/>
      <c r="AD32" s="154"/>
      <c r="AE32" s="157"/>
      <c r="AF32" s="153">
        <f t="shared" si="1"/>
        <v>145000</v>
      </c>
      <c r="AG32" s="154"/>
      <c r="AH32" s="154"/>
      <c r="AI32" s="154"/>
      <c r="AJ32" s="154"/>
      <c r="AK32" s="154"/>
      <c r="AL32" s="157"/>
      <c r="AM32" s="206" t="s">
        <v>125</v>
      </c>
      <c r="AN32" s="207"/>
      <c r="AO32" s="207"/>
      <c r="AP32" s="207"/>
      <c r="AQ32" s="207"/>
      <c r="AR32" s="207"/>
      <c r="AS32" s="208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129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 t="s">
        <v>20</v>
      </c>
      <c r="Y33" s="155"/>
      <c r="Z33" s="156"/>
      <c r="AA33" s="153">
        <v>150000</v>
      </c>
      <c r="AB33" s="154"/>
      <c r="AC33" s="154"/>
      <c r="AD33" s="154"/>
      <c r="AE33" s="157"/>
      <c r="AF33" s="153">
        <f>IF(T33="",1*AA33,T33*AA33)</f>
        <v>150000</v>
      </c>
      <c r="AG33" s="154"/>
      <c r="AH33" s="154"/>
      <c r="AI33" s="154"/>
      <c r="AJ33" s="154"/>
      <c r="AK33" s="154"/>
      <c r="AL33" s="157"/>
      <c r="AM33" s="206" t="s">
        <v>128</v>
      </c>
      <c r="AN33" s="207"/>
      <c r="AO33" s="207"/>
      <c r="AP33" s="207"/>
      <c r="AQ33" s="207"/>
      <c r="AR33" s="207"/>
      <c r="AS33" s="208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 t="s">
        <v>131</v>
      </c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 t="s">
        <v>20</v>
      </c>
      <c r="Y34" s="155"/>
      <c r="Z34" s="156"/>
      <c r="AA34" s="153">
        <v>205000</v>
      </c>
      <c r="AB34" s="154"/>
      <c r="AC34" s="154"/>
      <c r="AD34" s="154"/>
      <c r="AE34" s="157"/>
      <c r="AF34" s="153">
        <f>IF(T34="",1*AA34,T34*AA34)</f>
        <v>205000</v>
      </c>
      <c r="AG34" s="154"/>
      <c r="AH34" s="154"/>
      <c r="AI34" s="154"/>
      <c r="AJ34" s="154"/>
      <c r="AK34" s="154"/>
      <c r="AL34" s="157"/>
      <c r="AM34" s="206" t="s">
        <v>106</v>
      </c>
      <c r="AN34" s="207"/>
      <c r="AO34" s="207"/>
      <c r="AP34" s="207"/>
      <c r="AQ34" s="207"/>
      <c r="AR34" s="207"/>
      <c r="AS34" s="208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133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 t="s">
        <v>20</v>
      </c>
      <c r="Y35" s="155"/>
      <c r="Z35" s="156"/>
      <c r="AA35" s="153">
        <v>50000</v>
      </c>
      <c r="AB35" s="154"/>
      <c r="AC35" s="154"/>
      <c r="AD35" s="154"/>
      <c r="AE35" s="157"/>
      <c r="AF35" s="153">
        <f>IF(T35="",1*AA35,T35*AA35)</f>
        <v>50000</v>
      </c>
      <c r="AG35" s="154"/>
      <c r="AH35" s="154"/>
      <c r="AI35" s="154"/>
      <c r="AJ35" s="154"/>
      <c r="AK35" s="154"/>
      <c r="AL35" s="157"/>
      <c r="AM35" s="206" t="s">
        <v>132</v>
      </c>
      <c r="AN35" s="207"/>
      <c r="AO35" s="207"/>
      <c r="AP35" s="207"/>
      <c r="AQ35" s="207"/>
      <c r="AR35" s="207"/>
      <c r="AS35" s="20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 t="s">
        <v>164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 t="s">
        <v>20</v>
      </c>
      <c r="Y36" s="155"/>
      <c r="Z36" s="156"/>
      <c r="AA36" s="153">
        <v>188000</v>
      </c>
      <c r="AB36" s="154"/>
      <c r="AC36" s="154"/>
      <c r="AD36" s="154"/>
      <c r="AE36" s="157"/>
      <c r="AF36" s="153">
        <f>IF(T36="",1*AA36,T36*AA36)</f>
        <v>188000</v>
      </c>
      <c r="AG36" s="154"/>
      <c r="AH36" s="154"/>
      <c r="AI36" s="154"/>
      <c r="AJ36" s="154"/>
      <c r="AK36" s="154"/>
      <c r="AL36" s="157"/>
      <c r="AM36" s="206" t="s">
        <v>162</v>
      </c>
      <c r="AN36" s="207"/>
      <c r="AO36" s="207"/>
      <c r="AP36" s="207"/>
      <c r="AQ36" s="207"/>
      <c r="AR36" s="207"/>
      <c r="AS36" s="20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 t="s">
        <v>165</v>
      </c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 t="s">
        <v>20</v>
      </c>
      <c r="Y37" s="147"/>
      <c r="Z37" s="148"/>
      <c r="AA37" s="145">
        <v>195000</v>
      </c>
      <c r="AB37" s="146"/>
      <c r="AC37" s="146"/>
      <c r="AD37" s="146"/>
      <c r="AE37" s="149"/>
      <c r="AF37" s="145">
        <f>IF(T37="",1*AA37,T37*AA37)</f>
        <v>195000</v>
      </c>
      <c r="AG37" s="146"/>
      <c r="AH37" s="146"/>
      <c r="AI37" s="146"/>
      <c r="AJ37" s="146"/>
      <c r="AK37" s="146"/>
      <c r="AL37" s="149"/>
      <c r="AM37" s="206" t="s">
        <v>163</v>
      </c>
      <c r="AN37" s="207"/>
      <c r="AO37" s="207"/>
      <c r="AP37" s="207"/>
      <c r="AQ37" s="207"/>
      <c r="AR37" s="207"/>
      <c r="AS37" s="20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220">
        <f>AA38*0.1</f>
        <v>184800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2"/>
      <c r="T38" s="84" t="s">
        <v>13</v>
      </c>
      <c r="U38" s="106"/>
      <c r="V38" s="106"/>
      <c r="W38" s="106"/>
      <c r="X38" s="106"/>
      <c r="Y38" s="106"/>
      <c r="Z38" s="85"/>
      <c r="AA38" s="223">
        <f>SUM(AF26:AL37)</f>
        <v>1848000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5"/>
      <c r="AM38" s="212"/>
      <c r="AN38" s="213"/>
      <c r="AO38" s="213"/>
      <c r="AP38" s="213"/>
      <c r="AQ38" s="213"/>
      <c r="AR38" s="213"/>
      <c r="AS38" s="21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217">
        <f>CK115+H38</f>
        <v>2032800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9"/>
      <c r="AM39" s="209"/>
      <c r="AN39" s="210"/>
      <c r="AO39" s="210"/>
      <c r="AP39" s="210"/>
      <c r="AQ39" s="210"/>
      <c r="AR39" s="210"/>
      <c r="AS39" s="21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1848000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1500w搬入講習費二泊三日　社用車</v>
      </c>
      <c r="FE101" s="61">
        <f>T26</f>
        <v>0</v>
      </c>
      <c r="FF101" s="61" t="str">
        <f>X26</f>
        <v>一式</v>
      </c>
      <c r="FG101" s="61">
        <f>AA26</f>
        <v>270000</v>
      </c>
      <c r="FH101" s="61">
        <f>AF26</f>
        <v>270000</v>
      </c>
      <c r="FI101" s="61" t="str">
        <f>AM26</f>
        <v>福島県内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FL-LCW 1500w搬入講習費一泊二日　社用車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150000</v>
      </c>
      <c r="FH102" s="61">
        <f t="shared" ref="FH102:FH112" si="6">AF27</f>
        <v>150000</v>
      </c>
      <c r="FI102" s="61" t="str">
        <f t="shared" ref="FI102:FI112" si="7">AM27</f>
        <v>長野県伊那市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FL-LCW 1500w搬入講習費一泊二日　公共</v>
      </c>
      <c r="FE103" s="61">
        <f t="shared" si="3"/>
        <v>0</v>
      </c>
      <c r="FF103" s="61" t="str">
        <f t="shared" si="4"/>
        <v>一式</v>
      </c>
      <c r="FG103" s="61">
        <f t="shared" si="5"/>
        <v>150000</v>
      </c>
      <c r="FH103" s="61">
        <f t="shared" si="6"/>
        <v>150000</v>
      </c>
      <c r="FI103" s="61" t="str">
        <f t="shared" si="7"/>
        <v>仙台市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1848000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FL-LCW1500wデモ機持参講習社用車使用日帰平日</v>
      </c>
      <c r="FE104" s="61">
        <f t="shared" si="3"/>
        <v>0</v>
      </c>
      <c r="FF104" s="61" t="str">
        <f t="shared" si="4"/>
        <v>一式</v>
      </c>
      <c r="FG104" s="61">
        <f t="shared" si="5"/>
        <v>100000</v>
      </c>
      <c r="FH104" s="61">
        <f t="shared" si="6"/>
        <v>100000</v>
      </c>
      <c r="FI104" s="61" t="str">
        <f t="shared" si="7"/>
        <v>名古屋支店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 t="str">
        <f t="shared" si="4"/>
        <v>一式</v>
      </c>
      <c r="FG105" s="61">
        <f t="shared" si="5"/>
        <v>120000</v>
      </c>
      <c r="FH105" s="61">
        <f t="shared" si="6"/>
        <v>120000</v>
      </c>
      <c r="FI105" s="61" t="str">
        <f t="shared" si="7"/>
        <v>高山市組合向け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 t="str">
        <f t="shared" si="4"/>
        <v>一式</v>
      </c>
      <c r="FG106" s="61">
        <f t="shared" si="5"/>
        <v>125000</v>
      </c>
      <c r="FH106" s="61">
        <f t="shared" si="6"/>
        <v>125000</v>
      </c>
      <c r="FI106" s="61" t="str">
        <f t="shared" si="7"/>
        <v>名古屋支店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 t="str">
        <f t="shared" si="4"/>
        <v>一式</v>
      </c>
      <c r="FG107" s="61">
        <f t="shared" si="5"/>
        <v>145000</v>
      </c>
      <c r="FH107" s="61">
        <f t="shared" si="6"/>
        <v>145000</v>
      </c>
      <c r="FI107" s="61" t="str">
        <f t="shared" si="7"/>
        <v>高山市組合向け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FL-LCW1500wデモ機持参講習社用車使用日帰土日</v>
      </c>
      <c r="FE108" s="61">
        <f t="shared" si="3"/>
        <v>0</v>
      </c>
      <c r="FF108" s="61" t="str">
        <f t="shared" si="4"/>
        <v>一式</v>
      </c>
      <c r="FG108" s="61">
        <f t="shared" si="5"/>
        <v>150000</v>
      </c>
      <c r="FH108" s="61">
        <f t="shared" si="6"/>
        <v>150000</v>
      </c>
      <c r="FI108" s="61" t="str">
        <f t="shared" si="7"/>
        <v>石川県金沢市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2"/>
        <v>FL-LCW1500w加工デモ一泊二日  金土　公共交通</v>
      </c>
      <c r="FE109" s="61">
        <f t="shared" si="3"/>
        <v>0</v>
      </c>
      <c r="FF109" s="61" t="str">
        <f t="shared" si="4"/>
        <v>一式</v>
      </c>
      <c r="FG109" s="61">
        <f t="shared" si="5"/>
        <v>205000</v>
      </c>
      <c r="FH109" s="61">
        <f t="shared" si="6"/>
        <v>205000</v>
      </c>
      <c r="FI109" s="61" t="str">
        <f t="shared" si="7"/>
        <v>東京都内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休日割増　土日祝込み　デモ　展示場使用最低2名</v>
      </c>
      <c r="FE110" s="61">
        <f t="shared" si="3"/>
        <v>0</v>
      </c>
      <c r="FF110" s="61" t="str">
        <f t="shared" si="4"/>
        <v>一式</v>
      </c>
      <c r="FG110" s="61">
        <f t="shared" si="5"/>
        <v>50000</v>
      </c>
      <c r="FH110" s="61">
        <f t="shared" si="6"/>
        <v>50000</v>
      </c>
      <c r="FI110" s="61" t="str">
        <f t="shared" si="7"/>
        <v>岐阜市展示場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 t="str">
        <f t="shared" si="2"/>
        <v>CLCセットアップ講習社用車納品　平日　1泊二日</v>
      </c>
      <c r="FE111" s="61">
        <f t="shared" si="3"/>
        <v>0</v>
      </c>
      <c r="FF111" s="61" t="str">
        <f t="shared" si="4"/>
        <v>一式</v>
      </c>
      <c r="FG111" s="61">
        <f t="shared" si="5"/>
        <v>188000</v>
      </c>
      <c r="FH111" s="61">
        <f t="shared" si="6"/>
        <v>188000</v>
      </c>
      <c r="FI111" s="61" t="str">
        <f t="shared" si="7"/>
        <v>和歌山県離島除く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 t="str">
        <f t="shared" si="2"/>
        <v>LCWセットアップ講習社用車納品　平日　1泊二日</v>
      </c>
      <c r="FE112" s="61">
        <f t="shared" si="3"/>
        <v>0</v>
      </c>
      <c r="FF112" s="61" t="str">
        <f t="shared" si="4"/>
        <v>一式</v>
      </c>
      <c r="FG112" s="61">
        <f t="shared" si="5"/>
        <v>195000</v>
      </c>
      <c r="FH112" s="61">
        <f t="shared" si="6"/>
        <v>195000</v>
      </c>
      <c r="FI112" s="61" t="str">
        <f t="shared" si="7"/>
        <v>神奈川県藤沢市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1848000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5A3CDAEA-CE7C-453B-9890-F661FBB0DA48}"/>
    <dataValidation allowBlank="1" showInputMessage="1" showErrorMessage="1" promptTitle="明細書01の状態" prompt="明細書01が表示されているときは 0_x000a_明細書01が非表示のときは 1" sqref="CE107" xr:uid="{2188DAFD-9791-4125-B433-D047A4FEEF69}"/>
    <dataValidation allowBlank="1" showInputMessage="1" showErrorMessage="1" promptTitle="シート数を入力" prompt="明細書が出ていない状態でシート枚数を表示" sqref="CE106" xr:uid="{C44318FB-3CAC-429B-BF31-E84353F23A70}"/>
    <dataValidation type="list" allowBlank="1" showInputMessage="1" showErrorMessage="1" sqref="DM104:DR104" xr:uid="{2E6EAAF9-3824-4221-B185-CD8FBF833D49}">
      <formula1>$EM$102:$EM$103</formula1>
    </dataValidation>
    <dataValidation type="list" allowBlank="1" showInputMessage="1" showErrorMessage="1" sqref="T7:V8" xr:uid="{52C1D09F-74F9-426D-8427-98A464FBE607}">
      <formula1>$CE$109:$CE$111</formula1>
    </dataValidation>
    <dataValidation type="list" imeMode="hiragana" allowBlank="1" showInputMessage="1" showErrorMessage="1" prompt="ボタンを押し単位を入力" sqref="X26:Z37" xr:uid="{B34388A4-9DAD-4889-B003-99043E78782E}">
      <formula1>$CS$104:$CS$116</formula1>
    </dataValidation>
    <dataValidation type="list" allowBlank="1" showInputMessage="1" showErrorMessage="1" sqref="AA2:AJ3" xr:uid="{503D619C-33EF-4BD2-A22A-EDBE12078CBE}">
      <formula1>$DD$104:$DD$108</formula1>
    </dataValidation>
    <dataValidation imeMode="hiragana" allowBlank="1" showInputMessage="1" showErrorMessage="1" prompt="備考があれば入力" sqref="AN35:AS37 AM26:AM37" xr:uid="{610437A3-DA85-48F6-BC2B-DBF1796ADB7E}"/>
    <dataValidation imeMode="off" allowBlank="1" showInputMessage="1" showErrorMessage="1" prompt="単価を入力" sqref="AA26:AE37" xr:uid="{6D7CC3BF-EA26-470E-B6FD-E69A6C7019B7}"/>
    <dataValidation imeMode="off" allowBlank="1" showInputMessage="1" showErrorMessage="1" prompt="数量を入力" sqref="T26:W37" xr:uid="{FC991202-A29D-4BBF-8B80-1B7BD9BD40F3}"/>
    <dataValidation imeMode="hiragana" allowBlank="1" showInputMessage="1" showErrorMessage="1" prompt="品名を入力" sqref="B26:S37" xr:uid="{B2B9BE3A-C4F6-4A89-B19D-994771E938BA}"/>
    <dataValidation imeMode="hiragana" allowBlank="1" showInputMessage="1" showErrorMessage="1" prompt="担当者を入力" sqref="AF17:AL17" xr:uid="{BE44077F-0F2C-4AD3-A262-CBE6CDB18F0E}"/>
    <dataValidation imeMode="hiragana" allowBlank="1" showInputMessage="1" showErrorMessage="1" prompt="受渡場所を入力_x000a_例：貴社指定場所" sqref="H13:T13" xr:uid="{661BDE51-B491-45C8-89CC-2AC06592FC4F}"/>
    <dataValidation imeMode="off" allowBlank="1" showInputMessage="1" showErrorMessage="1" prompt="年を入力" sqref="J17:L17" xr:uid="{AED181B8-0956-4F0D-A3D6-D632DE16A009}"/>
    <dataValidation imeMode="hiragana" allowBlank="1" showInputMessage="1" showErrorMessage="1" sqref="AB9:AS9 B41:AS42 E40:AS40" xr:uid="{4FB8594E-5C02-4B7B-9796-6B5048E014BF}"/>
    <dataValidation allowBlank="1" showInputMessage="1" showErrorMessage="1" prompt="見積書NOを入力" sqref="AN3:AR3" xr:uid="{8A49A343-039F-4DB0-AA1F-B5BAEAC20D97}"/>
    <dataValidation imeMode="hiragana" allowBlank="1" showInputMessage="1" showErrorMessage="1" prompt="お客様名を入力" sqref="D7:S8" xr:uid="{8C9B5CB1-3811-42DF-BF9C-5ED22F1BA012}"/>
    <dataValidation imeMode="hiragana" allowBlank="1" showInputMessage="1" showErrorMessage="1" prompt="お客様の住所でビル名番地など入力" sqref="D5:R5" xr:uid="{3179A75A-4439-4128-979E-99E3AE622204}"/>
    <dataValidation imeMode="hiragana" allowBlank="1" showInputMessage="1" showErrorMessage="1" prompt="お客様の住所を入力" sqref="D4" xr:uid="{7E9C588C-FEFC-4BAB-A8D4-F7C4DA5057BF}"/>
    <dataValidation imeMode="off" allowBlank="1" showInputMessage="1" showErrorMessage="1" prompt="お客様の郵便番号を入力" sqref="E3:H3" xr:uid="{DD325066-62B2-460A-B2CC-00F1A9B4591E}"/>
    <dataValidation imeMode="off" allowBlank="1" showInputMessage="1" showErrorMessage="1" prompt="日を入力" sqref="AP6:AQ6 Q17:R17" xr:uid="{184E836F-B064-45DD-893E-AB4F0564047A}"/>
    <dataValidation imeMode="off" allowBlank="1" showInputMessage="1" showErrorMessage="1" prompt="月を入力" sqref="AM6:AN6 N17:O17" xr:uid="{8712D571-AD3D-4F4B-871E-697C3BEBAFCD}"/>
    <dataValidation imeMode="off" allowBlank="1" showInputMessage="1" showErrorMessage="1" prompt="年を入力  西暦表示の場合、平成を消してください" sqref="AI6:AK6" xr:uid="{72B4FCC0-4F4A-4D0E-AE77-5FE5CCC3FDE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84BCF-683C-40DA-AD6D-7C781FB4035E}">
  <sheetPr>
    <pageSetUpPr fitToPage="1"/>
  </sheetPr>
  <dimension ref="A1:FI642"/>
  <sheetViews>
    <sheetView showGridLines="0" showRowColHeaders="0" topLeftCell="A17" workbookViewId="0">
      <selection activeCell="E40" sqref="E40:AS40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170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11</v>
      </c>
      <c r="AN6" s="197"/>
      <c r="AO6" s="9" t="s">
        <v>2</v>
      </c>
      <c r="AP6" s="197">
        <v>20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B19" s="72"/>
      <c r="C19" s="72"/>
      <c r="D19" s="72"/>
      <c r="E19" s="72"/>
      <c r="F19" s="72"/>
      <c r="G19" s="72"/>
      <c r="H19" s="72"/>
      <c r="I19" s="72"/>
      <c r="J19" s="79">
        <f>H39</f>
        <v>286000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B20" s="72"/>
      <c r="C20" s="72"/>
      <c r="D20" s="204" t="s">
        <v>87</v>
      </c>
      <c r="E20" s="204"/>
      <c r="F20" s="204"/>
      <c r="G20" s="204"/>
      <c r="H20" s="204"/>
      <c r="I20" s="204"/>
      <c r="J20" s="202">
        <f>H39</f>
        <v>286000</v>
      </c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B21" s="72"/>
      <c r="C21" s="72"/>
      <c r="D21" s="205"/>
      <c r="E21" s="205"/>
      <c r="F21" s="205"/>
      <c r="G21" s="205"/>
      <c r="H21" s="205"/>
      <c r="I21" s="205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169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180000</v>
      </c>
      <c r="AB26" s="154"/>
      <c r="AC26" s="154"/>
      <c r="AD26" s="154"/>
      <c r="AE26" s="157"/>
      <c r="AF26" s="153">
        <f t="shared" ref="AF26:AF27" si="0">IF(T26="",1*AA26,T26*AA26)</f>
        <v>180000</v>
      </c>
      <c r="AG26" s="154"/>
      <c r="AH26" s="154"/>
      <c r="AI26" s="154"/>
      <c r="AJ26" s="154"/>
      <c r="AK26" s="154"/>
      <c r="AL26" s="157"/>
      <c r="AM26" s="206" t="s">
        <v>167</v>
      </c>
      <c r="AN26" s="207"/>
      <c r="AO26" s="207"/>
      <c r="AP26" s="207"/>
      <c r="AQ26" s="207"/>
      <c r="AR26" s="207"/>
      <c r="AS26" s="208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171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80000</v>
      </c>
      <c r="AB27" s="154"/>
      <c r="AC27" s="154"/>
      <c r="AD27" s="154"/>
      <c r="AE27" s="157"/>
      <c r="AF27" s="153">
        <f t="shared" si="0"/>
        <v>80000</v>
      </c>
      <c r="AG27" s="154"/>
      <c r="AH27" s="154"/>
      <c r="AI27" s="154"/>
      <c r="AJ27" s="154"/>
      <c r="AK27" s="154"/>
      <c r="AL27" s="157"/>
      <c r="AM27" s="206" t="s">
        <v>168</v>
      </c>
      <c r="AN27" s="207"/>
      <c r="AO27" s="207"/>
      <c r="AP27" s="207"/>
      <c r="AQ27" s="207"/>
      <c r="AR27" s="207"/>
      <c r="AS27" s="208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206"/>
      <c r="AN28" s="207"/>
      <c r="AO28" s="207"/>
      <c r="AP28" s="207"/>
      <c r="AQ28" s="207"/>
      <c r="AR28" s="207"/>
      <c r="AS28" s="208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206"/>
      <c r="AN29" s="207"/>
      <c r="AO29" s="207"/>
      <c r="AP29" s="207"/>
      <c r="AQ29" s="207"/>
      <c r="AR29" s="207"/>
      <c r="AS29" s="208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206"/>
      <c r="AN30" s="207"/>
      <c r="AO30" s="207"/>
      <c r="AP30" s="207"/>
      <c r="AQ30" s="207"/>
      <c r="AR30" s="207"/>
      <c r="AS30" s="208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206"/>
      <c r="AN31" s="207"/>
      <c r="AO31" s="207"/>
      <c r="AP31" s="207"/>
      <c r="AQ31" s="207"/>
      <c r="AR31" s="207"/>
      <c r="AS31" s="208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206"/>
      <c r="AN32" s="207"/>
      <c r="AO32" s="207"/>
      <c r="AP32" s="207"/>
      <c r="AQ32" s="207"/>
      <c r="AR32" s="207"/>
      <c r="AS32" s="208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206"/>
      <c r="AN33" s="207"/>
      <c r="AO33" s="207"/>
      <c r="AP33" s="207"/>
      <c r="AQ33" s="207"/>
      <c r="AR33" s="207"/>
      <c r="AS33" s="208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206"/>
      <c r="AN34" s="207"/>
      <c r="AO34" s="207"/>
      <c r="AP34" s="207"/>
      <c r="AQ34" s="207"/>
      <c r="AR34" s="207"/>
      <c r="AS34" s="208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206"/>
      <c r="AN35" s="207"/>
      <c r="AO35" s="207"/>
      <c r="AP35" s="207"/>
      <c r="AQ35" s="207"/>
      <c r="AR35" s="207"/>
      <c r="AS35" s="208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206"/>
      <c r="AN36" s="207"/>
      <c r="AO36" s="207"/>
      <c r="AP36" s="207"/>
      <c r="AQ36" s="207"/>
      <c r="AR36" s="207"/>
      <c r="AS36" s="208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206"/>
      <c r="AN37" s="207"/>
      <c r="AO37" s="207"/>
      <c r="AP37" s="207"/>
      <c r="AQ37" s="207"/>
      <c r="AR37" s="207"/>
      <c r="AS37" s="208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220">
        <f>AA38*0.1</f>
        <v>26000</v>
      </c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2"/>
      <c r="T38" s="84" t="s">
        <v>13</v>
      </c>
      <c r="U38" s="106"/>
      <c r="V38" s="106"/>
      <c r="W38" s="106"/>
      <c r="X38" s="106"/>
      <c r="Y38" s="106"/>
      <c r="Z38" s="85"/>
      <c r="AA38" s="223">
        <f>SUM(AF26:AL37)</f>
        <v>260000</v>
      </c>
      <c r="AB38" s="224"/>
      <c r="AC38" s="224"/>
      <c r="AD38" s="224"/>
      <c r="AE38" s="224"/>
      <c r="AF38" s="224"/>
      <c r="AG38" s="224"/>
      <c r="AH38" s="224"/>
      <c r="AI38" s="224"/>
      <c r="AJ38" s="224"/>
      <c r="AK38" s="224"/>
      <c r="AL38" s="225"/>
      <c r="AM38" s="212"/>
      <c r="AN38" s="213"/>
      <c r="AO38" s="213"/>
      <c r="AP38" s="213"/>
      <c r="AQ38" s="213"/>
      <c r="AR38" s="213"/>
      <c r="AS38" s="214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217">
        <f>CK115+H38</f>
        <v>286000</v>
      </c>
      <c r="I39" s="218"/>
      <c r="J39" s="218"/>
      <c r="K39" s="218"/>
      <c r="L39" s="218"/>
      <c r="M39" s="218"/>
      <c r="N39" s="218"/>
      <c r="O39" s="218"/>
      <c r="P39" s="218"/>
      <c r="Q39" s="218"/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9"/>
      <c r="AM39" s="209"/>
      <c r="AN39" s="210"/>
      <c r="AO39" s="210"/>
      <c r="AP39" s="210"/>
      <c r="AQ39" s="210"/>
      <c r="AR39" s="210"/>
      <c r="AS39" s="21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260000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セットアップ・設置・操作講習　公共交通　広島駅1泊2日</v>
      </c>
      <c r="FE101" s="61">
        <f>T26</f>
        <v>0</v>
      </c>
      <c r="FF101" s="61" t="str">
        <f>X26</f>
        <v>一式</v>
      </c>
      <c r="FG101" s="61">
        <f>AA26</f>
        <v>180000</v>
      </c>
      <c r="FH101" s="61">
        <f>AF26</f>
        <v>180000</v>
      </c>
      <c r="FI101" s="61" t="str">
        <f>AM26</f>
        <v>広島県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セットアップ作業・設置作業・操作講習　乗用車移動日帰り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80000</v>
      </c>
      <c r="FH102" s="61">
        <f t="shared" ref="FH102:FH112" si="6">AF27</f>
        <v>80000</v>
      </c>
      <c r="FI102" s="61" t="str">
        <f t="shared" ref="FI102:FI112" si="7">AM27</f>
        <v>大阪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>
        <f t="shared" si="2"/>
        <v>0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260000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>
        <f>B29</f>
        <v>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260000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1B475AE8-3F68-49D4-8573-3E96710E7A88}"/>
    <dataValidation imeMode="off" allowBlank="1" showInputMessage="1" showErrorMessage="1" prompt="月を入力" sqref="AM6:AN6 N17:O17" xr:uid="{E2196534-F23B-48D0-B3CC-4F2585957FDE}"/>
    <dataValidation imeMode="off" allowBlank="1" showInputMessage="1" showErrorMessage="1" prompt="日を入力" sqref="AP6:AQ6 Q17:R17" xr:uid="{E7A9EFF2-1847-40B8-AD3B-25C2AFD3052E}"/>
    <dataValidation imeMode="off" allowBlank="1" showInputMessage="1" showErrorMessage="1" prompt="お客様の郵便番号を入力" sqref="E3:H3" xr:uid="{78FFDF69-6707-459D-B50E-0553C7771314}"/>
    <dataValidation imeMode="hiragana" allowBlank="1" showInputMessage="1" showErrorMessage="1" prompt="お客様の住所を入力" sqref="D4" xr:uid="{D75B4BD4-E9E3-4EC3-A83B-1AB891DDD7A5}"/>
    <dataValidation imeMode="hiragana" allowBlank="1" showInputMessage="1" showErrorMessage="1" prompt="お客様の住所でビル名番地など入力" sqref="D5:R5" xr:uid="{34BAF5D2-9D6D-469A-898A-DE31BCD553FE}"/>
    <dataValidation imeMode="hiragana" allowBlank="1" showInputMessage="1" showErrorMessage="1" prompt="お客様名を入力" sqref="D7:S8" xr:uid="{2C726758-EED8-47EA-AC02-2A7D089E2BA3}"/>
    <dataValidation allowBlank="1" showInputMessage="1" showErrorMessage="1" prompt="見積書NOを入力" sqref="AN3:AR3" xr:uid="{0566AD82-D861-4263-81EB-32E4E44E9FB1}"/>
    <dataValidation imeMode="hiragana" allowBlank="1" showInputMessage="1" showErrorMessage="1" sqref="AB9:AS9 B41:AS42 E40:AS40" xr:uid="{17C4C237-148E-4E63-98CA-5AA565492802}"/>
    <dataValidation imeMode="off" allowBlank="1" showInputMessage="1" showErrorMessage="1" prompt="年を入力" sqref="J17:L17" xr:uid="{0D50A03A-9B82-4FF5-996A-1FBB565FD814}"/>
    <dataValidation imeMode="hiragana" allowBlank="1" showInputMessage="1" showErrorMessage="1" prompt="受渡場所を入力_x000a_例：貴社指定場所" sqref="H13:T13" xr:uid="{E321C14B-9FDB-4A9A-9399-589E4946D59F}"/>
    <dataValidation imeMode="hiragana" allowBlank="1" showInputMessage="1" showErrorMessage="1" prompt="担当者を入力" sqref="AF17:AL17" xr:uid="{0105B9AE-4021-49F4-A14F-5111CDF5C0F8}"/>
    <dataValidation imeMode="hiragana" allowBlank="1" showInputMessage="1" showErrorMessage="1" prompt="品名を入力" sqref="B26:S37" xr:uid="{BC24C57F-2D45-4572-AFB4-4AF8AE04CB92}"/>
    <dataValidation imeMode="off" allowBlank="1" showInputMessage="1" showErrorMessage="1" prompt="数量を入力" sqref="T26:W37" xr:uid="{4B741419-662D-477C-8D81-0F8CE521F50B}"/>
    <dataValidation imeMode="off" allowBlank="1" showInputMessage="1" showErrorMessage="1" prompt="単価を入力" sqref="AA26:AE37" xr:uid="{3B0EACCF-DD9B-4252-A814-9E54817F509D}"/>
    <dataValidation imeMode="hiragana" allowBlank="1" showInputMessage="1" showErrorMessage="1" prompt="備考があれば入力" sqref="AN35:AS37 AM26:AM37" xr:uid="{69ECB3D2-1376-4FC8-A0A8-F1D024038F2E}"/>
    <dataValidation type="list" allowBlank="1" showInputMessage="1" showErrorMessage="1" sqref="AA2:AJ3" xr:uid="{284AA9E2-897C-449F-B50D-0E06A8F0B009}">
      <formula1>$DD$104:$DD$108</formula1>
    </dataValidation>
    <dataValidation type="list" imeMode="hiragana" allowBlank="1" showInputMessage="1" showErrorMessage="1" prompt="ボタンを押し単位を入力" sqref="X26:Z37" xr:uid="{A78CAEB9-881F-4F9E-A0A6-CD29308249ED}">
      <formula1>$CS$104:$CS$116</formula1>
    </dataValidation>
    <dataValidation type="list" allowBlank="1" showInputMessage="1" showErrorMessage="1" sqref="T7:V8" xr:uid="{344C11C5-9037-411F-B1FA-229BE4DE2952}">
      <formula1>$CE$109:$CE$111</formula1>
    </dataValidation>
    <dataValidation type="list" allowBlank="1" showInputMessage="1" showErrorMessage="1" sqref="DM104:DR104" xr:uid="{68EF6156-C148-4C37-894D-06F5F87AAF07}">
      <formula1>$EM$102:$EM$103</formula1>
    </dataValidation>
    <dataValidation allowBlank="1" showInputMessage="1" showErrorMessage="1" promptTitle="シート数を入力" prompt="明細書が出ていない状態でシート枚数を表示" sqref="CE106" xr:uid="{F8E01F4D-7FC6-4E5E-9B98-755A6F432912}"/>
    <dataValidation allowBlank="1" showInputMessage="1" showErrorMessage="1" promptTitle="明細書01の状態" prompt="明細書01が表示されているときは 0_x000a_明細書01が非表示のときは 1" sqref="CE107" xr:uid="{F5DDCF38-3273-429A-96EB-C535CD2D5378}"/>
    <dataValidation imeMode="hiragana" allowBlank="1" showInputMessage="1" showErrorMessage="1" prompt="取引方法を入力_x000a_例：従来通り" sqref="I15:T15" xr:uid="{17E436DC-F8EC-4E96-8A07-0BB89506C345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5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7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8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9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1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2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3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4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5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6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7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8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9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0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1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2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3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4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5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6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7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8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9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0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1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2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3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54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41F0-ABA0-4FA8-AFE7-01FE5CE99B5A}">
  <sheetPr>
    <pageSetUpPr fitToPage="1"/>
  </sheetPr>
  <dimension ref="A1:FI642"/>
  <sheetViews>
    <sheetView showGridLines="0" showRowColHeaders="0" topLeftCell="A24" workbookViewId="0">
      <selection activeCell="B23" sqref="B2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140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7</v>
      </c>
      <c r="AN6" s="197"/>
      <c r="AO6" s="9" t="s">
        <v>2</v>
      </c>
      <c r="AP6" s="197">
        <v>7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137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110000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110000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139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/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135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200000</v>
      </c>
      <c r="AB27" s="154"/>
      <c r="AC27" s="154"/>
      <c r="AD27" s="154"/>
      <c r="AE27" s="157"/>
      <c r="AF27" s="153">
        <f t="shared" si="0"/>
        <v>200000</v>
      </c>
      <c r="AG27" s="154"/>
      <c r="AH27" s="154"/>
      <c r="AI27" s="154"/>
      <c r="AJ27" s="154"/>
      <c r="AK27" s="154"/>
      <c r="AL27" s="157"/>
      <c r="AM27" s="150" t="s">
        <v>134</v>
      </c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141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-50000</v>
      </c>
      <c r="AB28" s="154"/>
      <c r="AC28" s="154"/>
      <c r="AD28" s="154"/>
      <c r="AE28" s="157"/>
      <c r="AF28" s="153">
        <f>IF(T28="",1*AA28,T28*AA28)</f>
        <v>-50000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142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-50000</v>
      </c>
      <c r="AB29" s="154"/>
      <c r="AC29" s="154"/>
      <c r="AD29" s="154"/>
      <c r="AE29" s="157"/>
      <c r="AF29" s="153">
        <f t="shared" ref="AF29:AF32" si="1">IF(T29="",1*AA29,T29*AA29)</f>
        <v>-50000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 t="s">
        <v>20</v>
      </c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 t="s">
        <v>20</v>
      </c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10000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100000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110000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138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 t="s">
        <v>136</v>
      </c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講習費一泊二日公共交通　　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FL-LCW 講習費一泊二日　公共交通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200000</v>
      </c>
      <c r="FH102" s="61">
        <f t="shared" ref="FH102:FH112" si="6">AF27</f>
        <v>200000</v>
      </c>
      <c r="FI102" s="61" t="str">
        <f t="shared" ref="FI102:FI112" si="7">AM27</f>
        <v>八木自動車様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交通費前日値引き調整</v>
      </c>
      <c r="FE103" s="61">
        <f t="shared" si="3"/>
        <v>0</v>
      </c>
      <c r="FF103" s="61" t="str">
        <f t="shared" si="4"/>
        <v>一式</v>
      </c>
      <c r="FG103" s="61">
        <f t="shared" si="5"/>
        <v>-50000</v>
      </c>
      <c r="FH103" s="61">
        <f t="shared" si="6"/>
        <v>-50000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100000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前日講習値引き調整</v>
      </c>
      <c r="FE104" s="61">
        <f t="shared" si="3"/>
        <v>0</v>
      </c>
      <c r="FF104" s="61" t="str">
        <f t="shared" si="4"/>
        <v>一式</v>
      </c>
      <c r="FG104" s="61">
        <f t="shared" si="5"/>
        <v>-50000</v>
      </c>
      <c r="FH104" s="61">
        <f t="shared" si="6"/>
        <v>-50000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 t="str">
        <f t="shared" si="4"/>
        <v>一式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 t="str">
        <f t="shared" si="4"/>
        <v>一式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100000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C6696714-B779-4698-833F-70EE6EF97D60}"/>
    <dataValidation imeMode="off" allowBlank="1" showInputMessage="1" showErrorMessage="1" prompt="月を入力" sqref="AM6:AN6 N17:O17" xr:uid="{2C834E3A-0079-4C42-947E-3DFB7BFEA121}"/>
    <dataValidation imeMode="off" allowBlank="1" showInputMessage="1" showErrorMessage="1" prompt="日を入力" sqref="AP6:AQ6 Q17:R17" xr:uid="{2905FF82-DACF-48B1-B1E4-239557AAD164}"/>
    <dataValidation imeMode="off" allowBlank="1" showInputMessage="1" showErrorMessage="1" prompt="お客様の郵便番号を入力" sqref="E3:H3" xr:uid="{BCEA72AF-A551-44C3-A037-B6BFF607A501}"/>
    <dataValidation imeMode="hiragana" allowBlank="1" showInputMessage="1" showErrorMessage="1" prompt="お客様の住所を入力" sqref="D4" xr:uid="{800136F3-B317-4AAD-B11C-C4A6EE800537}"/>
    <dataValidation imeMode="hiragana" allowBlank="1" showInputMessage="1" showErrorMessage="1" prompt="お客様の住所でビル名番地など入力" sqref="D5:R5" xr:uid="{5BDDD296-9AF2-44F8-B780-C3DBF9F4BD13}"/>
    <dataValidation imeMode="hiragana" allowBlank="1" showInputMessage="1" showErrorMessage="1" prompt="お客様名を入力" sqref="D7:S8" xr:uid="{8D7F4098-F551-47A1-9713-117F59D8E26B}"/>
    <dataValidation allowBlank="1" showInputMessage="1" showErrorMessage="1" prompt="見積書NOを入力" sqref="AN3:AR3" xr:uid="{A0A4E01F-BB7C-4BA2-8BE2-18479C4ED4AA}"/>
    <dataValidation imeMode="hiragana" allowBlank="1" showInputMessage="1" showErrorMessage="1" sqref="AB9:AS9 B41:AS42 E40:AS40" xr:uid="{E2D53716-C0FE-4F62-8026-255B6719BA7F}"/>
    <dataValidation imeMode="off" allowBlank="1" showInputMessage="1" showErrorMessage="1" prompt="年を入力" sqref="J17:L17" xr:uid="{AC3F3FA6-DC93-4075-900C-91F9F784CEF6}"/>
    <dataValidation imeMode="hiragana" allowBlank="1" showInputMessage="1" showErrorMessage="1" prompt="受渡場所を入力_x000a_例：貴社指定場所" sqref="H13:T13" xr:uid="{C683869C-25FE-405C-8663-BB77B9B95DCC}"/>
    <dataValidation imeMode="hiragana" allowBlank="1" showInputMessage="1" showErrorMessage="1" prompt="担当者を入力" sqref="AF17:AL17" xr:uid="{1CC2F9CB-BFF0-4097-9D35-C37ECA51A0DB}"/>
    <dataValidation imeMode="hiragana" allowBlank="1" showInputMessage="1" showErrorMessage="1" prompt="品名を入力" sqref="B26:S37" xr:uid="{EAA63F60-DD65-4A95-B540-9C40D58C381C}"/>
    <dataValidation imeMode="off" allowBlank="1" showInputMessage="1" showErrorMessage="1" prompt="数量を入力" sqref="T26:W37" xr:uid="{D76BAD48-5A8E-451E-95E1-DF0EB1577167}"/>
    <dataValidation imeMode="off" allowBlank="1" showInputMessage="1" showErrorMessage="1" prompt="単価を入力" sqref="AA26:AE37" xr:uid="{6DA2082D-F664-43E8-A9C9-6603A281BDDC}"/>
    <dataValidation imeMode="hiragana" allowBlank="1" showInputMessage="1" showErrorMessage="1" prompt="備考があれば入力" sqref="AN35:AS37 AM26:AM37" xr:uid="{34628188-B33B-47E1-86D0-0FBDC65083C7}"/>
    <dataValidation type="list" allowBlank="1" showInputMessage="1" showErrorMessage="1" sqref="AA2:AJ3" xr:uid="{736D72C6-61A2-4FC8-997A-8C8497FCD4C2}">
      <formula1>$DD$104:$DD$108</formula1>
    </dataValidation>
    <dataValidation type="list" imeMode="hiragana" allowBlank="1" showInputMessage="1" showErrorMessage="1" prompt="ボタンを押し単位を入力" sqref="X26:Z37" xr:uid="{4A77F34F-5493-4087-BE4B-4D2B9C73624E}">
      <formula1>$CS$104:$CS$116</formula1>
    </dataValidation>
    <dataValidation type="list" allowBlank="1" showInputMessage="1" showErrorMessage="1" sqref="T7:V8" xr:uid="{458EEEDF-D65B-4397-8ECB-0F8F74278983}">
      <formula1>$CE$109:$CE$111</formula1>
    </dataValidation>
    <dataValidation type="list" allowBlank="1" showInputMessage="1" showErrorMessage="1" sqref="DM104:DR104" xr:uid="{6F2AE415-096E-4FB6-A205-085A84EAD2CF}">
      <formula1>$EM$102:$EM$103</formula1>
    </dataValidation>
    <dataValidation allowBlank="1" showInputMessage="1" showErrorMessage="1" promptTitle="シート数を入力" prompt="明細書が出ていない状態でシート枚数を表示" sqref="CE106" xr:uid="{E7E825DE-604B-4ACB-8EE6-956EF6C3604D}"/>
    <dataValidation allowBlank="1" showInputMessage="1" showErrorMessage="1" promptTitle="明細書01の状態" prompt="明細書01が表示されているときは 0_x000a_明細書01が非表示のときは 1" sqref="CE107" xr:uid="{E5E96CAD-0FC3-4619-8184-5DA3A17914E2}"/>
    <dataValidation imeMode="hiragana" allowBlank="1" showInputMessage="1" showErrorMessage="1" prompt="取引方法を入力_x000a_例：従来通り" sqref="I15:T15" xr:uid="{BCD7D8F0-01DC-4227-8154-0055A509A22C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1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2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3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5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6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7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8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9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0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1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2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3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4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5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6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7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8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9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0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1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2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3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4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5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6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7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8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9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0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1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2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147F-6499-43A5-8DFF-DA7C683931E5}">
  <sheetPr>
    <pageSetUpPr fitToPage="1"/>
  </sheetPr>
  <dimension ref="A1:FI642"/>
  <sheetViews>
    <sheetView showGridLines="0" showRowColHeaders="0" tabSelected="1" topLeftCell="A10" workbookViewId="0">
      <selection activeCell="B29" sqref="B29:S29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140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7</v>
      </c>
      <c r="AN6" s="197"/>
      <c r="AO6" s="9" t="s">
        <v>2</v>
      </c>
      <c r="AP6" s="197">
        <v>7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137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204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/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135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 t="s">
        <v>20</v>
      </c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 t="s">
        <v>20</v>
      </c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FL-LCW-PRO　出張デモ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FL-LCW 講習費一泊二日　公共交通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>
        <f t="shared" si="2"/>
        <v>0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>
        <f>B29</f>
        <v>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 t="str">
        <f t="shared" si="4"/>
        <v>一式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 t="str">
        <f t="shared" si="4"/>
        <v>一式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64AF0B8B-132D-4901-9EA6-F612DF771177}"/>
    <dataValidation allowBlank="1" showInputMessage="1" showErrorMessage="1" promptTitle="明細書01の状態" prompt="明細書01が表示されているときは 0_x000a_明細書01が非表示のときは 1" sqref="CE107" xr:uid="{824A2FEF-654C-4B7F-B176-05E7BD2848BD}"/>
    <dataValidation allowBlank="1" showInputMessage="1" showErrorMessage="1" promptTitle="シート数を入力" prompt="明細書が出ていない状態でシート枚数を表示" sqref="CE106" xr:uid="{5CA92C66-127D-4B7F-8A90-294A99881F17}"/>
    <dataValidation type="list" allowBlank="1" showInputMessage="1" showErrorMessage="1" sqref="DM104:DR104" xr:uid="{4583D89A-AFD2-47A0-9A17-3E9BDBA32351}">
      <formula1>$EM$102:$EM$103</formula1>
    </dataValidation>
    <dataValidation type="list" allowBlank="1" showInputMessage="1" showErrorMessage="1" sqref="T7:V8" xr:uid="{37511922-A985-4148-A213-8EC27072C2F5}">
      <formula1>$CE$109:$CE$111</formula1>
    </dataValidation>
    <dataValidation type="list" imeMode="hiragana" allowBlank="1" showInputMessage="1" showErrorMessage="1" prompt="ボタンを押し単位を入力" sqref="X26:Z37" xr:uid="{C53CFC2C-6F5D-4609-A0C6-BF44FEFF9AFC}">
      <formula1>$CS$104:$CS$116</formula1>
    </dataValidation>
    <dataValidation type="list" allowBlank="1" showInputMessage="1" showErrorMessage="1" sqref="AA2:AJ3" xr:uid="{D21321D7-79EF-4F84-97ED-03C3D0F04742}">
      <formula1>$DD$104:$DD$108</formula1>
    </dataValidation>
    <dataValidation imeMode="hiragana" allowBlank="1" showInputMessage="1" showErrorMessage="1" prompt="備考があれば入力" sqref="AN35:AS37 AM26:AM37" xr:uid="{D7D00D7F-33ED-475C-8B02-A6C297AFB075}"/>
    <dataValidation imeMode="off" allowBlank="1" showInputMessage="1" showErrorMessage="1" prompt="単価を入力" sqref="AA26:AE37" xr:uid="{8881A7D5-3638-4A9D-A12C-96D0CAF27352}"/>
    <dataValidation imeMode="off" allowBlank="1" showInputMessage="1" showErrorMessage="1" prompt="数量を入力" sqref="T26:W37" xr:uid="{9F29B47E-3921-420A-A628-1FD95993C0A4}"/>
    <dataValidation imeMode="hiragana" allowBlank="1" showInputMessage="1" showErrorMessage="1" prompt="品名を入力" sqref="B26:S37" xr:uid="{8A7EF09B-5A04-481C-B95C-31625EA09877}"/>
    <dataValidation imeMode="hiragana" allowBlank="1" showInputMessage="1" showErrorMessage="1" prompt="担当者を入力" sqref="AF17:AL17" xr:uid="{5EC2659E-EF27-48CD-BD36-74239C9B9D89}"/>
    <dataValidation imeMode="hiragana" allowBlank="1" showInputMessage="1" showErrorMessage="1" prompt="受渡場所を入力_x000a_例：貴社指定場所" sqref="H13:T13" xr:uid="{4148F3CE-D58F-486C-929D-7E0AE40E464A}"/>
    <dataValidation imeMode="off" allowBlank="1" showInputMessage="1" showErrorMessage="1" prompt="年を入力" sqref="J17:L17" xr:uid="{DC764E25-3FC0-48DF-8F71-59049EFDF8BE}"/>
    <dataValidation imeMode="hiragana" allowBlank="1" showInputMessage="1" showErrorMessage="1" sqref="AB9:AS9 B41:AS42 E40:AS40" xr:uid="{72F3A50D-9E35-44E4-B67C-17AA966C271D}"/>
    <dataValidation allowBlank="1" showInputMessage="1" showErrorMessage="1" prompt="見積書NOを入力" sqref="AN3:AR3" xr:uid="{D10CCBB3-A2FC-4721-9389-3EC73D0DFE0E}"/>
    <dataValidation imeMode="hiragana" allowBlank="1" showInputMessage="1" showErrorMessage="1" prompt="お客様名を入力" sqref="D7:S8" xr:uid="{3A45CEF1-2C53-4468-A9BD-870C39174031}"/>
    <dataValidation imeMode="hiragana" allowBlank="1" showInputMessage="1" showErrorMessage="1" prompt="お客様の住所でビル名番地など入力" sqref="D5:R5" xr:uid="{F04B9B8F-EC04-4350-BC0F-55357325C3AC}"/>
    <dataValidation imeMode="hiragana" allowBlank="1" showInputMessage="1" showErrorMessage="1" prompt="お客様の住所を入力" sqref="D4" xr:uid="{07885BE1-FAE5-4FBC-86DC-AC0AADC9F581}"/>
    <dataValidation imeMode="off" allowBlank="1" showInputMessage="1" showErrorMessage="1" prompt="お客様の郵便番号を入力" sqref="E3:H3" xr:uid="{69849186-2928-435A-93AD-9561A014DAE2}"/>
    <dataValidation imeMode="off" allowBlank="1" showInputMessage="1" showErrorMessage="1" prompt="日を入力" sqref="AP6:AQ6 Q17:R17" xr:uid="{B4CA977D-0294-464F-8301-322F974713B7}"/>
    <dataValidation imeMode="off" allowBlank="1" showInputMessage="1" showErrorMessage="1" prompt="月を入力" sqref="AM6:AN6 N17:O17" xr:uid="{3E1A430C-CD1D-42D5-99F0-BA0D6CB7AC55}"/>
    <dataValidation imeMode="off" allowBlank="1" showInputMessage="1" showErrorMessage="1" prompt="年を入力  西暦表示の場合、平成を消してください" sqref="AI6:AK6" xr:uid="{7331D61B-9659-4531-BE28-207948414AF4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758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8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5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6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7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8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599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0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1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2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3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4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5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6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7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8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09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0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1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2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3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4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5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6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7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8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19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0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1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2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3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4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5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6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7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8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29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7630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9877-70A9-46E7-B4D5-13BEAA5F6E24}">
  <sheetPr>
    <pageSetUpPr fitToPage="1"/>
  </sheetPr>
  <dimension ref="A1:FI642"/>
  <sheetViews>
    <sheetView showGridLines="0" showRowColHeaders="0" workbookViewId="0">
      <selection activeCell="B33" sqref="B33:S33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149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9</v>
      </c>
      <c r="AN6" s="197"/>
      <c r="AO6" s="9" t="s">
        <v>2</v>
      </c>
      <c r="AP6" s="197">
        <v>26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137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187000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187000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144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170000</v>
      </c>
      <c r="AB26" s="154"/>
      <c r="AC26" s="154"/>
      <c r="AD26" s="154"/>
      <c r="AE26" s="157"/>
      <c r="AF26" s="153">
        <f t="shared" ref="AF26:AF27" si="0">IF(T26="",1*AA26,T26*AA26)</f>
        <v>170000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151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/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147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148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145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146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215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16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17000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170000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187000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143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170000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講習費一泊二日　ハイエース使用　</v>
      </c>
      <c r="FE101" s="61">
        <f>T26</f>
        <v>0</v>
      </c>
      <c r="FF101" s="61" t="str">
        <f>X26</f>
        <v>一式</v>
      </c>
      <c r="FG101" s="61">
        <f>AA26</f>
        <v>170000</v>
      </c>
      <c r="FH101" s="61">
        <f>AF26</f>
        <v>170000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デモ機持込　RSD-SUNMAX-FL-LCW 1500w</v>
      </c>
      <c r="FE102" s="61">
        <f t="shared" ref="FE102:FE112" si="3">T27</f>
        <v>0</v>
      </c>
      <c r="FF102" s="61">
        <f t="shared" ref="FF102:FF112" si="4">X27</f>
        <v>0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セットアップ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170000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デモ時間17：00～19：00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　出張旅費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170000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22FDCEA9-FCCD-464E-A45A-4507039EC04F}"/>
    <dataValidation allowBlank="1" showInputMessage="1" showErrorMessage="1" promptTitle="明細書01の状態" prompt="明細書01が表示されているときは 0_x000a_明細書01が非表示のときは 1" sqref="CE107" xr:uid="{4604E0D3-DB31-4051-B8CC-712CB06449C4}"/>
    <dataValidation allowBlank="1" showInputMessage="1" showErrorMessage="1" promptTitle="シート数を入力" prompt="明細書が出ていない状態でシート枚数を表示" sqref="CE106" xr:uid="{995C0F4D-519E-4181-8C33-4D9A75A58E00}"/>
    <dataValidation type="list" allowBlank="1" showInputMessage="1" showErrorMessage="1" sqref="DM104:DR104" xr:uid="{43463D69-1F78-40FF-8BB8-F72B94EBD738}">
      <formula1>$EM$102:$EM$103</formula1>
    </dataValidation>
    <dataValidation type="list" allowBlank="1" showInputMessage="1" showErrorMessage="1" sqref="T7:V8" xr:uid="{7ABC56F6-5B9E-4ADE-8946-88B0E071147F}">
      <formula1>$CE$109:$CE$111</formula1>
    </dataValidation>
    <dataValidation type="list" imeMode="hiragana" allowBlank="1" showInputMessage="1" showErrorMessage="1" prompt="ボタンを押し単位を入力" sqref="X26:Z37" xr:uid="{667173B0-D278-4D25-98C7-934C5BE792C0}">
      <formula1>$CS$104:$CS$116</formula1>
    </dataValidation>
    <dataValidation type="list" allowBlank="1" showInputMessage="1" showErrorMessage="1" sqref="AA2:AJ3" xr:uid="{279F1972-426F-4D08-8BBA-EE454104F05E}">
      <formula1>$DD$104:$DD$108</formula1>
    </dataValidation>
    <dataValidation imeMode="hiragana" allowBlank="1" showInputMessage="1" showErrorMessage="1" prompt="備考があれば入力" sqref="AN35:AS37 AM26:AM37" xr:uid="{0AAD00E8-9C59-4D1E-933F-9D0E3C76CDDF}"/>
    <dataValidation imeMode="off" allowBlank="1" showInputMessage="1" showErrorMessage="1" prompt="単価を入力" sqref="AA26:AE37" xr:uid="{8D715748-27B4-4532-912D-BB347248AA94}"/>
    <dataValidation imeMode="off" allowBlank="1" showInputMessage="1" showErrorMessage="1" prompt="数量を入力" sqref="T26:W37" xr:uid="{1EB62263-86CE-4C8B-BA8D-E4ACDC193342}"/>
    <dataValidation imeMode="hiragana" allowBlank="1" showInputMessage="1" showErrorMessage="1" prompt="品名を入力" sqref="B26:S37" xr:uid="{E7A3090C-134C-4E27-B32F-656E394AA787}"/>
    <dataValidation imeMode="hiragana" allowBlank="1" showInputMessage="1" showErrorMessage="1" prompt="担当者を入力" sqref="AF17:AL17" xr:uid="{28FB2BAE-D4F8-402C-A4B8-EB6C5540F2BB}"/>
    <dataValidation imeMode="hiragana" allowBlank="1" showInputMessage="1" showErrorMessage="1" prompt="受渡場所を入力_x000a_例：貴社指定場所" sqref="H13:T13" xr:uid="{A54BDE93-4291-43AC-B1C7-6BF289961534}"/>
    <dataValidation imeMode="off" allowBlank="1" showInputMessage="1" showErrorMessage="1" prompt="年を入力" sqref="J17:L17" xr:uid="{B18F960F-3E0B-4724-96C9-03E88858202B}"/>
    <dataValidation imeMode="hiragana" allowBlank="1" showInputMessage="1" showErrorMessage="1" sqref="AB9:AS9 B41:AS42 E40:AS40" xr:uid="{3174BE31-D656-44F8-BA2F-B480B73E93F0}"/>
    <dataValidation allowBlank="1" showInputMessage="1" showErrorMessage="1" prompt="見積書NOを入力" sqref="AN3:AR3" xr:uid="{F4785939-FCF3-4A86-A29D-00178D6E61D4}"/>
    <dataValidation imeMode="hiragana" allowBlank="1" showInputMessage="1" showErrorMessage="1" prompt="お客様名を入力" sqref="D7:S8" xr:uid="{6B2159C1-A155-4412-AC97-F0B6A4ABD484}"/>
    <dataValidation imeMode="hiragana" allowBlank="1" showInputMessage="1" showErrorMessage="1" prompt="お客様の住所でビル名番地など入力" sqref="D5:R5" xr:uid="{CEFB7590-91E3-451A-B67B-C3BD888ADECB}"/>
    <dataValidation imeMode="hiragana" allowBlank="1" showInputMessage="1" showErrorMessage="1" prompt="お客様の住所を入力" sqref="D4" xr:uid="{E1B65612-ACA5-4549-9D05-BE563F55E90C}"/>
    <dataValidation imeMode="off" allowBlank="1" showInputMessage="1" showErrorMessage="1" prompt="お客様の郵便番号を入力" sqref="E3:H3" xr:uid="{FB5B631F-BE34-40A2-8EE9-945A3A459F26}"/>
    <dataValidation imeMode="off" allowBlank="1" showInputMessage="1" showErrorMessage="1" prompt="日を入力" sqref="AP6:AQ6 Q17:R17" xr:uid="{F0B1CB26-618B-4FC7-B3D5-B1E17D9D3B73}"/>
    <dataValidation imeMode="off" allowBlank="1" showInputMessage="1" showErrorMessage="1" prompt="月を入力" sqref="AM6:AN6 N17:O17" xr:uid="{823F1163-8E85-4758-A738-4A0893EFF29D}"/>
    <dataValidation imeMode="off" allowBlank="1" showInputMessage="1" showErrorMessage="1" prompt="年を入力  西暦表示の場合、平成を消してください" sqref="AI6:AK6" xr:uid="{10CED462-B835-4BF2-97E0-6FD2EDF6381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7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8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9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2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5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406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0AF9-33AA-465F-93B0-736881A2B965}">
  <sheetPr>
    <pageSetUpPr fitToPage="1"/>
  </sheetPr>
  <dimension ref="A1:FI642"/>
  <sheetViews>
    <sheetView showGridLines="0" showRowColHeaders="0" topLeftCell="A4" workbookViewId="0">
      <selection activeCell="Y9" sqref="Y9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159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11</v>
      </c>
      <c r="AN6" s="197"/>
      <c r="AO6" s="9" t="s">
        <v>2</v>
      </c>
      <c r="AP6" s="197">
        <v>5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161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220000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220000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160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200000</v>
      </c>
      <c r="AB26" s="154"/>
      <c r="AC26" s="154"/>
      <c r="AD26" s="154"/>
      <c r="AE26" s="157"/>
      <c r="AF26" s="153">
        <f t="shared" ref="AF26:AF27" si="0">IF(T26="",1*AA26,T26*AA26)</f>
        <v>200000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151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/>
      <c r="Y27" s="155"/>
      <c r="Z27" s="156"/>
      <c r="AA27" s="153"/>
      <c r="AB27" s="154"/>
      <c r="AC27" s="154"/>
      <c r="AD27" s="154"/>
      <c r="AE27" s="157"/>
      <c r="AF27" s="153">
        <f t="shared" si="0"/>
        <v>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158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155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153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154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145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156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 t="s">
        <v>146</v>
      </c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 t="s">
        <v>157</v>
      </c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20000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200000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220000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152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200000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FL-LCW 出張デモ費</v>
      </c>
      <c r="FE101" s="61">
        <f>T26</f>
        <v>0</v>
      </c>
      <c r="FF101" s="61" t="str">
        <f>X26</f>
        <v>一式</v>
      </c>
      <c r="FG101" s="61">
        <f>AA26</f>
        <v>200000</v>
      </c>
      <c r="FH101" s="61">
        <f>AF26</f>
        <v>200000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デモ機持込　RSD-SUNMAX-FL-LCW 1500w</v>
      </c>
      <c r="FE102" s="61">
        <f t="shared" ref="FE102:FE112" si="3">T27</f>
        <v>0</v>
      </c>
      <c r="FF102" s="61">
        <f t="shared" ref="FF102:FF112" si="4">X27</f>
        <v>0</v>
      </c>
      <c r="FG102" s="61">
        <f t="shared" ref="FG102:FG112" si="5">AA27</f>
        <v>0</v>
      </c>
      <c r="FH102" s="61">
        <f t="shared" ref="FH102:FH112" si="6">AF27</f>
        <v>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デモ　準備　セットアップ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200000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デモ時間13：30～15：30　高崎市のユーザー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　デモ時間は上記どちらか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 t="str">
        <f t="shared" si="2"/>
        <v>　出張旅費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 t="str">
        <f t="shared" si="2"/>
        <v>　電源以外デモ実施物は弊社準備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200000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70D6735B-780C-4013-920B-4A8F0400FFD5}"/>
    <dataValidation imeMode="off" allowBlank="1" showInputMessage="1" showErrorMessage="1" prompt="月を入力" sqref="AM6:AN6 N17:O17" xr:uid="{4369BAC8-FF6C-4CAF-8AD6-23097278E5D4}"/>
    <dataValidation imeMode="off" allowBlank="1" showInputMessage="1" showErrorMessage="1" prompt="日を入力" sqref="AP6:AQ6 Q17:R17" xr:uid="{36729D40-F1BC-4F24-809A-6CFE3A4F69D6}"/>
    <dataValidation imeMode="off" allowBlank="1" showInputMessage="1" showErrorMessage="1" prompt="お客様の郵便番号を入力" sqref="E3:H3" xr:uid="{9388B5CC-45CF-4755-BF4D-1467E70D5205}"/>
    <dataValidation imeMode="hiragana" allowBlank="1" showInputMessage="1" showErrorMessage="1" prompt="お客様の住所を入力" sqref="D4" xr:uid="{A1121A5F-87B1-473A-AF30-54510DFDD27A}"/>
    <dataValidation imeMode="hiragana" allowBlank="1" showInputMessage="1" showErrorMessage="1" prompt="お客様の住所でビル名番地など入力" sqref="D5:R5" xr:uid="{D95525DE-CC1D-4833-A1EB-622A091C2DC3}"/>
    <dataValidation imeMode="hiragana" allowBlank="1" showInputMessage="1" showErrorMessage="1" prompt="お客様名を入力" sqref="D7:S8" xr:uid="{32A335C8-91CB-40C4-BDFB-EA8552AAD399}"/>
    <dataValidation allowBlank="1" showInputMessage="1" showErrorMessage="1" prompt="見積書NOを入力" sqref="AN3:AR3" xr:uid="{D6A22355-86E7-4CAE-9862-8073605AAEAD}"/>
    <dataValidation imeMode="hiragana" allowBlank="1" showInputMessage="1" showErrorMessage="1" sqref="AB9:AS9 B41:AS42 E40:AS40" xr:uid="{93CE6113-60C4-4F98-8C5F-39D6BF346390}"/>
    <dataValidation imeMode="off" allowBlank="1" showInputMessage="1" showErrorMessage="1" prompt="年を入力" sqref="J17:L17" xr:uid="{5A70D3E3-CDF9-4C3B-9441-273F71C0AB28}"/>
    <dataValidation imeMode="hiragana" allowBlank="1" showInputMessage="1" showErrorMessage="1" prompt="受渡場所を入力_x000a_例：貴社指定場所" sqref="H13:T13" xr:uid="{84F7976C-E1BA-4980-92FF-8FF21F57223A}"/>
    <dataValidation imeMode="hiragana" allowBlank="1" showInputMessage="1" showErrorMessage="1" prompt="担当者を入力" sqref="AF17:AL17" xr:uid="{A59C2023-BD07-411F-AABD-0F33A63F9EB0}"/>
    <dataValidation imeMode="hiragana" allowBlank="1" showInputMessage="1" showErrorMessage="1" prompt="品名を入力" sqref="B26:S37" xr:uid="{ACAC1964-BC53-44E7-B487-55FAACF84F67}"/>
    <dataValidation imeMode="off" allowBlank="1" showInputMessage="1" showErrorMessage="1" prompt="数量を入力" sqref="T26:W37" xr:uid="{585C961F-B206-4CA2-9780-5607C7F995BE}"/>
    <dataValidation imeMode="off" allowBlank="1" showInputMessage="1" showErrorMessage="1" prompt="単価を入力" sqref="AA26:AE37" xr:uid="{CD20242C-613C-4D74-A078-611EB26F2490}"/>
    <dataValidation imeMode="hiragana" allowBlank="1" showInputMessage="1" showErrorMessage="1" prompt="備考があれば入力" sqref="AN35:AS37 AM26:AM37" xr:uid="{E8C0D313-D66D-476E-BE02-54126CDB9D2A}"/>
    <dataValidation type="list" allowBlank="1" showInputMessage="1" showErrorMessage="1" sqref="AA2:AJ3" xr:uid="{A5E81D8B-087F-4BE2-B5C5-B2FF231620A0}">
      <formula1>$DD$104:$DD$108</formula1>
    </dataValidation>
    <dataValidation type="list" imeMode="hiragana" allowBlank="1" showInputMessage="1" showErrorMessage="1" prompt="ボタンを押し単位を入力" sqref="X26:Z37" xr:uid="{356CDACE-E86E-4CE8-A95E-442CAB3B617B}">
      <formula1>$CS$104:$CS$116</formula1>
    </dataValidation>
    <dataValidation type="list" allowBlank="1" showInputMessage="1" showErrorMessage="1" sqref="T7:V8" xr:uid="{DEE96508-BF5E-4F10-B466-62CBCF2DE6E0}">
      <formula1>$CE$109:$CE$111</formula1>
    </dataValidation>
    <dataValidation type="list" allowBlank="1" showInputMessage="1" showErrorMessage="1" sqref="DM104:DR104" xr:uid="{564BE3CE-EB1F-478C-82DC-BA50C222C9CF}">
      <formula1>$EM$102:$EM$103</formula1>
    </dataValidation>
    <dataValidation allowBlank="1" showInputMessage="1" showErrorMessage="1" promptTitle="シート数を入力" prompt="明細書が出ていない状態でシート枚数を表示" sqref="CE106" xr:uid="{9A6972AB-E338-4BCA-A65A-93E74D8D9F56}"/>
    <dataValidation allowBlank="1" showInputMessage="1" showErrorMessage="1" promptTitle="明細書01の状態" prompt="明細書01が表示されているときは 0_x000a_明細書01が非表示のときは 1" sqref="CE107" xr:uid="{CFCB4D5F-EB88-4999-AE54-86A0D9477C69}"/>
    <dataValidation imeMode="hiragana" allowBlank="1" showInputMessage="1" showErrorMessage="1" prompt="取引方法を入力_x000a_例：従来通り" sqref="I15:T15" xr:uid="{B6AF4409-DCC0-4274-AC8C-83440FA1CC5E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5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6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7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8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99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0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1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2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3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4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5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6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7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8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09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0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1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2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3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4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5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6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7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8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19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0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1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2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3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4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5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6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7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8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29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430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82B5-25D7-482F-808F-B5C89B388F08}">
  <sheetPr>
    <pageSetUpPr fitToPage="1"/>
  </sheetPr>
  <dimension ref="A1:FI642"/>
  <sheetViews>
    <sheetView showGridLines="0" showRowColHeaders="0" topLeftCell="A4" workbookViewId="0">
      <selection activeCell="B29" sqref="B29:S29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180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8</v>
      </c>
      <c r="AJ6" s="197"/>
      <c r="AK6" s="197"/>
      <c r="AL6" s="9" t="s">
        <v>1</v>
      </c>
      <c r="AM6" s="197">
        <v>2</v>
      </c>
      <c r="AN6" s="197"/>
      <c r="AO6" s="9" t="s">
        <v>2</v>
      </c>
      <c r="AP6" s="197">
        <v>12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161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147400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147400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176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50000</v>
      </c>
      <c r="AB26" s="154"/>
      <c r="AC26" s="154"/>
      <c r="AD26" s="154"/>
      <c r="AE26" s="157"/>
      <c r="AF26" s="153">
        <f t="shared" ref="AF26:AF27" si="0">IF(T26="",1*AA26,T26*AA26)</f>
        <v>50000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181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84000</v>
      </c>
      <c r="AB27" s="154"/>
      <c r="AC27" s="154"/>
      <c r="AD27" s="154"/>
      <c r="AE27" s="157"/>
      <c r="AF27" s="153">
        <f t="shared" si="0"/>
        <v>84000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182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178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179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13400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134000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147400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 t="s">
        <v>177</v>
      </c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134000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FL-PLC 出張デモ費</v>
      </c>
      <c r="FE101" s="61">
        <f>T26</f>
        <v>0</v>
      </c>
      <c r="FF101" s="61" t="str">
        <f>X26</f>
        <v>一式</v>
      </c>
      <c r="FG101" s="61">
        <f>AA26</f>
        <v>50000</v>
      </c>
      <c r="FH101" s="61">
        <f>AF26</f>
        <v>50000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日帰り対応　軽井沢　社用車使用　片道280キロ　＠300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84000</v>
      </c>
      <c r="FH102" s="61">
        <f t="shared" ref="FH102:FH112" si="6">AF27</f>
        <v>84000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条件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134000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電源１００V　10A　ご用意ください。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134000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</mergeCells>
  <phoneticPr fontId="4"/>
  <dataValidations count="23">
    <dataValidation imeMode="hiragana" allowBlank="1" showInputMessage="1" showErrorMessage="1" prompt="取引方法を入力_x000a_例：従来通り" sqref="I15:T15" xr:uid="{C2D27B98-7549-4F53-A4BE-85DE5CDC0D49}"/>
    <dataValidation allowBlank="1" showInputMessage="1" showErrorMessage="1" promptTitle="明細書01の状態" prompt="明細書01が表示されているときは 0_x000a_明細書01が非表示のときは 1" sqref="CE107" xr:uid="{BDD94731-E71F-4AE0-9768-013A2823B40D}"/>
    <dataValidation allowBlank="1" showInputMessage="1" showErrorMessage="1" promptTitle="シート数を入力" prompt="明細書が出ていない状態でシート枚数を表示" sqref="CE106" xr:uid="{3676EB2B-9829-4BCA-A14C-253626F48344}"/>
    <dataValidation type="list" allowBlank="1" showInputMessage="1" showErrorMessage="1" sqref="DM104:DR104" xr:uid="{C1550E7E-F949-4166-A241-1B67CB08FD4A}">
      <formula1>$EM$102:$EM$103</formula1>
    </dataValidation>
    <dataValidation type="list" allowBlank="1" showInputMessage="1" showErrorMessage="1" sqref="T7:V8" xr:uid="{9B8C5EB5-14E8-434B-81A3-6DF71FB0CF5E}">
      <formula1>$CE$109:$CE$111</formula1>
    </dataValidation>
    <dataValidation type="list" imeMode="hiragana" allowBlank="1" showInputMessage="1" showErrorMessage="1" prompt="ボタンを押し単位を入力" sqref="X26:Z37" xr:uid="{DD004048-31D3-4742-942A-4FF138B3765A}">
      <formula1>$CS$104:$CS$116</formula1>
    </dataValidation>
    <dataValidation type="list" allowBlank="1" showInputMessage="1" showErrorMessage="1" sqref="AA2:AJ3" xr:uid="{644CCB69-5EBC-4600-A2EC-B3AF90589A48}">
      <formula1>$DD$104:$DD$108</formula1>
    </dataValidation>
    <dataValidation imeMode="hiragana" allowBlank="1" showInputMessage="1" showErrorMessage="1" prompt="備考があれば入力" sqref="AN35:AS37 AM26:AM37" xr:uid="{A56B6655-F371-4D07-9FE4-E77F5A39131C}"/>
    <dataValidation imeMode="off" allowBlank="1" showInputMessage="1" showErrorMessage="1" prompt="単価を入力" sqref="AA26:AE37" xr:uid="{E1FD4483-DB98-4751-8B3C-3CB31FB2E44D}"/>
    <dataValidation imeMode="off" allowBlank="1" showInputMessage="1" showErrorMessage="1" prompt="数量を入力" sqref="T26:W37" xr:uid="{AB763C6A-4955-48BF-94A9-A92ACD81F4BC}"/>
    <dataValidation imeMode="hiragana" allowBlank="1" showInputMessage="1" showErrorMessage="1" prompt="品名を入力" sqref="B26:S37" xr:uid="{D65521A5-6E60-4FA0-88FB-0791B02AA88E}"/>
    <dataValidation imeMode="hiragana" allowBlank="1" showInputMessage="1" showErrorMessage="1" prompt="担当者を入力" sqref="AF17:AL17" xr:uid="{9288638C-341B-4928-ADFF-A22A3F98D807}"/>
    <dataValidation imeMode="hiragana" allowBlank="1" showInputMessage="1" showErrorMessage="1" prompt="受渡場所を入力_x000a_例：貴社指定場所" sqref="H13:T13" xr:uid="{E07294E4-063F-43B6-A623-E83E6BA12E2C}"/>
    <dataValidation imeMode="off" allowBlank="1" showInputMessage="1" showErrorMessage="1" prompt="年を入力" sqref="J17:L17" xr:uid="{95A23541-CF8B-420C-BD76-B4539DC56012}"/>
    <dataValidation imeMode="hiragana" allowBlank="1" showInputMessage="1" showErrorMessage="1" sqref="AB9:AS9 B41:AS42 E40:AS40" xr:uid="{02516AA4-A71B-46CD-A62B-0189FE990298}"/>
    <dataValidation allowBlank="1" showInputMessage="1" showErrorMessage="1" prompt="見積書NOを入力" sqref="AN3:AR3" xr:uid="{921DFEF1-0CDE-4580-A0B2-066F7C4E2863}"/>
    <dataValidation imeMode="hiragana" allowBlank="1" showInputMessage="1" showErrorMessage="1" prompt="お客様名を入力" sqref="D7:S8" xr:uid="{71229032-116B-4A36-B3E1-6C05AE57B6DE}"/>
    <dataValidation imeMode="hiragana" allowBlank="1" showInputMessage="1" showErrorMessage="1" prompt="お客様の住所でビル名番地など入力" sqref="D5:R5" xr:uid="{790DF0E6-C6A2-4E69-9BDD-3EC6062F64DE}"/>
    <dataValidation imeMode="hiragana" allowBlank="1" showInputMessage="1" showErrorMessage="1" prompt="お客様の住所を入力" sqref="D4" xr:uid="{AC1DDE78-8993-48DF-92E7-CA681BA0546E}"/>
    <dataValidation imeMode="off" allowBlank="1" showInputMessage="1" showErrorMessage="1" prompt="お客様の郵便番号を入力" sqref="E3:H3" xr:uid="{1798476F-2B20-4A2E-83B9-6CC9478FD084}"/>
    <dataValidation imeMode="off" allowBlank="1" showInputMessage="1" showErrorMessage="1" prompt="日を入力" sqref="AP6:AQ6 Q17:R17" xr:uid="{CA2F3C02-7432-4295-A0C5-24A623FA6E32}"/>
    <dataValidation imeMode="off" allowBlank="1" showInputMessage="1" showErrorMessage="1" prompt="月を入力" sqref="AM6:AN6 N17:O17" xr:uid="{1B58C56E-2D37-44A3-8856-FF2DF2DA38A8}"/>
    <dataValidation imeMode="off" allowBlank="1" showInputMessage="1" showErrorMessage="1" prompt="年を入力  西暦表示の場合、平成を消してください" sqref="AI6:AK6" xr:uid="{B57C4AE2-C173-437B-8097-AA6E46DF6003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5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6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7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0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1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2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3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4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5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6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7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8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9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0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1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2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3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4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5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6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7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8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99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0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1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2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3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4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5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6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7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8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09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0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1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2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3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4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5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6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7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8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593F-282F-41D0-8D90-4845C41D9915}">
  <sheetPr>
    <pageSetUpPr fitToPage="1"/>
  </sheetPr>
  <dimension ref="A1:FI642"/>
  <sheetViews>
    <sheetView showGridLines="0" showRowColHeaders="0" topLeftCell="A4" workbookViewId="0">
      <selection activeCell="B27" sqref="B27:S27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186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8</v>
      </c>
      <c r="AJ6" s="197"/>
      <c r="AK6" s="197"/>
      <c r="AL6" s="9" t="s">
        <v>1</v>
      </c>
      <c r="AM6" s="197">
        <v>2</v>
      </c>
      <c r="AN6" s="197"/>
      <c r="AO6" s="9" t="s">
        <v>2</v>
      </c>
      <c r="AP6" s="197">
        <v>20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161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330000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330000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187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183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184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150000</v>
      </c>
      <c r="AB27" s="154"/>
      <c r="AC27" s="154"/>
      <c r="AD27" s="154"/>
      <c r="AE27" s="157"/>
      <c r="AF27" s="153">
        <f t="shared" si="0"/>
        <v>150000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188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150000</v>
      </c>
      <c r="AB28" s="154"/>
      <c r="AC28" s="154"/>
      <c r="AD28" s="154"/>
      <c r="AE28" s="157"/>
      <c r="AF28" s="153">
        <f>IF(T28="",1*AA28,T28*AA28)</f>
        <v>150000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185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30000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300000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330000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300000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「RSD-SUNMAX-FL-LCW-CLC剝離専用機</v>
      </c>
      <c r="FE101" s="61">
        <f>T26</f>
        <v>0</v>
      </c>
      <c r="FF101" s="61" t="str">
        <f>X26</f>
        <v>一式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　セットアップ　操作講習費　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150000</v>
      </c>
      <c r="FH102" s="61">
        <f t="shared" ref="FH102:FH112" si="6">AF27</f>
        <v>150000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　搬入費　自社配送P/G車使用　片道500キロ</v>
      </c>
      <c r="FE103" s="61">
        <f t="shared" si="3"/>
        <v>0</v>
      </c>
      <c r="FF103" s="61" t="str">
        <f t="shared" si="4"/>
        <v>一式</v>
      </c>
      <c r="FG103" s="61">
        <f t="shared" si="5"/>
        <v>150000</v>
      </c>
      <c r="FH103" s="61">
        <f t="shared" si="6"/>
        <v>150000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300000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300000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00A5590F-A10E-471F-916C-D805B2EC6401}"/>
    <dataValidation imeMode="off" allowBlank="1" showInputMessage="1" showErrorMessage="1" prompt="月を入力" sqref="AM6:AN6 N17:O17" xr:uid="{F900DE22-3534-44D9-9DC2-E2BAF6FF943F}"/>
    <dataValidation imeMode="off" allowBlank="1" showInputMessage="1" showErrorMessage="1" prompt="日を入力" sqref="AP6:AQ6 Q17:R17" xr:uid="{B22722B9-46B0-48AB-8D5C-9DA3BD9846B7}"/>
    <dataValidation imeMode="off" allowBlank="1" showInputMessage="1" showErrorMessage="1" prompt="お客様の郵便番号を入力" sqref="E3:H3" xr:uid="{7A4AA9B4-C6F3-42FE-ADC0-D2BC7505AFF5}"/>
    <dataValidation imeMode="hiragana" allowBlank="1" showInputMessage="1" showErrorMessage="1" prompt="お客様の住所を入力" sqref="D4" xr:uid="{42A6F34A-A7F7-4286-8F28-333BF45FBB76}"/>
    <dataValidation imeMode="hiragana" allowBlank="1" showInputMessage="1" showErrorMessage="1" prompt="お客様の住所でビル名番地など入力" sqref="D5:R5" xr:uid="{049DD1EC-0D1B-4BB7-9EC8-73C161F1B272}"/>
    <dataValidation imeMode="hiragana" allowBlank="1" showInputMessage="1" showErrorMessage="1" prompt="お客様名を入力" sqref="D7:S8" xr:uid="{50B1055A-7481-4512-8594-10C50942C2FF}"/>
    <dataValidation allowBlank="1" showInputMessage="1" showErrorMessage="1" prompt="見積書NOを入力" sqref="AN3:AR3" xr:uid="{A43BF0D2-4FD8-41E0-874F-79DFBF5C3F70}"/>
    <dataValidation imeMode="hiragana" allowBlank="1" showInputMessage="1" showErrorMessage="1" sqref="AB9:AS9 B41:AS42 E40:AS40" xr:uid="{D0E3A200-A008-48D3-9EC8-E5904D441C36}"/>
    <dataValidation imeMode="off" allowBlank="1" showInputMessage="1" showErrorMessage="1" prompt="年を入力" sqref="J17:L17" xr:uid="{744F8A4E-44F1-4CBD-AE50-149414E95AE7}"/>
    <dataValidation imeMode="hiragana" allowBlank="1" showInputMessage="1" showErrorMessage="1" prompt="受渡場所を入力_x000a_例：貴社指定場所" sqref="H13:T13" xr:uid="{502EE55B-57DF-45F8-90F1-1EFA46DE3221}"/>
    <dataValidation imeMode="hiragana" allowBlank="1" showInputMessage="1" showErrorMessage="1" prompt="担当者を入力" sqref="AF17:AL17" xr:uid="{B3811B42-EBAE-41FB-A59D-5FC7754BFA28}"/>
    <dataValidation imeMode="hiragana" allowBlank="1" showInputMessage="1" showErrorMessage="1" prompt="品名を入力" sqref="B26:S37" xr:uid="{ADA1A62C-5CD1-4B3E-957E-2AAF7D03E40D}"/>
    <dataValidation imeMode="off" allowBlank="1" showInputMessage="1" showErrorMessage="1" prompt="数量を入力" sqref="T26:W37" xr:uid="{1E03383A-E6A4-4687-A9EC-E9CA000722EB}"/>
    <dataValidation imeMode="off" allowBlank="1" showInputMessage="1" showErrorMessage="1" prompt="単価を入力" sqref="AA26:AE37" xr:uid="{F93D97A8-FEC0-48CB-B44E-0B7D38B57EBF}"/>
    <dataValidation imeMode="hiragana" allowBlank="1" showInputMessage="1" showErrorMessage="1" prompt="備考があれば入力" sqref="AN35:AS37 AM26:AM37" xr:uid="{FF372671-4733-4B21-B711-8C24DB7397D8}"/>
    <dataValidation type="list" allowBlank="1" showInputMessage="1" showErrorMessage="1" sqref="AA2:AJ3" xr:uid="{DC6D1DB8-432B-4BCB-B70C-4E36588CD82A}">
      <formula1>$DD$104:$DD$108</formula1>
    </dataValidation>
    <dataValidation type="list" imeMode="hiragana" allowBlank="1" showInputMessage="1" showErrorMessage="1" prompt="ボタンを押し単位を入力" sqref="X26:Z37" xr:uid="{AA63ED94-4A53-4D0F-8974-5D31969BD7FA}">
      <formula1>$CS$104:$CS$116</formula1>
    </dataValidation>
    <dataValidation type="list" allowBlank="1" showInputMessage="1" showErrorMessage="1" sqref="T7:V8" xr:uid="{E4C2DF36-B0A3-4671-BE67-BDCC6BD9A0E9}">
      <formula1>$CE$109:$CE$111</formula1>
    </dataValidation>
    <dataValidation type="list" allowBlank="1" showInputMessage="1" showErrorMessage="1" sqref="DM104:DR104" xr:uid="{D82A72C3-EB40-4107-87D8-4EC4E264C2D3}">
      <formula1>$EM$102:$EM$103</formula1>
    </dataValidation>
    <dataValidation allowBlank="1" showInputMessage="1" showErrorMessage="1" promptTitle="シート数を入力" prompt="明細書が出ていない状態でシート枚数を表示" sqref="CE106" xr:uid="{66A49937-D2F5-4446-B162-5A3BE1402610}"/>
    <dataValidation allowBlank="1" showInputMessage="1" showErrorMessage="1" promptTitle="明細書01の状態" prompt="明細書01が表示されているときは 0_x000a_明細書01が非表示のときは 1" sqref="CE107" xr:uid="{06770C90-32A2-4268-9935-ADEA3F32D755}"/>
    <dataValidation imeMode="hiragana" allowBlank="1" showInputMessage="1" showErrorMessage="1" prompt="取引方法を入力_x000a_例：従来通り" sqref="I15:T15" xr:uid="{A4CE6585-1F1E-4B27-83F7-B3E0E8F60ED5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5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6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7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8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79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0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1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2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3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4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5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6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7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8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89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0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1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2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3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4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5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6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7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8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99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0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1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2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3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4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5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6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7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8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09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910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9DA5-D1E8-4057-9D03-33D8305A410A}">
  <sheetPr>
    <pageSetUpPr fitToPage="1"/>
  </sheetPr>
  <dimension ref="A1:FI642"/>
  <sheetViews>
    <sheetView showGridLines="0" showRowColHeaders="0" workbookViewId="0">
      <selection activeCell="B28" sqref="B28:S28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195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8</v>
      </c>
      <c r="AJ6" s="197"/>
      <c r="AK6" s="197"/>
      <c r="AL6" s="9" t="s">
        <v>1</v>
      </c>
      <c r="AM6" s="197">
        <v>2</v>
      </c>
      <c r="AN6" s="197"/>
      <c r="AO6" s="9" t="s">
        <v>2</v>
      </c>
      <c r="AP6" s="197">
        <v>25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 t="s">
        <v>161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92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253000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253000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187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190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/>
      <c r="Y26" s="155"/>
      <c r="Z26" s="156"/>
      <c r="AA26" s="153"/>
      <c r="AB26" s="154"/>
      <c r="AC26" s="154"/>
      <c r="AD26" s="154"/>
      <c r="AE26" s="157"/>
      <c r="AF26" s="153">
        <f t="shared" ref="AF26:AF27" si="0">IF(T26="",1*AA26,T26*AA26)</f>
        <v>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192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50000</v>
      </c>
      <c r="AB27" s="154"/>
      <c r="AC27" s="154"/>
      <c r="AD27" s="154"/>
      <c r="AE27" s="157"/>
      <c r="AF27" s="153">
        <f t="shared" si="0"/>
        <v>50000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196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165000</v>
      </c>
      <c r="AB28" s="154"/>
      <c r="AC28" s="154"/>
      <c r="AD28" s="154"/>
      <c r="AE28" s="157"/>
      <c r="AF28" s="153">
        <f>IF(T28="",1*AA28,T28*AA28)</f>
        <v>165000</v>
      </c>
      <c r="AG28" s="154"/>
      <c r="AH28" s="154"/>
      <c r="AI28" s="154"/>
      <c r="AJ28" s="154"/>
      <c r="AK28" s="154"/>
      <c r="AL28" s="157"/>
      <c r="AM28" s="150" t="s">
        <v>189</v>
      </c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193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15000</v>
      </c>
      <c r="AB29" s="154"/>
      <c r="AC29" s="154"/>
      <c r="AD29" s="154"/>
      <c r="AE29" s="157"/>
      <c r="AF29" s="153">
        <f t="shared" ref="AF29:AF32" si="1">IF(T29="",1*AA29,T29*AA29)</f>
        <v>15000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191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 t="s">
        <v>194</v>
      </c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23000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230000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253000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230000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「RSD-SUNMAX-FL-LCW-PRO　3IN1</v>
      </c>
      <c r="FE101" s="61">
        <f>T26</f>
        <v>0</v>
      </c>
      <c r="FF101" s="61">
        <f>X26</f>
        <v>0</v>
      </c>
      <c r="FG101" s="61">
        <f>AA26</f>
        <v>0</v>
      </c>
      <c r="FH101" s="61">
        <f>AF26</f>
        <v>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　出張　デモ費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50000</v>
      </c>
      <c r="FH102" s="61">
        <f t="shared" ref="FH102:FH112" si="6">AF27</f>
        <v>50000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　搬入自社配送　片道550キロ　＠300</v>
      </c>
      <c r="FE103" s="61">
        <f t="shared" si="3"/>
        <v>0</v>
      </c>
      <c r="FF103" s="61" t="str">
        <f t="shared" si="4"/>
        <v>一式</v>
      </c>
      <c r="FG103" s="61">
        <f t="shared" si="5"/>
        <v>165000</v>
      </c>
      <c r="FH103" s="61">
        <f t="shared" si="6"/>
        <v>165000</v>
      </c>
      <c r="FI103" s="61" t="str">
        <f t="shared" si="7"/>
        <v>福島県郡山市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230000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　前泊費</v>
      </c>
      <c r="FE104" s="61">
        <f t="shared" si="3"/>
        <v>0</v>
      </c>
      <c r="FF104" s="61" t="str">
        <f t="shared" si="4"/>
        <v>一式</v>
      </c>
      <c r="FG104" s="61">
        <f t="shared" si="5"/>
        <v>15000</v>
      </c>
      <c r="FH104" s="61">
        <f t="shared" si="6"/>
        <v>15000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230000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BAD74F15-9F12-47CA-AC5B-6ADCE0D57E84}"/>
    <dataValidation allowBlank="1" showInputMessage="1" showErrorMessage="1" promptTitle="明細書01の状態" prompt="明細書01が表示されているときは 0_x000a_明細書01が非表示のときは 1" sqref="CE107" xr:uid="{EB0A47C4-D7E3-43FE-B25B-01F3E6E8F89C}"/>
    <dataValidation allowBlank="1" showInputMessage="1" showErrorMessage="1" promptTitle="シート数を入力" prompt="明細書が出ていない状態でシート枚数を表示" sqref="CE106" xr:uid="{B74D7A87-B152-4EAA-B5A4-5C5425DFF3B0}"/>
    <dataValidation type="list" allowBlank="1" showInputMessage="1" showErrorMessage="1" sqref="DM104:DR104" xr:uid="{2F0B8128-1AB8-48B8-B701-C4B0948F4EB7}">
      <formula1>$EM$102:$EM$103</formula1>
    </dataValidation>
    <dataValidation type="list" allowBlank="1" showInputMessage="1" showErrorMessage="1" sqref="T7:V8" xr:uid="{EDAB86E8-21D7-4E1E-82D4-E03010B9295E}">
      <formula1>$CE$109:$CE$111</formula1>
    </dataValidation>
    <dataValidation type="list" imeMode="hiragana" allowBlank="1" showInputMessage="1" showErrorMessage="1" prompt="ボタンを押し単位を入力" sqref="X26:Z37" xr:uid="{B1153A85-3C5D-45CA-BE1D-300676904F5F}">
      <formula1>$CS$104:$CS$116</formula1>
    </dataValidation>
    <dataValidation type="list" allowBlank="1" showInputMessage="1" showErrorMessage="1" sqref="AA2:AJ3" xr:uid="{8AC9BEAE-A2EE-4873-BAA5-2AB67025375E}">
      <formula1>$DD$104:$DD$108</formula1>
    </dataValidation>
    <dataValidation imeMode="hiragana" allowBlank="1" showInputMessage="1" showErrorMessage="1" prompt="備考があれば入力" sqref="AN35:AS37 AM26:AM37" xr:uid="{160A5573-8E1E-4256-8C25-038F86F5A485}"/>
    <dataValidation imeMode="off" allowBlank="1" showInputMessage="1" showErrorMessage="1" prompt="単価を入力" sqref="AA26:AE37" xr:uid="{5B064F81-0B8A-41D6-8FB9-44D22EE191BD}"/>
    <dataValidation imeMode="off" allowBlank="1" showInputMessage="1" showErrorMessage="1" prompt="数量を入力" sqref="T26:W37" xr:uid="{156FDBAD-8075-4668-8A7C-BAE8037CAF12}"/>
    <dataValidation imeMode="hiragana" allowBlank="1" showInputMessage="1" showErrorMessage="1" prompt="品名を入力" sqref="B26:S37" xr:uid="{DE9265A2-C472-4CB6-B843-C3EADA334A87}"/>
    <dataValidation imeMode="hiragana" allowBlank="1" showInputMessage="1" showErrorMessage="1" prompt="担当者を入力" sqref="AF17:AL17" xr:uid="{E7536249-48FA-40E4-AF7C-FA45BD793419}"/>
    <dataValidation imeMode="hiragana" allowBlank="1" showInputMessage="1" showErrorMessage="1" prompt="受渡場所を入力_x000a_例：貴社指定場所" sqref="H13:T13" xr:uid="{FC3C4ABF-AA41-42B7-A4C5-8F31EBAE723E}"/>
    <dataValidation imeMode="off" allowBlank="1" showInputMessage="1" showErrorMessage="1" prompt="年を入力" sqref="J17:L17" xr:uid="{1D6443B5-2A0D-4ECA-A0A0-C92DE07194D2}"/>
    <dataValidation imeMode="hiragana" allowBlank="1" showInputMessage="1" showErrorMessage="1" sqref="AB9:AS9 B41:AS42 E40:AS40" xr:uid="{1D49AB69-47DB-49D5-B40D-383EAE64B3F8}"/>
    <dataValidation allowBlank="1" showInputMessage="1" showErrorMessage="1" prompt="見積書NOを入力" sqref="AN3:AR3" xr:uid="{501B409E-9F99-44F1-B6D7-282CA9F43447}"/>
    <dataValidation imeMode="hiragana" allowBlank="1" showInputMessage="1" showErrorMessage="1" prompt="お客様名を入力" sqref="D7:S8" xr:uid="{D64F501B-0FBC-4A7B-A451-A4E4DB0CE46E}"/>
    <dataValidation imeMode="hiragana" allowBlank="1" showInputMessage="1" showErrorMessage="1" prompt="お客様の住所でビル名番地など入力" sqref="D5:R5" xr:uid="{8B03DDBE-99C6-4525-9C21-5F3F83A19A48}"/>
    <dataValidation imeMode="hiragana" allowBlank="1" showInputMessage="1" showErrorMessage="1" prompt="お客様の住所を入力" sqref="D4" xr:uid="{079D7138-8207-4D47-AD02-0CF80BB42D12}"/>
    <dataValidation imeMode="off" allowBlank="1" showInputMessage="1" showErrorMessage="1" prompt="お客様の郵便番号を入力" sqref="E3:H3" xr:uid="{99C75F1B-F3E8-437F-8044-018AB938FE76}"/>
    <dataValidation imeMode="off" allowBlank="1" showInputMessage="1" showErrorMessage="1" prompt="日を入力" sqref="AP6:AQ6 Q17:R17" xr:uid="{4125148A-4BE9-44BA-83CD-4ECC6F16B5C8}"/>
    <dataValidation imeMode="off" allowBlank="1" showInputMessage="1" showErrorMessage="1" prompt="月を入力" sqref="AM6:AN6 N17:O17" xr:uid="{A73429AF-21CB-414E-BA58-642F76585928}"/>
    <dataValidation imeMode="off" allowBlank="1" showInputMessage="1" showErrorMessage="1" prompt="年を入力  西暦表示の場合、平成を消してください" sqref="AI6:AK6" xr:uid="{BB5BBEB1-F60A-4229-ADDB-17B134384421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608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8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7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09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0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1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2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5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6126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4721-AC19-4349-A1A1-834FE4D1CE96}">
  <sheetPr>
    <pageSetUpPr fitToPage="1"/>
  </sheetPr>
  <dimension ref="A1:FI642"/>
  <sheetViews>
    <sheetView showGridLines="0" showRowColHeaders="0" topLeftCell="A4" workbookViewId="0">
      <selection activeCell="B30" sqref="B30:S30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 t="s">
        <v>175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7</v>
      </c>
      <c r="AJ6" s="197"/>
      <c r="AK6" s="197"/>
      <c r="AL6" s="9" t="s">
        <v>1</v>
      </c>
      <c r="AM6" s="197">
        <v>12</v>
      </c>
      <c r="AN6" s="197"/>
      <c r="AO6" s="9" t="s">
        <v>2</v>
      </c>
      <c r="AP6" s="197">
        <v>25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>
        <v>46036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173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77000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77000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172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30000</v>
      </c>
      <c r="AB26" s="154"/>
      <c r="AC26" s="154"/>
      <c r="AD26" s="154"/>
      <c r="AE26" s="157"/>
      <c r="AF26" s="153">
        <f t="shared" ref="AF26:AF27" si="0">IF(T26="",1*AA26,T26*AA26)</f>
        <v>30000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174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>
        <v>4</v>
      </c>
      <c r="U27" s="154"/>
      <c r="V27" s="154"/>
      <c r="W27" s="154"/>
      <c r="X27" s="155"/>
      <c r="Y27" s="155"/>
      <c r="Z27" s="156"/>
      <c r="AA27" s="153">
        <v>10000</v>
      </c>
      <c r="AB27" s="154"/>
      <c r="AC27" s="154"/>
      <c r="AD27" s="154"/>
      <c r="AE27" s="157"/>
      <c r="AF27" s="153">
        <f t="shared" si="0"/>
        <v>40000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/>
      <c r="Y28" s="155"/>
      <c r="Z28" s="156"/>
      <c r="AA28" s="153"/>
      <c r="AB28" s="154"/>
      <c r="AC28" s="154"/>
      <c r="AD28" s="154"/>
      <c r="AE28" s="157"/>
      <c r="AF28" s="153">
        <f>IF(T28="",1*AA28,T28*AA28)</f>
        <v>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/>
      <c r="Y29" s="155"/>
      <c r="Z29" s="156"/>
      <c r="AA29" s="153"/>
      <c r="AB29" s="154"/>
      <c r="AC29" s="154"/>
      <c r="AD29" s="154"/>
      <c r="AE29" s="157"/>
      <c r="AF29" s="153">
        <f t="shared" ref="AF29:AF32" si="1">IF(T29="",1*AA29,T29*AA29)</f>
        <v>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7000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70000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77000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70000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　レーザー安全教育講習　</v>
      </c>
      <c r="FE101" s="61">
        <f>T26</f>
        <v>0</v>
      </c>
      <c r="FF101" s="61" t="str">
        <f>X26</f>
        <v>一式</v>
      </c>
      <c r="FG101" s="61">
        <f>AA26</f>
        <v>30000</v>
      </c>
      <c r="FH101" s="61">
        <f>AF26</f>
        <v>30000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　受講者　4名</v>
      </c>
      <c r="FE102" s="61">
        <f t="shared" ref="FE102:FE112" si="3">T27</f>
        <v>4</v>
      </c>
      <c r="FF102" s="61">
        <f t="shared" ref="FF102:FF112" si="4">X27</f>
        <v>0</v>
      </c>
      <c r="FG102" s="61">
        <f t="shared" ref="FG102:FG112" si="5">AA27</f>
        <v>10000</v>
      </c>
      <c r="FH102" s="61">
        <f t="shared" ref="FH102:FH112" si="6">AF27</f>
        <v>40000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>
        <f t="shared" si="2"/>
        <v>0</v>
      </c>
      <c r="FE103" s="61">
        <f t="shared" si="3"/>
        <v>0</v>
      </c>
      <c r="FF103" s="61">
        <f t="shared" si="4"/>
        <v>0</v>
      </c>
      <c r="FG103" s="61">
        <f t="shared" si="5"/>
        <v>0</v>
      </c>
      <c r="FH103" s="61">
        <f t="shared" si="6"/>
        <v>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70000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>
        <f>B29</f>
        <v>0</v>
      </c>
      <c r="FE104" s="61">
        <f t="shared" si="3"/>
        <v>0</v>
      </c>
      <c r="FF104" s="61">
        <f t="shared" si="4"/>
        <v>0</v>
      </c>
      <c r="FG104" s="61">
        <f t="shared" si="5"/>
        <v>0</v>
      </c>
      <c r="FH104" s="61">
        <f t="shared" si="6"/>
        <v>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>
        <f>B31</f>
        <v>0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70000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hiragana" allowBlank="1" showInputMessage="1" showErrorMessage="1" prompt="取引方法を入力_x000a_例：従来通り" sqref="I15:T15" xr:uid="{5C94C86A-7EEE-43B6-822E-3A191FCBFC0A}"/>
    <dataValidation allowBlank="1" showInputMessage="1" showErrorMessage="1" promptTitle="明細書01の状態" prompt="明細書01が表示されているときは 0_x000a_明細書01が非表示のときは 1" sqref="CE107" xr:uid="{FD3FED55-FD48-43E7-A013-7682AB2CC509}"/>
    <dataValidation allowBlank="1" showInputMessage="1" showErrorMessage="1" promptTitle="シート数を入力" prompt="明細書が出ていない状態でシート枚数を表示" sqref="CE106" xr:uid="{62CF1F73-398C-4C96-9A8C-FE491507F0D6}"/>
    <dataValidation type="list" allowBlank="1" showInputMessage="1" showErrorMessage="1" sqref="DM104:DR104" xr:uid="{D67204CC-F496-44E7-975E-28FAF5C2BB55}">
      <formula1>$EM$102:$EM$103</formula1>
    </dataValidation>
    <dataValidation type="list" allowBlank="1" showInputMessage="1" showErrorMessage="1" sqref="T7:V8" xr:uid="{BF7EB996-4A67-416D-BB82-1CBB35213DD7}">
      <formula1>$CE$109:$CE$111</formula1>
    </dataValidation>
    <dataValidation type="list" imeMode="hiragana" allowBlank="1" showInputMessage="1" showErrorMessage="1" prompt="ボタンを押し単位を入力" sqref="X26:Z37" xr:uid="{B5D76B59-672B-49A1-850E-C3E69602326A}">
      <formula1>$CS$104:$CS$116</formula1>
    </dataValidation>
    <dataValidation type="list" allowBlank="1" showInputMessage="1" showErrorMessage="1" sqref="AA2:AJ3" xr:uid="{949B7E63-B9AC-4344-992C-5E22E059E442}">
      <formula1>$DD$104:$DD$108</formula1>
    </dataValidation>
    <dataValidation imeMode="hiragana" allowBlank="1" showInputMessage="1" showErrorMessage="1" prompt="備考があれば入力" sqref="AN35:AS37 AM26:AM37" xr:uid="{C063C40C-6F37-4772-8FB6-07A365513F23}"/>
    <dataValidation imeMode="off" allowBlank="1" showInputMessage="1" showErrorMessage="1" prompt="単価を入力" sqref="AA26:AE37" xr:uid="{E051CAAB-5CDE-45D8-AEED-9C63EF7B5A5F}"/>
    <dataValidation imeMode="off" allowBlank="1" showInputMessage="1" showErrorMessage="1" prompt="数量を入力" sqref="T26:W37" xr:uid="{F04062F9-E147-4FC8-9D84-843395CE3E6C}"/>
    <dataValidation imeMode="hiragana" allowBlank="1" showInputMessage="1" showErrorMessage="1" prompt="品名を入力" sqref="B26:S37" xr:uid="{2D084F32-08A9-4BA0-AFA7-52646276226E}"/>
    <dataValidation imeMode="hiragana" allowBlank="1" showInputMessage="1" showErrorMessage="1" prompt="担当者を入力" sqref="AF17:AL17" xr:uid="{7F08B071-A7C0-4516-AC1F-44457B41E96B}"/>
    <dataValidation imeMode="hiragana" allowBlank="1" showInputMessage="1" showErrorMessage="1" prompt="受渡場所を入力_x000a_例：貴社指定場所" sqref="H13:T13" xr:uid="{553AB5CB-95B8-4A7F-B523-F88ED9030702}"/>
    <dataValidation imeMode="off" allowBlank="1" showInputMessage="1" showErrorMessage="1" prompt="年を入力" sqref="J17:L17" xr:uid="{3EF4C1FD-E142-4E14-8168-E14E01E12635}"/>
    <dataValidation imeMode="hiragana" allowBlank="1" showInputMessage="1" showErrorMessage="1" sqref="AB9:AS9 B41:AS42 E40:AS40" xr:uid="{BE11CC07-98F1-496D-8030-E6B55622291A}"/>
    <dataValidation allowBlank="1" showInputMessage="1" showErrorMessage="1" prompt="見積書NOを入力" sqref="AN3:AR3" xr:uid="{F1707942-8482-4794-93FD-0F1D6A0644B9}"/>
    <dataValidation imeMode="hiragana" allowBlank="1" showInputMessage="1" showErrorMessage="1" prompt="お客様名を入力" sqref="D7:S8" xr:uid="{55B1AA29-6BF5-4E70-AD99-BD1AC1B6CD22}"/>
    <dataValidation imeMode="hiragana" allowBlank="1" showInputMessage="1" showErrorMessage="1" prompt="お客様の住所でビル名番地など入力" sqref="D5:R5" xr:uid="{A07365DD-DA1F-49C1-B570-1B2E55B74F73}"/>
    <dataValidation imeMode="hiragana" allowBlank="1" showInputMessage="1" showErrorMessage="1" prompt="お客様の住所を入力" sqref="D4" xr:uid="{78ACFFF2-1C4B-46A9-8C97-BE6B8DDC02D5}"/>
    <dataValidation imeMode="off" allowBlank="1" showInputMessage="1" showErrorMessage="1" prompt="お客様の郵便番号を入力" sqref="E3:H3" xr:uid="{1FFF7734-2ABF-4A00-A9F9-E5B621E735D5}"/>
    <dataValidation imeMode="off" allowBlank="1" showInputMessage="1" showErrorMessage="1" prompt="日を入力" sqref="AP6:AQ6 Q17:R17" xr:uid="{F08E7D23-B7DA-434C-AC9F-91A8C6870C38}"/>
    <dataValidation imeMode="off" allowBlank="1" showInputMessage="1" showErrorMessage="1" prompt="月を入力" sqref="AM6:AN6 N17:O17" xr:uid="{001B942A-598B-4C7D-8024-6A9DDCE7E367}"/>
    <dataValidation imeMode="off" allowBlank="1" showInputMessage="1" showErrorMessage="1" prompt="年を入力  西暦表示の場合、平成を消してください" sqref="AI6:AK6" xr:uid="{4F552153-22C1-4D0B-B774-3AD88381AC03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8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9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0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1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2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3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4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5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6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7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8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9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0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1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2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3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4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5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6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7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8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9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0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1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2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3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4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5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6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7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8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9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0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1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2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3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4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5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6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7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8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9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0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B8D3-D49C-4E71-8A24-B0F092D9172B}">
  <sheetPr>
    <pageSetUpPr fitToPage="1"/>
  </sheetPr>
  <dimension ref="A1:FI642"/>
  <sheetViews>
    <sheetView showGridLines="0" showRowColHeaders="0" workbookViewId="0">
      <selection activeCell="B35" sqref="B35:S35"/>
    </sheetView>
  </sheetViews>
  <sheetFormatPr defaultColWidth="2.125" defaultRowHeight="15" customHeight="1" x14ac:dyDescent="0.15"/>
  <cols>
    <col min="1" max="1" width="7.25" style="24" customWidth="1"/>
    <col min="2" max="4" width="2.125" customWidth="1"/>
    <col min="5" max="5" width="3.75" customWidth="1"/>
    <col min="6" max="9" width="2.125" customWidth="1"/>
    <col min="10" max="10" width="2.375" customWidth="1"/>
    <col min="11" max="11" width="0.5" customWidth="1"/>
    <col min="12" max="25" width="2.125" customWidth="1"/>
    <col min="26" max="26" width="0.875" customWidth="1"/>
    <col min="27" max="27" width="2.125" customWidth="1"/>
    <col min="28" max="28" width="1.875" customWidth="1"/>
    <col min="29" max="30" width="2.125" customWidth="1"/>
    <col min="31" max="31" width="2.625" customWidth="1"/>
    <col min="32" max="33" width="2.125" customWidth="1"/>
    <col min="34" max="34" width="1.875" customWidth="1"/>
    <col min="35" max="35" width="3.5" customWidth="1"/>
    <col min="36" max="36" width="1.375" customWidth="1"/>
    <col min="37" max="37" width="1.625" customWidth="1"/>
    <col min="38" max="38" width="2.5" customWidth="1"/>
    <col min="39" max="39" width="2.25" customWidth="1"/>
    <col min="40" max="40" width="1.125" customWidth="1"/>
    <col min="41" max="41" width="2.125" customWidth="1"/>
    <col min="42" max="42" width="2.375" customWidth="1"/>
    <col min="43" max="45" width="2.125" customWidth="1"/>
    <col min="46" max="46" width="0.875" customWidth="1"/>
    <col min="47" max="82" width="2.125" customWidth="1"/>
    <col min="83" max="83" width="5.125" customWidth="1"/>
    <col min="84" max="103" width="2.125" customWidth="1"/>
    <col min="104" max="104" width="2.75" customWidth="1"/>
    <col min="105" max="115" width="2.125" customWidth="1"/>
    <col min="116" max="116" width="7.375" customWidth="1"/>
    <col min="117" max="121" width="2.125" customWidth="1"/>
    <col min="122" max="122" width="10.75" customWidth="1"/>
    <col min="123" max="157" width="2.125" customWidth="1"/>
    <col min="158" max="158" width="5.25" bestFit="1" customWidth="1"/>
    <col min="159" max="159" width="7.875" bestFit="1" customWidth="1"/>
    <col min="160" max="160" width="31.5" bestFit="1" customWidth="1"/>
    <col min="161" max="162" width="6" bestFit="1" customWidth="1"/>
    <col min="163" max="163" width="8.75" customWidth="1"/>
    <col min="164" max="164" width="9.75" customWidth="1"/>
    <col min="165" max="165" width="8.75" customWidth="1"/>
  </cols>
  <sheetData>
    <row r="1" spans="1:78" ht="57.75" customHeight="1" x14ac:dyDescent="0.15">
      <c r="A1" s="62"/>
      <c r="B1" s="1"/>
      <c r="C1" s="1"/>
      <c r="D1" s="1"/>
      <c r="E1" s="1"/>
      <c r="F1" s="1"/>
      <c r="G1" s="63"/>
      <c r="H1" s="1"/>
      <c r="I1" s="63"/>
      <c r="J1" s="6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63"/>
      <c r="W1" s="6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 ht="15" customHeight="1" x14ac:dyDescent="0.15">
      <c r="A2" s="25"/>
      <c r="E2" s="3"/>
      <c r="F2" s="3"/>
      <c r="G2" s="64"/>
      <c r="H2" s="3"/>
      <c r="I2" s="65"/>
      <c r="J2" s="65"/>
      <c r="L2" s="57"/>
      <c r="M2" s="201" t="s">
        <v>74</v>
      </c>
      <c r="N2" s="201"/>
      <c r="O2" s="201"/>
      <c r="P2" s="201"/>
      <c r="Q2" s="201"/>
      <c r="R2" s="201"/>
      <c r="W2" s="4"/>
      <c r="X2" s="4"/>
      <c r="Y2" s="4"/>
      <c r="Z2" s="4"/>
      <c r="AA2" s="166" t="s">
        <v>44</v>
      </c>
      <c r="AB2" s="166"/>
      <c r="AC2" s="166"/>
      <c r="AD2" s="166"/>
      <c r="AE2" s="166"/>
      <c r="AF2" s="166"/>
      <c r="AG2" s="166"/>
      <c r="AH2" s="166"/>
      <c r="AI2" s="166"/>
      <c r="AJ2" s="166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ht="15" customHeight="1" x14ac:dyDescent="0.15">
      <c r="A3" s="25"/>
      <c r="E3" s="196" t="s">
        <v>103</v>
      </c>
      <c r="F3" s="196"/>
      <c r="G3" s="196"/>
      <c r="H3" s="196"/>
      <c r="I3" s="65"/>
      <c r="J3" s="65"/>
      <c r="N3" s="56"/>
      <c r="O3" s="56"/>
      <c r="P3" s="56"/>
      <c r="Q3" s="56"/>
      <c r="R3" s="56"/>
      <c r="W3" s="4"/>
      <c r="X3" s="4"/>
      <c r="Y3" s="4"/>
      <c r="Z3" s="4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L3" s="5" t="s">
        <v>0</v>
      </c>
      <c r="AM3" s="5"/>
      <c r="AN3" s="177">
        <v>202602278</v>
      </c>
      <c r="AO3" s="177"/>
      <c r="AP3" s="177"/>
      <c r="AQ3" s="177"/>
      <c r="AR3" s="177"/>
      <c r="AS3" s="6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ht="15" customHeight="1" x14ac:dyDescent="0.15">
      <c r="A4" s="25"/>
      <c r="D4" s="193" t="s">
        <v>104</v>
      </c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ht="15" customHeight="1" x14ac:dyDescent="0.15">
      <c r="A5" s="25"/>
      <c r="D5" s="193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G5" s="9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</row>
    <row r="6" spans="1:78" ht="15" customHeight="1" x14ac:dyDescent="0.15">
      <c r="A6" s="25"/>
      <c r="D6" s="7"/>
      <c r="E6" s="7"/>
      <c r="F6" s="195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7"/>
      <c r="T6" s="70"/>
      <c r="U6" s="70"/>
      <c r="V6" s="8"/>
      <c r="W6" s="8"/>
      <c r="X6" s="8"/>
      <c r="Y6" s="8"/>
      <c r="Z6" s="8"/>
      <c r="AA6" s="8"/>
      <c r="AB6" s="8"/>
      <c r="AC6" s="8"/>
      <c r="AG6" s="12" t="s">
        <v>89</v>
      </c>
      <c r="AH6" s="12"/>
      <c r="AI6" s="197">
        <v>8</v>
      </c>
      <c r="AJ6" s="197"/>
      <c r="AK6" s="197"/>
      <c r="AL6" s="9" t="s">
        <v>1</v>
      </c>
      <c r="AM6" s="197">
        <v>2</v>
      </c>
      <c r="AN6" s="197"/>
      <c r="AO6" s="9" t="s">
        <v>2</v>
      </c>
      <c r="AP6" s="197">
        <v>27</v>
      </c>
      <c r="AQ6" s="197"/>
      <c r="AR6" s="30" t="s">
        <v>85</v>
      </c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ht="15" customHeight="1" x14ac:dyDescent="0.15">
      <c r="A7" s="25"/>
      <c r="D7" s="198" t="s">
        <v>102</v>
      </c>
      <c r="E7" s="199"/>
      <c r="F7" s="199"/>
      <c r="G7" s="199"/>
      <c r="H7" s="199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200" t="s">
        <v>52</v>
      </c>
      <c r="U7" s="200"/>
      <c r="V7" s="200"/>
      <c r="W7" s="8"/>
      <c r="X7" s="8"/>
      <c r="Y7" s="8"/>
      <c r="Z7" s="8"/>
      <c r="AA7" s="8"/>
      <c r="AB7" s="8"/>
      <c r="AC7" s="8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ht="15" customHeight="1" x14ac:dyDescent="0.15">
      <c r="A8" s="25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200"/>
      <c r="U8" s="200"/>
      <c r="V8" s="200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</row>
    <row r="9" spans="1:78" ht="15" customHeight="1" x14ac:dyDescent="0.15">
      <c r="A9" s="25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1"/>
      <c r="X9" s="11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</row>
    <row r="10" spans="1:78" ht="31.5" customHeight="1" x14ac:dyDescent="0.15">
      <c r="A10" s="25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1"/>
      <c r="X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ht="15" customHeight="1" x14ac:dyDescent="0.15">
      <c r="A11" s="25"/>
      <c r="D11" s="67" t="s">
        <v>4</v>
      </c>
      <c r="E11" s="68"/>
      <c r="F11" s="68"/>
      <c r="G11" s="68"/>
      <c r="H11" s="188">
        <v>46116</v>
      </c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67"/>
      <c r="U11" s="6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</row>
    <row r="12" spans="1:78" ht="3.75" customHeight="1" x14ac:dyDescent="0.15">
      <c r="A12" s="25"/>
      <c r="D12" s="31"/>
      <c r="E12" s="29"/>
      <c r="F12" s="29"/>
      <c r="G12" s="29"/>
      <c r="H12" s="31"/>
      <c r="I12" s="29"/>
      <c r="J12" s="32"/>
      <c r="K12" s="32"/>
      <c r="L12" s="32"/>
      <c r="M12" s="31"/>
      <c r="N12" s="32"/>
      <c r="O12" s="32"/>
      <c r="P12" s="31"/>
      <c r="Q12" s="32"/>
      <c r="R12" s="32"/>
      <c r="S12" s="33"/>
      <c r="T12" s="33"/>
      <c r="U12" s="29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</row>
    <row r="13" spans="1:78" ht="15" customHeight="1" x14ac:dyDescent="0.15">
      <c r="A13" s="25"/>
      <c r="D13" s="67" t="s">
        <v>5</v>
      </c>
      <c r="E13" s="68"/>
      <c r="F13" s="68"/>
      <c r="G13" s="68"/>
      <c r="H13" s="178" t="s">
        <v>173</v>
      </c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68"/>
      <c r="Z13" s="72"/>
      <c r="AA13" s="72"/>
      <c r="AB13" s="190" t="s">
        <v>54</v>
      </c>
      <c r="AC13" s="190"/>
      <c r="AD13" s="190"/>
      <c r="AE13" s="191" t="s">
        <v>77</v>
      </c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</row>
    <row r="14" spans="1:78" ht="3.75" customHeight="1" x14ac:dyDescent="0.15">
      <c r="A14" s="25"/>
      <c r="D14" s="31"/>
      <c r="E14" s="29"/>
      <c r="F14" s="29"/>
      <c r="G14" s="29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29"/>
      <c r="Z14" s="72"/>
      <c r="AA14" s="72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2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</row>
    <row r="15" spans="1:78" ht="15" customHeight="1" x14ac:dyDescent="0.15">
      <c r="A15" s="25"/>
      <c r="D15" s="67" t="s">
        <v>90</v>
      </c>
      <c r="E15" s="68"/>
      <c r="F15" s="68"/>
      <c r="G15" s="68"/>
      <c r="I15" s="75" t="s">
        <v>91</v>
      </c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71"/>
      <c r="Z15" s="72"/>
      <c r="AA15" s="72"/>
      <c r="AB15" s="192" t="s">
        <v>55</v>
      </c>
      <c r="AC15" s="192"/>
      <c r="AD15" s="192"/>
      <c r="AE15" s="191" t="s">
        <v>78</v>
      </c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</row>
    <row r="16" spans="1:78" ht="3.75" customHeight="1" x14ac:dyDescent="0.15">
      <c r="A16" s="25"/>
      <c r="D16" s="31"/>
      <c r="E16" s="29"/>
      <c r="F16" s="29"/>
      <c r="G16" s="29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29"/>
      <c r="Z16" s="72"/>
      <c r="AA16" s="72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2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</row>
    <row r="17" spans="1:78" ht="15" customHeight="1" x14ac:dyDescent="0.15">
      <c r="A17" s="25"/>
      <c r="B17" s="29"/>
      <c r="D17" s="73"/>
      <c r="E17" s="5"/>
      <c r="F17" s="5"/>
      <c r="G17" s="5"/>
      <c r="H17" s="5"/>
      <c r="I17" s="5"/>
      <c r="J17" s="177"/>
      <c r="K17" s="177"/>
      <c r="L17" s="177"/>
      <c r="M17" s="5"/>
      <c r="N17" s="177"/>
      <c r="O17" s="177"/>
      <c r="P17" s="5"/>
      <c r="Q17" s="177"/>
      <c r="R17" s="177"/>
      <c r="S17" s="5"/>
      <c r="T17" s="5"/>
      <c r="U17" s="5"/>
      <c r="W17" s="72"/>
      <c r="X17" s="29"/>
      <c r="AB17" s="73" t="s">
        <v>6</v>
      </c>
      <c r="AC17" s="73"/>
      <c r="AD17" s="73"/>
      <c r="AE17" s="73"/>
      <c r="AF17" s="178" t="s">
        <v>86</v>
      </c>
      <c r="AG17" s="178"/>
      <c r="AH17" s="178"/>
      <c r="AI17" s="178"/>
      <c r="AJ17" s="178"/>
      <c r="AK17" s="178"/>
      <c r="AL17" s="178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</row>
    <row r="18" spans="1:78" ht="7.5" customHeight="1" x14ac:dyDescent="0.15">
      <c r="A18" s="25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</row>
    <row r="19" spans="1:78" ht="15" customHeight="1" x14ac:dyDescent="0.25">
      <c r="A19" s="25"/>
      <c r="J19" s="80">
        <f>H39</f>
        <v>96800</v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AB19" s="179"/>
      <c r="AC19" s="180"/>
      <c r="AD19" s="180"/>
      <c r="AE19" s="180"/>
      <c r="AF19" s="181"/>
      <c r="AG19" s="179"/>
      <c r="AH19" s="180"/>
      <c r="AI19" s="180"/>
      <c r="AJ19" s="180"/>
      <c r="AK19" s="181"/>
      <c r="AL19" s="179"/>
      <c r="AM19" s="180"/>
      <c r="AN19" s="180"/>
      <c r="AO19" s="180"/>
      <c r="AP19" s="181"/>
      <c r="AQ19" s="13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</row>
    <row r="20" spans="1:78" ht="11.25" customHeight="1" x14ac:dyDescent="0.15">
      <c r="A20" s="25"/>
      <c r="D20" s="166" t="s">
        <v>87</v>
      </c>
      <c r="E20" s="166"/>
      <c r="F20" s="166"/>
      <c r="G20" s="166"/>
      <c r="H20" s="166"/>
      <c r="I20" s="166"/>
      <c r="J20" s="168">
        <f>H39</f>
        <v>96800</v>
      </c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AB20" s="182"/>
      <c r="AC20" s="183"/>
      <c r="AD20" s="183"/>
      <c r="AE20" s="183"/>
      <c r="AF20" s="184"/>
      <c r="AG20" s="182"/>
      <c r="AH20" s="183"/>
      <c r="AI20" s="183"/>
      <c r="AJ20" s="183"/>
      <c r="AK20" s="184"/>
      <c r="AL20" s="182"/>
      <c r="AM20" s="183"/>
      <c r="AN20" s="183"/>
      <c r="AO20" s="183"/>
      <c r="AP20" s="184"/>
      <c r="AQ20" s="13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</row>
    <row r="21" spans="1:78" ht="9.6" customHeight="1" thickBot="1" x14ac:dyDescent="0.2">
      <c r="A21" s="25"/>
      <c r="D21" s="167"/>
      <c r="E21" s="167"/>
      <c r="F21" s="167"/>
      <c r="G21" s="167"/>
      <c r="H21" s="167"/>
      <c r="I21" s="167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AB21" s="182"/>
      <c r="AC21" s="183"/>
      <c r="AD21" s="183"/>
      <c r="AE21" s="183"/>
      <c r="AF21" s="184"/>
      <c r="AG21" s="182"/>
      <c r="AH21" s="183"/>
      <c r="AI21" s="183"/>
      <c r="AJ21" s="183"/>
      <c r="AK21" s="184"/>
      <c r="AL21" s="182"/>
      <c r="AM21" s="183"/>
      <c r="AN21" s="183"/>
      <c r="AO21" s="183"/>
      <c r="AP21" s="184"/>
      <c r="AQ21" s="13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</row>
    <row r="22" spans="1:78" ht="21" customHeight="1" x14ac:dyDescent="0.15">
      <c r="A22" s="25"/>
      <c r="B22" s="170" t="s">
        <v>150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72"/>
      <c r="AB22" s="185"/>
      <c r="AC22" s="186"/>
      <c r="AD22" s="186"/>
      <c r="AE22" s="186"/>
      <c r="AF22" s="187"/>
      <c r="AG22" s="185"/>
      <c r="AH22" s="186"/>
      <c r="AI22" s="186"/>
      <c r="AJ22" s="186"/>
      <c r="AK22" s="187"/>
      <c r="AL22" s="185"/>
      <c r="AM22" s="186"/>
      <c r="AN22" s="186"/>
      <c r="AO22" s="186"/>
      <c r="AP22" s="187"/>
      <c r="AQ22" s="13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spans="1:78" ht="7.5" customHeight="1" thickBot="1" x14ac:dyDescent="0.2">
      <c r="A23" s="25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ht="15" customHeight="1" x14ac:dyDescent="0.15">
      <c r="A24" s="25"/>
      <c r="B24" s="171" t="s">
        <v>8</v>
      </c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3"/>
      <c r="T24" s="158" t="s">
        <v>9</v>
      </c>
      <c r="U24" s="159"/>
      <c r="V24" s="159"/>
      <c r="W24" s="159"/>
      <c r="X24" s="159"/>
      <c r="Y24" s="159"/>
      <c r="Z24" s="160"/>
      <c r="AA24" s="158" t="s">
        <v>88</v>
      </c>
      <c r="AB24" s="159"/>
      <c r="AC24" s="159"/>
      <c r="AD24" s="159"/>
      <c r="AE24" s="159"/>
      <c r="AF24" s="158" t="s">
        <v>10</v>
      </c>
      <c r="AG24" s="159"/>
      <c r="AH24" s="159"/>
      <c r="AI24" s="159"/>
      <c r="AJ24" s="159"/>
      <c r="AK24" s="159"/>
      <c r="AL24" s="160"/>
      <c r="AM24" s="158" t="s">
        <v>11</v>
      </c>
      <c r="AN24" s="159"/>
      <c r="AO24" s="159"/>
      <c r="AP24" s="159"/>
      <c r="AQ24" s="159"/>
      <c r="AR24" s="159"/>
      <c r="AS24" s="164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  <row r="25" spans="1:78" ht="15" customHeight="1" x14ac:dyDescent="0.15">
      <c r="A25" s="25"/>
      <c r="B25" s="174"/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5"/>
      <c r="R25" s="175"/>
      <c r="S25" s="176"/>
      <c r="T25" s="161"/>
      <c r="U25" s="162"/>
      <c r="V25" s="162"/>
      <c r="W25" s="162"/>
      <c r="X25" s="162"/>
      <c r="Y25" s="162"/>
      <c r="Z25" s="163"/>
      <c r="AA25" s="161"/>
      <c r="AB25" s="162"/>
      <c r="AC25" s="162"/>
      <c r="AD25" s="162"/>
      <c r="AE25" s="162"/>
      <c r="AF25" s="161"/>
      <c r="AG25" s="162"/>
      <c r="AH25" s="162"/>
      <c r="AI25" s="162"/>
      <c r="AJ25" s="162"/>
      <c r="AK25" s="162"/>
      <c r="AL25" s="163"/>
      <c r="AM25" s="161"/>
      <c r="AN25" s="162"/>
      <c r="AO25" s="162"/>
      <c r="AP25" s="162"/>
      <c r="AQ25" s="162"/>
      <c r="AR25" s="162"/>
      <c r="AS25" s="165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</row>
    <row r="26" spans="1:78" ht="32.1" customHeight="1" x14ac:dyDescent="0.15">
      <c r="A26" s="25"/>
      <c r="B26" s="142" t="s">
        <v>203</v>
      </c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4"/>
      <c r="T26" s="153"/>
      <c r="U26" s="154"/>
      <c r="V26" s="154"/>
      <c r="W26" s="154"/>
      <c r="X26" s="155" t="s">
        <v>20</v>
      </c>
      <c r="Y26" s="155"/>
      <c r="Z26" s="156"/>
      <c r="AA26" s="153">
        <v>35000</v>
      </c>
      <c r="AB26" s="154"/>
      <c r="AC26" s="154"/>
      <c r="AD26" s="154"/>
      <c r="AE26" s="157"/>
      <c r="AF26" s="153">
        <f t="shared" ref="AF26:AF27" si="0">IF(T26="",1*AA26,T26*AA26)</f>
        <v>35000</v>
      </c>
      <c r="AG26" s="154"/>
      <c r="AH26" s="154"/>
      <c r="AI26" s="154"/>
      <c r="AJ26" s="154"/>
      <c r="AK26" s="154"/>
      <c r="AL26" s="157"/>
      <c r="AM26" s="150"/>
      <c r="AN26" s="151"/>
      <c r="AO26" s="151"/>
      <c r="AP26" s="151"/>
      <c r="AQ26" s="151"/>
      <c r="AR26" s="151"/>
      <c r="AS26" s="152"/>
      <c r="AT26" s="57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</row>
    <row r="27" spans="1:78" ht="32.1" customHeight="1" x14ac:dyDescent="0.15">
      <c r="A27" s="25"/>
      <c r="B27" s="142" t="s">
        <v>200</v>
      </c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4"/>
      <c r="T27" s="153"/>
      <c r="U27" s="154"/>
      <c r="V27" s="154"/>
      <c r="W27" s="154"/>
      <c r="X27" s="155" t="s">
        <v>20</v>
      </c>
      <c r="Y27" s="155"/>
      <c r="Z27" s="156"/>
      <c r="AA27" s="153">
        <v>45000</v>
      </c>
      <c r="AB27" s="154"/>
      <c r="AC27" s="154"/>
      <c r="AD27" s="154"/>
      <c r="AE27" s="157"/>
      <c r="AF27" s="153">
        <f t="shared" si="0"/>
        <v>45000</v>
      </c>
      <c r="AG27" s="154"/>
      <c r="AH27" s="154"/>
      <c r="AI27" s="154"/>
      <c r="AJ27" s="154"/>
      <c r="AK27" s="154"/>
      <c r="AL27" s="157"/>
      <c r="AM27" s="150"/>
      <c r="AN27" s="151"/>
      <c r="AO27" s="151"/>
      <c r="AP27" s="151"/>
      <c r="AQ27" s="151"/>
      <c r="AR27" s="151"/>
      <c r="AS27" s="152"/>
      <c r="AT27" s="57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</row>
    <row r="28" spans="1:78" ht="32.1" customHeight="1" x14ac:dyDescent="0.15">
      <c r="A28" s="25"/>
      <c r="B28" s="142" t="s">
        <v>201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4"/>
      <c r="T28" s="153"/>
      <c r="U28" s="154"/>
      <c r="V28" s="154"/>
      <c r="W28" s="154"/>
      <c r="X28" s="155" t="s">
        <v>20</v>
      </c>
      <c r="Y28" s="155"/>
      <c r="Z28" s="156"/>
      <c r="AA28" s="153">
        <v>3000</v>
      </c>
      <c r="AB28" s="154"/>
      <c r="AC28" s="154"/>
      <c r="AD28" s="154"/>
      <c r="AE28" s="157"/>
      <c r="AF28" s="153">
        <f>IF(T28="",1*AA28,T28*AA28)</f>
        <v>3000</v>
      </c>
      <c r="AG28" s="154"/>
      <c r="AH28" s="154"/>
      <c r="AI28" s="154"/>
      <c r="AJ28" s="154"/>
      <c r="AK28" s="154"/>
      <c r="AL28" s="157"/>
      <c r="AM28" s="150"/>
      <c r="AN28" s="151"/>
      <c r="AO28" s="151"/>
      <c r="AP28" s="151"/>
      <c r="AQ28" s="151"/>
      <c r="AR28" s="151"/>
      <c r="AS28" s="152"/>
      <c r="AT28" s="57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</row>
    <row r="29" spans="1:78" ht="32.1" customHeight="1" x14ac:dyDescent="0.15">
      <c r="A29" s="25"/>
      <c r="B29" s="142" t="s">
        <v>202</v>
      </c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4"/>
      <c r="T29" s="153"/>
      <c r="U29" s="154"/>
      <c r="V29" s="154"/>
      <c r="W29" s="154"/>
      <c r="X29" s="155" t="s">
        <v>20</v>
      </c>
      <c r="Y29" s="155"/>
      <c r="Z29" s="156"/>
      <c r="AA29" s="153">
        <v>5000</v>
      </c>
      <c r="AB29" s="154"/>
      <c r="AC29" s="154"/>
      <c r="AD29" s="154"/>
      <c r="AE29" s="157"/>
      <c r="AF29" s="153">
        <f t="shared" ref="AF29:AF32" si="1">IF(T29="",1*AA29,T29*AA29)</f>
        <v>5000</v>
      </c>
      <c r="AG29" s="154"/>
      <c r="AH29" s="154"/>
      <c r="AI29" s="154"/>
      <c r="AJ29" s="154"/>
      <c r="AK29" s="154"/>
      <c r="AL29" s="157"/>
      <c r="AM29" s="150"/>
      <c r="AN29" s="151"/>
      <c r="AO29" s="151"/>
      <c r="AP29" s="151"/>
      <c r="AQ29" s="151"/>
      <c r="AR29" s="151"/>
      <c r="AS29" s="152"/>
      <c r="AT29" s="5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</row>
    <row r="30" spans="1:78" ht="32.1" customHeight="1" x14ac:dyDescent="0.15">
      <c r="A30" s="25"/>
      <c r="B30" s="142" t="s">
        <v>198</v>
      </c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4"/>
      <c r="T30" s="153"/>
      <c r="U30" s="154"/>
      <c r="V30" s="154"/>
      <c r="W30" s="154"/>
      <c r="X30" s="155"/>
      <c r="Y30" s="155"/>
      <c r="Z30" s="156"/>
      <c r="AA30" s="153"/>
      <c r="AB30" s="154"/>
      <c r="AC30" s="154"/>
      <c r="AD30" s="154"/>
      <c r="AE30" s="157"/>
      <c r="AF30" s="153">
        <f t="shared" si="1"/>
        <v>0</v>
      </c>
      <c r="AG30" s="154"/>
      <c r="AH30" s="154"/>
      <c r="AI30" s="154"/>
      <c r="AJ30" s="154"/>
      <c r="AK30" s="154"/>
      <c r="AL30" s="157"/>
      <c r="AM30" s="150"/>
      <c r="AN30" s="151"/>
      <c r="AO30" s="151"/>
      <c r="AP30" s="151"/>
      <c r="AQ30" s="151"/>
      <c r="AR30" s="151"/>
      <c r="AS30" s="152"/>
      <c r="AT30" s="5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78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</row>
    <row r="31" spans="1:78" ht="32.1" customHeight="1" x14ac:dyDescent="0.15">
      <c r="A31" s="25"/>
      <c r="B31" s="142" t="s">
        <v>197</v>
      </c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4"/>
      <c r="T31" s="153"/>
      <c r="U31" s="154"/>
      <c r="V31" s="154"/>
      <c r="W31" s="154"/>
      <c r="X31" s="155"/>
      <c r="Y31" s="155"/>
      <c r="Z31" s="156"/>
      <c r="AA31" s="153"/>
      <c r="AB31" s="154"/>
      <c r="AC31" s="154"/>
      <c r="AD31" s="154"/>
      <c r="AE31" s="157"/>
      <c r="AF31" s="153">
        <f t="shared" si="1"/>
        <v>0</v>
      </c>
      <c r="AG31" s="154"/>
      <c r="AH31" s="154"/>
      <c r="AI31" s="154"/>
      <c r="AJ31" s="154"/>
      <c r="AK31" s="154"/>
      <c r="AL31" s="157"/>
      <c r="AM31" s="150"/>
      <c r="AN31" s="151"/>
      <c r="AO31" s="151"/>
      <c r="AP31" s="151"/>
      <c r="AQ31" s="151"/>
      <c r="AR31" s="151"/>
      <c r="AS31" s="152"/>
      <c r="AT31" s="5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</row>
    <row r="32" spans="1:78" ht="32.1" customHeight="1" x14ac:dyDescent="0.15">
      <c r="A32" s="25"/>
      <c r="B32" s="142" t="s">
        <v>199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4"/>
      <c r="T32" s="153"/>
      <c r="U32" s="154"/>
      <c r="V32" s="154"/>
      <c r="W32" s="154"/>
      <c r="X32" s="155"/>
      <c r="Y32" s="155"/>
      <c r="Z32" s="156"/>
      <c r="AA32" s="153"/>
      <c r="AB32" s="154"/>
      <c r="AC32" s="154"/>
      <c r="AD32" s="154"/>
      <c r="AE32" s="157"/>
      <c r="AF32" s="153">
        <f t="shared" si="1"/>
        <v>0</v>
      </c>
      <c r="AG32" s="154"/>
      <c r="AH32" s="154"/>
      <c r="AI32" s="154"/>
      <c r="AJ32" s="154"/>
      <c r="AK32" s="154"/>
      <c r="AL32" s="157"/>
      <c r="AM32" s="150"/>
      <c r="AN32" s="151"/>
      <c r="AO32" s="151"/>
      <c r="AP32" s="151"/>
      <c r="AQ32" s="151"/>
      <c r="AR32" s="151"/>
      <c r="AS32" s="152"/>
      <c r="AT32" s="5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</row>
    <row r="33" spans="1:78" ht="32.1" customHeight="1" x14ac:dyDescent="0.15">
      <c r="A33" s="25"/>
      <c r="B33" s="142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4"/>
      <c r="T33" s="153"/>
      <c r="U33" s="154"/>
      <c r="V33" s="154"/>
      <c r="W33" s="154"/>
      <c r="X33" s="155"/>
      <c r="Y33" s="155"/>
      <c r="Z33" s="156"/>
      <c r="AA33" s="153"/>
      <c r="AB33" s="154"/>
      <c r="AC33" s="154"/>
      <c r="AD33" s="154"/>
      <c r="AE33" s="157"/>
      <c r="AF33" s="153">
        <f>IF(T33="",1*AA33,T33*AA33)</f>
        <v>0</v>
      </c>
      <c r="AG33" s="154"/>
      <c r="AH33" s="154"/>
      <c r="AI33" s="154"/>
      <c r="AJ33" s="154"/>
      <c r="AK33" s="154"/>
      <c r="AL33" s="157"/>
      <c r="AM33" s="150"/>
      <c r="AN33" s="151"/>
      <c r="AO33" s="151"/>
      <c r="AP33" s="151"/>
      <c r="AQ33" s="151"/>
      <c r="AR33" s="151"/>
      <c r="AS33" s="152"/>
      <c r="AT33" s="5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 spans="1:78" ht="32.1" customHeight="1" x14ac:dyDescent="0.15">
      <c r="A34" s="25"/>
      <c r="B34" s="142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4"/>
      <c r="T34" s="153"/>
      <c r="U34" s="154"/>
      <c r="V34" s="154"/>
      <c r="W34" s="154"/>
      <c r="X34" s="155"/>
      <c r="Y34" s="155"/>
      <c r="Z34" s="156"/>
      <c r="AA34" s="153"/>
      <c r="AB34" s="154"/>
      <c r="AC34" s="154"/>
      <c r="AD34" s="154"/>
      <c r="AE34" s="157"/>
      <c r="AF34" s="153">
        <f>IF(T34="",1*AA34,T34*AA34)</f>
        <v>0</v>
      </c>
      <c r="AG34" s="154"/>
      <c r="AH34" s="154"/>
      <c r="AI34" s="154"/>
      <c r="AJ34" s="154"/>
      <c r="AK34" s="154"/>
      <c r="AL34" s="157"/>
      <c r="AM34" s="150"/>
      <c r="AN34" s="151"/>
      <c r="AO34" s="151"/>
      <c r="AP34" s="151"/>
      <c r="AQ34" s="151"/>
      <c r="AR34" s="151"/>
      <c r="AS34" s="152"/>
      <c r="AT34" s="5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</row>
    <row r="35" spans="1:78" ht="32.1" customHeight="1" x14ac:dyDescent="0.15">
      <c r="A35" s="25"/>
      <c r="B35" s="142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4"/>
      <c r="T35" s="153"/>
      <c r="U35" s="154"/>
      <c r="V35" s="154"/>
      <c r="W35" s="154"/>
      <c r="X35" s="155"/>
      <c r="Y35" s="155"/>
      <c r="Z35" s="156"/>
      <c r="AA35" s="153"/>
      <c r="AB35" s="154"/>
      <c r="AC35" s="154"/>
      <c r="AD35" s="154"/>
      <c r="AE35" s="157"/>
      <c r="AF35" s="153">
        <f>IF(T35="",1*AA35,T35*AA35)</f>
        <v>0</v>
      </c>
      <c r="AG35" s="154"/>
      <c r="AH35" s="154"/>
      <c r="AI35" s="154"/>
      <c r="AJ35" s="154"/>
      <c r="AK35" s="154"/>
      <c r="AL35" s="157"/>
      <c r="AM35" s="150"/>
      <c r="AN35" s="151"/>
      <c r="AO35" s="151"/>
      <c r="AP35" s="151"/>
      <c r="AQ35" s="151"/>
      <c r="AR35" s="151"/>
      <c r="AS35" s="152"/>
      <c r="AT35" s="5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</row>
    <row r="36" spans="1:78" ht="32.1" customHeight="1" x14ac:dyDescent="0.15">
      <c r="A36" s="25"/>
      <c r="B36" s="142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53"/>
      <c r="U36" s="154"/>
      <c r="V36" s="154"/>
      <c r="W36" s="154"/>
      <c r="X36" s="155"/>
      <c r="Y36" s="155"/>
      <c r="Z36" s="156"/>
      <c r="AA36" s="153"/>
      <c r="AB36" s="154"/>
      <c r="AC36" s="154"/>
      <c r="AD36" s="154"/>
      <c r="AE36" s="157"/>
      <c r="AF36" s="153">
        <f>IF(T36="",1*AA36,T36*AA36)</f>
        <v>0</v>
      </c>
      <c r="AG36" s="154"/>
      <c r="AH36" s="154"/>
      <c r="AI36" s="154"/>
      <c r="AJ36" s="154"/>
      <c r="AK36" s="154"/>
      <c r="AL36" s="157"/>
      <c r="AM36" s="150"/>
      <c r="AN36" s="151"/>
      <c r="AO36" s="151"/>
      <c r="AP36" s="151"/>
      <c r="AQ36" s="151"/>
      <c r="AR36" s="151"/>
      <c r="AS36" s="152"/>
      <c r="AT36" s="5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</row>
    <row r="37" spans="1:78" ht="32.1" customHeight="1" x14ac:dyDescent="0.15">
      <c r="A37" s="25"/>
      <c r="B37" s="142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5"/>
      <c r="U37" s="146"/>
      <c r="V37" s="146"/>
      <c r="W37" s="146"/>
      <c r="X37" s="147"/>
      <c r="Y37" s="147"/>
      <c r="Z37" s="148"/>
      <c r="AA37" s="145"/>
      <c r="AB37" s="146"/>
      <c r="AC37" s="146"/>
      <c r="AD37" s="146"/>
      <c r="AE37" s="149"/>
      <c r="AF37" s="145">
        <f>IF(T37="",1*AA37,T37*AA37)</f>
        <v>0</v>
      </c>
      <c r="AG37" s="146"/>
      <c r="AH37" s="146"/>
      <c r="AI37" s="146"/>
      <c r="AJ37" s="146"/>
      <c r="AK37" s="146"/>
      <c r="AL37" s="149"/>
      <c r="AM37" s="150"/>
      <c r="AN37" s="151"/>
      <c r="AO37" s="151"/>
      <c r="AP37" s="151"/>
      <c r="AQ37" s="151"/>
      <c r="AR37" s="151"/>
      <c r="AS37" s="152"/>
      <c r="AT37" s="5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</row>
    <row r="38" spans="1:78" ht="32.1" customHeight="1" x14ac:dyDescent="0.15">
      <c r="A38" s="25"/>
      <c r="B38" s="123" t="s">
        <v>130</v>
      </c>
      <c r="C38" s="106"/>
      <c r="D38" s="106"/>
      <c r="E38" s="106"/>
      <c r="F38" s="106"/>
      <c r="G38" s="85"/>
      <c r="H38" s="124">
        <f>AA38*0.1</f>
        <v>8800</v>
      </c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6"/>
      <c r="T38" s="84" t="s">
        <v>13</v>
      </c>
      <c r="U38" s="106"/>
      <c r="V38" s="106"/>
      <c r="W38" s="106"/>
      <c r="X38" s="106"/>
      <c r="Y38" s="106"/>
      <c r="Z38" s="85"/>
      <c r="AA38" s="127">
        <f>SUM(AF26:AL37)</f>
        <v>88000</v>
      </c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9"/>
      <c r="AM38" s="130"/>
      <c r="AN38" s="131"/>
      <c r="AO38" s="131"/>
      <c r="AP38" s="131"/>
      <c r="AQ38" s="131"/>
      <c r="AR38" s="131"/>
      <c r="AS38" s="132"/>
      <c r="AT38" s="5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</row>
    <row r="39" spans="1:78" ht="32.1" customHeight="1" thickBot="1" x14ac:dyDescent="0.2">
      <c r="A39" s="25"/>
      <c r="B39" s="133" t="s">
        <v>7</v>
      </c>
      <c r="C39" s="134"/>
      <c r="D39" s="134"/>
      <c r="E39" s="134"/>
      <c r="F39" s="134"/>
      <c r="G39" s="135"/>
      <c r="H39" s="136">
        <f>CK115+H38</f>
        <v>96800</v>
      </c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8"/>
      <c r="AM39" s="139"/>
      <c r="AN39" s="140"/>
      <c r="AO39" s="140"/>
      <c r="AP39" s="140"/>
      <c r="AQ39" s="140"/>
      <c r="AR39" s="140"/>
      <c r="AS39" s="141"/>
      <c r="AT39" s="5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</row>
    <row r="40" spans="1:78" ht="15" customHeight="1" x14ac:dyDescent="0.15">
      <c r="A40" s="25"/>
      <c r="B40" s="113" t="s">
        <v>14</v>
      </c>
      <c r="C40" s="114"/>
      <c r="D40" s="114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6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</row>
    <row r="41" spans="1:78" ht="17.100000000000001" customHeight="1" x14ac:dyDescent="0.15">
      <c r="A41" s="25"/>
      <c r="B41" s="117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9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</row>
    <row r="42" spans="1:78" ht="17.100000000000001" customHeight="1" thickBot="1" x14ac:dyDescent="0.2">
      <c r="A42" s="25"/>
      <c r="B42" s="120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2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</row>
    <row r="43" spans="1:78" ht="17.100000000000001" customHeight="1" thickTop="1" x14ac:dyDescent="0.15">
      <c r="A43" s="2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</row>
    <row r="44" spans="1:78" ht="69.75" customHeight="1" x14ac:dyDescent="0.15">
      <c r="A44" s="2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05"/>
      <c r="O44" s="105"/>
      <c r="P44" s="105"/>
      <c r="Q44" s="105"/>
      <c r="R44" s="105"/>
      <c r="S44" s="105"/>
      <c r="T44" s="105"/>
      <c r="U44" s="105"/>
      <c r="V44" s="105"/>
      <c r="W44" s="1"/>
      <c r="X44" s="50"/>
      <c r="Y44" s="16"/>
      <c r="Z44" s="15"/>
      <c r="AA44" s="15"/>
      <c r="AB44" s="111"/>
      <c r="AC44" s="111"/>
      <c r="AD44" s="111"/>
      <c r="AE44" s="15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</row>
    <row r="45" spans="1:78" ht="15" customHeight="1" x14ac:dyDescent="0.15">
      <c r="A45" s="25"/>
      <c r="B45" s="1"/>
      <c r="C45" s="1"/>
      <c r="D45" s="1"/>
      <c r="E45" s="1"/>
      <c r="F45" s="1"/>
      <c r="G45" s="1"/>
      <c r="H45" s="1"/>
      <c r="I45" s="1"/>
      <c r="J45" s="51"/>
      <c r="K45" s="1"/>
      <c r="L45" s="1"/>
      <c r="M45" s="1"/>
      <c r="N45" s="109"/>
      <c r="O45" s="109"/>
      <c r="P45" s="107"/>
      <c r="Q45" s="107"/>
      <c r="R45" s="107"/>
      <c r="S45" s="107"/>
      <c r="T45" s="107"/>
      <c r="U45" s="107"/>
      <c r="V45" s="107"/>
      <c r="W45" s="1"/>
      <c r="X45" s="52"/>
      <c r="Y45" s="53"/>
      <c r="Z45" s="15"/>
      <c r="AA45" s="15"/>
      <c r="AB45" s="112"/>
      <c r="AC45" s="112"/>
      <c r="AD45" s="54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</row>
    <row r="46" spans="1:78" ht="15" customHeight="1" x14ac:dyDescent="0.15">
      <c r="A46" s="2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09"/>
      <c r="O46" s="109"/>
      <c r="P46" s="107"/>
      <c r="Q46" s="107"/>
      <c r="R46" s="107"/>
      <c r="S46" s="107"/>
      <c r="T46" s="107"/>
      <c r="U46" s="107"/>
      <c r="V46" s="107"/>
      <c r="W46" s="1"/>
      <c r="X46" s="52"/>
      <c r="Y46" s="53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</row>
    <row r="47" spans="1:78" ht="15" customHeight="1" x14ac:dyDescent="0.15">
      <c r="A47" s="2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09"/>
      <c r="O47" s="109"/>
      <c r="P47" s="107"/>
      <c r="Q47" s="107"/>
      <c r="R47" s="107"/>
      <c r="S47" s="107"/>
      <c r="T47" s="107"/>
      <c r="U47" s="107"/>
      <c r="V47" s="107"/>
      <c r="W47" s="1"/>
      <c r="X47" s="52"/>
      <c r="Y47" s="53"/>
      <c r="Z47" s="15"/>
      <c r="AA47" s="111"/>
      <c r="AB47" s="111"/>
      <c r="AC47" s="111"/>
      <c r="AD47" s="111"/>
      <c r="AE47" s="111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</row>
    <row r="48" spans="1:78" ht="15" customHeight="1" x14ac:dyDescent="0.15">
      <c r="A48" s="2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09"/>
      <c r="O48" s="109"/>
      <c r="P48" s="107"/>
      <c r="Q48" s="107"/>
      <c r="R48" s="107"/>
      <c r="S48" s="107"/>
      <c r="T48" s="107"/>
      <c r="U48" s="107"/>
      <c r="V48" s="107"/>
      <c r="W48" s="1"/>
      <c r="X48" s="52"/>
      <c r="Y48" s="53"/>
      <c r="Z48" s="15"/>
      <c r="AA48" s="55"/>
      <c r="AB48" s="112"/>
      <c r="AC48" s="112"/>
      <c r="AD48" s="112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</row>
    <row r="49" spans="1:78" ht="15" customHeight="1" x14ac:dyDescent="0.15">
      <c r="A49" s="2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09"/>
      <c r="O49" s="109"/>
      <c r="P49" s="107"/>
      <c r="Q49" s="107"/>
      <c r="R49" s="107"/>
      <c r="S49" s="107"/>
      <c r="T49" s="107"/>
      <c r="U49" s="107"/>
      <c r="V49" s="107"/>
      <c r="W49" s="1"/>
      <c r="X49" s="52"/>
      <c r="Y49" s="53"/>
      <c r="Z49" s="15"/>
      <c r="AA49" s="55"/>
      <c r="AB49" s="112"/>
      <c r="AC49" s="112"/>
      <c r="AD49" s="112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</row>
    <row r="50" spans="1:78" ht="15" customHeight="1" x14ac:dyDescent="0.15">
      <c r="A50" s="2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09"/>
      <c r="O50" s="109"/>
      <c r="P50" s="107"/>
      <c r="Q50" s="107"/>
      <c r="R50" s="107"/>
      <c r="S50" s="107"/>
      <c r="T50" s="107"/>
      <c r="U50" s="107"/>
      <c r="V50" s="107"/>
      <c r="W50" s="1"/>
      <c r="X50" s="52"/>
      <c r="Y50" s="52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</row>
    <row r="51" spans="1:78" ht="15" customHeight="1" x14ac:dyDescent="0.15">
      <c r="A51" s="2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09"/>
      <c r="O51" s="109"/>
      <c r="P51" s="107"/>
      <c r="Q51" s="107"/>
      <c r="R51" s="107"/>
      <c r="S51" s="107"/>
      <c r="T51" s="107"/>
      <c r="U51" s="107"/>
      <c r="V51" s="107"/>
      <c r="W51" s="1"/>
      <c r="X51" s="52"/>
      <c r="Y51" s="52"/>
      <c r="Z51" s="15"/>
      <c r="AA51" s="110"/>
      <c r="AB51" s="110"/>
      <c r="AC51" s="110"/>
      <c r="AD51" s="110"/>
      <c r="AE51" s="110"/>
      <c r="AF51" s="110"/>
      <c r="AG51" s="110"/>
      <c r="AH51" s="110"/>
      <c r="AI51" s="110"/>
      <c r="AJ51" s="111"/>
      <c r="AK51" s="111"/>
      <c r="AL51" s="111"/>
      <c r="AM51" s="111"/>
      <c r="AN51" s="111"/>
      <c r="AO51" s="111"/>
      <c r="AP51" s="11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</row>
    <row r="52" spans="1:78" ht="15" customHeight="1" x14ac:dyDescent="0.15">
      <c r="A52" s="2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09"/>
      <c r="O52" s="109"/>
      <c r="P52" s="107"/>
      <c r="Q52" s="107"/>
      <c r="R52" s="107"/>
      <c r="S52" s="107"/>
      <c r="T52" s="107"/>
      <c r="U52" s="107"/>
      <c r="V52" s="107"/>
      <c r="W52" s="1"/>
      <c r="X52" s="52"/>
      <c r="Y52" s="53"/>
      <c r="Z52" s="15"/>
      <c r="AA52" s="55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"/>
      <c r="AR52" s="1"/>
      <c r="AS52" s="1"/>
      <c r="AT52" s="1"/>
      <c r="AU52" s="1"/>
      <c r="AV52" s="1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</row>
    <row r="53" spans="1:78" ht="15" customHeight="1" x14ac:dyDescent="0.15">
      <c r="A53" s="2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09"/>
      <c r="O53" s="109"/>
      <c r="P53" s="107"/>
      <c r="Q53" s="107"/>
      <c r="R53" s="107"/>
      <c r="S53" s="107"/>
      <c r="T53" s="107"/>
      <c r="U53" s="107"/>
      <c r="V53" s="107"/>
      <c r="W53" s="1"/>
      <c r="X53" s="52"/>
      <c r="Y53" s="53"/>
      <c r="Z53" s="15"/>
      <c r="AA53" s="55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"/>
      <c r="AR53" s="1"/>
      <c r="AS53" s="1"/>
      <c r="AT53" s="1"/>
      <c r="AU53" s="1"/>
      <c r="AV53" s="1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</row>
    <row r="54" spans="1:78" ht="15" customHeight="1" x14ac:dyDescent="0.15">
      <c r="A54" s="2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09"/>
      <c r="O54" s="109"/>
      <c r="P54" s="107"/>
      <c r="Q54" s="107"/>
      <c r="R54" s="107"/>
      <c r="S54" s="107"/>
      <c r="T54" s="107"/>
      <c r="U54" s="107"/>
      <c r="V54" s="107"/>
      <c r="W54" s="1"/>
      <c r="X54" s="52"/>
      <c r="Y54" s="53"/>
      <c r="Z54" s="15"/>
      <c r="AA54" s="55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"/>
      <c r="AR54" s="1"/>
      <c r="AS54" s="1"/>
      <c r="AT54" s="1"/>
      <c r="AU54" s="1"/>
      <c r="AV54" s="1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</row>
    <row r="55" spans="1:78" ht="15" customHeight="1" x14ac:dyDescent="0.15">
      <c r="A55" s="2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09"/>
      <c r="O55" s="109"/>
      <c r="P55" s="107"/>
      <c r="Q55" s="107"/>
      <c r="R55" s="107"/>
      <c r="S55" s="107"/>
      <c r="T55" s="107"/>
      <c r="U55" s="107"/>
      <c r="V55" s="107"/>
      <c r="W55" s="1"/>
      <c r="X55" s="52"/>
      <c r="Y55" s="53"/>
      <c r="Z55" s="15"/>
      <c r="AA55" s="55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"/>
      <c r="AR55" s="1"/>
      <c r="AS55" s="1"/>
      <c r="AT55" s="1"/>
      <c r="AU55" s="1"/>
      <c r="AV55" s="1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</row>
    <row r="56" spans="1:78" ht="15" customHeight="1" x14ac:dyDescent="0.15">
      <c r="A56" s="2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05"/>
      <c r="O56" s="105"/>
      <c r="P56" s="107">
        <f>SUM(CK115:CQ115)</f>
        <v>88000</v>
      </c>
      <c r="Q56" s="107"/>
      <c r="R56" s="107"/>
      <c r="S56" s="107"/>
      <c r="T56" s="107"/>
      <c r="U56" s="107"/>
      <c r="V56" s="107"/>
      <c r="W56" s="1"/>
      <c r="X56" s="52"/>
      <c r="Y56" s="53"/>
      <c r="Z56" s="15"/>
      <c r="AA56" s="55"/>
      <c r="AB56" s="108"/>
      <c r="AC56" s="108"/>
      <c r="AD56" s="108"/>
      <c r="AE56" s="108"/>
      <c r="AF56" s="108"/>
      <c r="AG56" s="108"/>
      <c r="AH56" s="108"/>
      <c r="AI56" s="108"/>
      <c r="AJ56" s="108"/>
      <c r="AK56" s="108"/>
      <c r="AL56" s="108"/>
      <c r="AM56" s="108"/>
      <c r="AN56" s="108"/>
      <c r="AO56" s="108"/>
      <c r="AP56" s="108"/>
      <c r="AQ56" s="1"/>
      <c r="AR56" s="1"/>
      <c r="AS56" s="1"/>
      <c r="AT56" s="1"/>
      <c r="AU56" s="1"/>
      <c r="AV56" s="1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</row>
    <row r="57" spans="1:78" ht="15" customHeight="1" x14ac:dyDescent="0.15">
      <c r="A57" s="2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2"/>
      <c r="Y57" s="53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"/>
      <c r="AR57" s="1"/>
      <c r="AS57" s="1"/>
      <c r="AT57" s="1"/>
      <c r="AU57" s="1"/>
      <c r="AV57" s="1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</row>
    <row r="58" spans="1:78" ht="15" customHeight="1" x14ac:dyDescent="0.15">
      <c r="A58" s="2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</row>
    <row r="59" spans="1:78" ht="15" customHeight="1" x14ac:dyDescent="0.15">
      <c r="A59" s="2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</row>
    <row r="60" spans="1:78" ht="15" customHeight="1" x14ac:dyDescent="0.15">
      <c r="A60" s="2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02"/>
      <c r="O60" s="102"/>
      <c r="P60" s="102"/>
      <c r="Q60" s="102"/>
      <c r="R60" s="103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"/>
      <c r="AR60" s="105"/>
      <c r="AS60" s="105"/>
      <c r="AT60" s="74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</row>
    <row r="61" spans="1:78" ht="15" customHeight="1" x14ac:dyDescent="0.15">
      <c r="A61" s="2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74"/>
      <c r="AV61" s="74"/>
      <c r="AW61" s="74"/>
      <c r="AX61" s="74"/>
      <c r="AY61" s="74"/>
      <c r="AZ61" s="74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</row>
    <row r="62" spans="1:78" ht="15" customHeight="1" x14ac:dyDescent="0.15">
      <c r="A62" s="2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</row>
    <row r="63" spans="1:78" ht="15" customHeight="1" x14ac:dyDescent="0.15">
      <c r="A63" s="2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</row>
    <row r="64" spans="1:78" ht="15" customHeight="1" x14ac:dyDescent="0.15">
      <c r="A64" s="2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</row>
    <row r="65" spans="1:78" ht="15" customHeight="1" x14ac:dyDescent="0.15">
      <c r="A65" s="2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</row>
    <row r="66" spans="1:78" ht="15" customHeight="1" x14ac:dyDescent="0.15">
      <c r="A66" s="2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</row>
    <row r="67" spans="1:78" ht="15" customHeight="1" x14ac:dyDescent="0.15">
      <c r="A67" s="2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ht="15" customHeight="1" x14ac:dyDescent="0.15">
      <c r="A68" s="2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ht="15" customHeight="1" x14ac:dyDescent="0.15">
      <c r="A69" s="2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ht="15" customHeight="1" x14ac:dyDescent="0.15">
      <c r="A70" s="25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100" spans="79:165" ht="15" customHeight="1" x14ac:dyDescent="0.15">
      <c r="FB100" s="59" t="s">
        <v>60</v>
      </c>
      <c r="FC100" s="59" t="s">
        <v>61</v>
      </c>
      <c r="FD100" s="59" t="s">
        <v>62</v>
      </c>
      <c r="FE100" s="59" t="s">
        <v>63</v>
      </c>
      <c r="FF100" s="59" t="s">
        <v>16</v>
      </c>
      <c r="FG100" s="59" t="s">
        <v>16</v>
      </c>
      <c r="FH100" s="59" t="s">
        <v>64</v>
      </c>
      <c r="FI100" s="59" t="s">
        <v>65</v>
      </c>
    </row>
    <row r="101" spans="79:165" ht="15" customHeight="1" x14ac:dyDescent="0.15">
      <c r="CA101" s="40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  <c r="CT101" s="41"/>
      <c r="CU101" s="41"/>
      <c r="CV101" s="41"/>
      <c r="CW101" s="41"/>
      <c r="CX101" s="41"/>
      <c r="CY101" s="41"/>
      <c r="CZ101" s="41"/>
      <c r="DA101" s="41"/>
      <c r="DB101" s="41"/>
      <c r="DC101" s="41"/>
      <c r="DD101" s="41"/>
      <c r="DE101" s="41"/>
      <c r="DF101" s="41"/>
      <c r="DG101" s="41"/>
      <c r="DH101" s="41"/>
      <c r="DI101" s="41"/>
      <c r="DJ101" s="41"/>
      <c r="DK101" s="41"/>
      <c r="DL101" s="41"/>
      <c r="DM101" s="41"/>
      <c r="DN101" s="41"/>
      <c r="DO101" s="41"/>
      <c r="DP101" s="41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2"/>
      <c r="FB101" s="60">
        <v>0</v>
      </c>
      <c r="FC101" s="61">
        <v>1</v>
      </c>
      <c r="FD101" s="61" t="str">
        <f>B26</f>
        <v>　出張費</v>
      </c>
      <c r="FE101" s="61">
        <f>T26</f>
        <v>0</v>
      </c>
      <c r="FF101" s="61" t="str">
        <f>X26</f>
        <v>一式</v>
      </c>
      <c r="FG101" s="61">
        <f>AA26</f>
        <v>35000</v>
      </c>
      <c r="FH101" s="61">
        <f>AF26</f>
        <v>35000</v>
      </c>
      <c r="FI101" s="61">
        <f>AM26</f>
        <v>0</v>
      </c>
    </row>
    <row r="102" spans="79:165" ht="15" customHeight="1" x14ac:dyDescent="0.15">
      <c r="CA102" s="43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51" t="s">
        <v>58</v>
      </c>
      <c r="EN102" s="1"/>
      <c r="EO102" s="1"/>
      <c r="EP102" s="44"/>
      <c r="FB102" s="60">
        <v>0</v>
      </c>
      <c r="FC102" s="61">
        <v>2</v>
      </c>
      <c r="FD102" s="61" t="str">
        <f t="shared" ref="FD102:FD112" si="2">B27</f>
        <v>配送費　日帰り　4/4展示会当日　片道150キロ　＠300</v>
      </c>
      <c r="FE102" s="61">
        <f t="shared" ref="FE102:FE112" si="3">T27</f>
        <v>0</v>
      </c>
      <c r="FF102" s="61" t="str">
        <f t="shared" ref="FF102:FF112" si="4">X27</f>
        <v>一式</v>
      </c>
      <c r="FG102" s="61">
        <f t="shared" ref="FG102:FG112" si="5">AA27</f>
        <v>45000</v>
      </c>
      <c r="FH102" s="61">
        <f t="shared" ref="FH102:FH112" si="6">AF27</f>
        <v>45000</v>
      </c>
      <c r="FI102" s="61">
        <f t="shared" ref="FI102:FI112" si="7">AM27</f>
        <v>0</v>
      </c>
    </row>
    <row r="103" spans="79:165" ht="15" customHeight="1" x14ac:dyDescent="0.15">
      <c r="CA103" s="43"/>
      <c r="CB103" s="1"/>
      <c r="CC103" s="1"/>
      <c r="CD103" s="1"/>
      <c r="CE103" s="49" t="s">
        <v>50</v>
      </c>
      <c r="CF103" s="1"/>
      <c r="CG103" s="1"/>
      <c r="CH103" s="1"/>
      <c r="CI103" s="84" t="s">
        <v>15</v>
      </c>
      <c r="CJ103" s="106"/>
      <c r="CK103" s="106"/>
      <c r="CL103" s="106"/>
      <c r="CM103" s="106"/>
      <c r="CN103" s="106"/>
      <c r="CO103" s="106"/>
      <c r="CP103" s="106"/>
      <c r="CQ103" s="85"/>
      <c r="CR103" s="1"/>
      <c r="CS103" s="26" t="s">
        <v>16</v>
      </c>
      <c r="CT103" s="14"/>
      <c r="CU103" s="15"/>
      <c r="CV103" s="15"/>
      <c r="CW103" s="95" t="s">
        <v>12</v>
      </c>
      <c r="CX103" s="95"/>
      <c r="CY103" s="95"/>
      <c r="CZ103" s="15"/>
      <c r="DA103" s="16"/>
      <c r="DB103" s="16"/>
      <c r="DC103" s="16"/>
      <c r="DD103" s="35" t="s">
        <v>49</v>
      </c>
      <c r="DE103" s="36"/>
      <c r="DF103" s="36"/>
      <c r="DG103" s="36"/>
      <c r="DH103" s="36"/>
      <c r="DI103" s="36"/>
      <c r="DJ103" s="37"/>
      <c r="DK103" s="15"/>
      <c r="DL103" s="1"/>
      <c r="DM103" s="101" t="s">
        <v>56</v>
      </c>
      <c r="DN103" s="101"/>
      <c r="DO103" s="101"/>
      <c r="DP103" s="101"/>
      <c r="DQ103" s="101"/>
      <c r="DR103" s="10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51" t="s">
        <v>59</v>
      </c>
      <c r="EN103" s="1"/>
      <c r="EO103" s="1"/>
      <c r="EP103" s="44"/>
      <c r="FB103" s="60">
        <v>0</v>
      </c>
      <c r="FC103" s="61">
        <v>3</v>
      </c>
      <c r="FD103" s="61" t="str">
        <f t="shared" si="2"/>
        <v>　1日分燃料</v>
      </c>
      <c r="FE103" s="61">
        <f t="shared" si="3"/>
        <v>0</v>
      </c>
      <c r="FF103" s="61" t="str">
        <f t="shared" si="4"/>
        <v>一式</v>
      </c>
      <c r="FG103" s="61">
        <f t="shared" si="5"/>
        <v>3000</v>
      </c>
      <c r="FH103" s="61">
        <f t="shared" si="6"/>
        <v>3000</v>
      </c>
      <c r="FI103" s="61">
        <f t="shared" si="7"/>
        <v>0</v>
      </c>
    </row>
    <row r="104" spans="79:165" ht="15" customHeight="1" x14ac:dyDescent="0.15">
      <c r="CA104" s="43"/>
      <c r="CB104" s="1"/>
      <c r="CC104" s="1"/>
      <c r="CD104" s="1"/>
      <c r="CE104" s="48">
        <v>3</v>
      </c>
      <c r="CF104" s="1"/>
      <c r="CG104" s="1"/>
      <c r="CH104" s="1"/>
      <c r="CI104" s="89">
        <v>0</v>
      </c>
      <c r="CJ104" s="89"/>
      <c r="CK104" s="90">
        <f>AA38</f>
        <v>88000</v>
      </c>
      <c r="CL104" s="90"/>
      <c r="CM104" s="90"/>
      <c r="CN104" s="90"/>
      <c r="CO104" s="90"/>
      <c r="CP104" s="90"/>
      <c r="CQ104" s="90"/>
      <c r="CR104" s="1"/>
      <c r="CS104" s="17" t="s">
        <v>17</v>
      </c>
      <c r="CT104" s="18"/>
      <c r="CU104" s="15"/>
      <c r="CV104" s="15"/>
      <c r="CW104" s="96">
        <v>5</v>
      </c>
      <c r="CX104" s="97"/>
      <c r="CY104" s="19" t="s">
        <v>18</v>
      </c>
      <c r="CZ104" s="15"/>
      <c r="DA104" s="15"/>
      <c r="DB104" s="15"/>
      <c r="DC104" s="15"/>
      <c r="DD104" s="38" t="s">
        <v>44</v>
      </c>
      <c r="DE104" s="39"/>
      <c r="DF104" s="39"/>
      <c r="DG104" s="39"/>
      <c r="DH104" s="39"/>
      <c r="DI104" s="39"/>
      <c r="DJ104" s="22"/>
      <c r="DK104" s="15"/>
      <c r="DL104" s="1"/>
      <c r="DM104" s="98" t="s">
        <v>57</v>
      </c>
      <c r="DN104" s="99"/>
      <c r="DO104" s="99"/>
      <c r="DP104" s="99"/>
      <c r="DQ104" s="99"/>
      <c r="DR104" s="100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44"/>
      <c r="FB104" s="60">
        <v>0</v>
      </c>
      <c r="FC104" s="61">
        <v>4</v>
      </c>
      <c r="FD104" s="61" t="str">
        <f>B29</f>
        <v>発電機　ディーゼル　25KVA　レンタル4月4日　1日</v>
      </c>
      <c r="FE104" s="61">
        <f t="shared" si="3"/>
        <v>0</v>
      </c>
      <c r="FF104" s="61" t="str">
        <f t="shared" si="4"/>
        <v>一式</v>
      </c>
      <c r="FG104" s="61">
        <f t="shared" si="5"/>
        <v>5000</v>
      </c>
      <c r="FH104" s="61">
        <f t="shared" si="6"/>
        <v>5000</v>
      </c>
      <c r="FI104" s="61">
        <f t="shared" si="7"/>
        <v>0</v>
      </c>
    </row>
    <row r="105" spans="79:165" ht="15" customHeight="1" x14ac:dyDescent="0.15">
      <c r="CA105" s="43"/>
      <c r="CB105" s="1"/>
      <c r="CC105" s="1"/>
      <c r="CD105" s="1"/>
      <c r="CE105" s="48">
        <f>MAX(FB401:FB642)</f>
        <v>0</v>
      </c>
      <c r="CF105" s="1"/>
      <c r="CG105" s="1"/>
      <c r="CH105" s="1"/>
      <c r="CI105" s="89">
        <v>1</v>
      </c>
      <c r="CJ105" s="89"/>
      <c r="CK105" s="90">
        <f>IF(ISERROR(#REF!),0,#REF!)</f>
        <v>0</v>
      </c>
      <c r="CL105" s="90"/>
      <c r="CM105" s="90"/>
      <c r="CN105" s="90"/>
      <c r="CO105" s="90"/>
      <c r="CP105" s="90"/>
      <c r="CQ105" s="90"/>
      <c r="CR105" s="1"/>
      <c r="CS105" s="17" t="s">
        <v>19</v>
      </c>
      <c r="CT105" s="18"/>
      <c r="CU105" s="15"/>
      <c r="CV105" s="15"/>
      <c r="CW105" s="15"/>
      <c r="CX105" s="15"/>
      <c r="CY105" s="15"/>
      <c r="CZ105" s="15"/>
      <c r="DA105" s="15"/>
      <c r="DB105" s="15"/>
      <c r="DC105" s="15"/>
      <c r="DD105" s="38" t="s">
        <v>45</v>
      </c>
      <c r="DE105" s="39"/>
      <c r="DF105" s="39"/>
      <c r="DG105" s="39"/>
      <c r="DH105" s="39"/>
      <c r="DI105" s="39"/>
      <c r="DJ105" s="22"/>
      <c r="DK105" s="15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44"/>
      <c r="FB105" s="60">
        <v>0</v>
      </c>
      <c r="FC105" s="61">
        <v>5</v>
      </c>
      <c r="FD105" s="61" t="e">
        <f>#REF!</f>
        <v>#REF!</v>
      </c>
      <c r="FE105" s="61">
        <f t="shared" si="3"/>
        <v>0</v>
      </c>
      <c r="FF105" s="61">
        <f t="shared" si="4"/>
        <v>0</v>
      </c>
      <c r="FG105" s="61">
        <f t="shared" si="5"/>
        <v>0</v>
      </c>
      <c r="FH105" s="61">
        <f t="shared" si="6"/>
        <v>0</v>
      </c>
      <c r="FI105" s="61">
        <f t="shared" si="7"/>
        <v>0</v>
      </c>
    </row>
    <row r="106" spans="79:165" ht="15" customHeight="1" x14ac:dyDescent="0.15">
      <c r="CA106" s="43"/>
      <c r="CB106" s="1"/>
      <c r="CC106" s="1"/>
      <c r="CD106" s="1"/>
      <c r="CE106" s="48">
        <v>1</v>
      </c>
      <c r="CF106" s="1"/>
      <c r="CG106" s="1"/>
      <c r="CH106" s="1"/>
      <c r="CI106" s="89">
        <v>2</v>
      </c>
      <c r="CJ106" s="89"/>
      <c r="CK106" s="90">
        <f>IF(ISERROR(#REF!),0,#REF!)</f>
        <v>0</v>
      </c>
      <c r="CL106" s="90"/>
      <c r="CM106" s="90"/>
      <c r="CN106" s="90"/>
      <c r="CO106" s="90"/>
      <c r="CP106" s="90"/>
      <c r="CQ106" s="90"/>
      <c r="CR106" s="1"/>
      <c r="CS106" s="20" t="s">
        <v>20</v>
      </c>
      <c r="CT106" s="21"/>
      <c r="CU106" s="15"/>
      <c r="CV106" s="95" t="s">
        <v>21</v>
      </c>
      <c r="CW106" s="95"/>
      <c r="CX106" s="95"/>
      <c r="CY106" s="95"/>
      <c r="CZ106" s="95"/>
      <c r="DA106" s="15"/>
      <c r="DB106" s="15"/>
      <c r="DC106" s="15"/>
      <c r="DD106" s="38" t="s">
        <v>46</v>
      </c>
      <c r="DE106" s="39"/>
      <c r="DF106" s="39"/>
      <c r="DG106" s="39"/>
      <c r="DH106" s="39"/>
      <c r="DI106" s="39"/>
      <c r="DJ106" s="22"/>
      <c r="DK106" s="15"/>
      <c r="DL106" s="1"/>
      <c r="DM106" s="101" t="s">
        <v>67</v>
      </c>
      <c r="DN106" s="101"/>
      <c r="DO106" s="101"/>
      <c r="DP106" s="101"/>
      <c r="DQ106" s="101"/>
      <c r="DR106" s="10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44"/>
      <c r="FB106" s="60">
        <v>0</v>
      </c>
      <c r="FC106" s="61">
        <v>6</v>
      </c>
      <c r="FD106" s="61" t="e">
        <f>#REF!</f>
        <v>#REF!</v>
      </c>
      <c r="FE106" s="61">
        <f t="shared" si="3"/>
        <v>0</v>
      </c>
      <c r="FF106" s="61">
        <f t="shared" si="4"/>
        <v>0</v>
      </c>
      <c r="FG106" s="61">
        <f t="shared" si="5"/>
        <v>0</v>
      </c>
      <c r="FH106" s="61">
        <f t="shared" si="6"/>
        <v>0</v>
      </c>
      <c r="FI106" s="61">
        <f t="shared" si="7"/>
        <v>0</v>
      </c>
    </row>
    <row r="107" spans="79:165" ht="15" customHeight="1" x14ac:dyDescent="0.15">
      <c r="CA107" s="43"/>
      <c r="CB107" s="1"/>
      <c r="CC107" s="1"/>
      <c r="CD107" s="1"/>
      <c r="CE107" s="48">
        <v>0</v>
      </c>
      <c r="CF107" s="1"/>
      <c r="CG107" s="1"/>
      <c r="CH107" s="1"/>
      <c r="CI107" s="89">
        <v>3</v>
      </c>
      <c r="CJ107" s="89"/>
      <c r="CK107" s="90">
        <f>IF(ISERROR(#REF!),0,#REF!)</f>
        <v>0</v>
      </c>
      <c r="CL107" s="90"/>
      <c r="CM107" s="90"/>
      <c r="CN107" s="90"/>
      <c r="CO107" s="90"/>
      <c r="CP107" s="90"/>
      <c r="CQ107" s="90"/>
      <c r="CR107" s="1"/>
      <c r="CS107" s="17" t="s">
        <v>22</v>
      </c>
      <c r="CT107" s="18"/>
      <c r="CU107" s="15"/>
      <c r="CV107" s="27" t="s">
        <v>23</v>
      </c>
      <c r="CW107" s="96">
        <v>100</v>
      </c>
      <c r="CX107" s="96"/>
      <c r="CY107" s="97"/>
      <c r="CZ107" s="22" t="s">
        <v>18</v>
      </c>
      <c r="DA107" s="15"/>
      <c r="DB107" s="15"/>
      <c r="DC107" s="15"/>
      <c r="DD107" s="38" t="s">
        <v>47</v>
      </c>
      <c r="DE107" s="39"/>
      <c r="DF107" s="39"/>
      <c r="DG107" s="39"/>
      <c r="DH107" s="39"/>
      <c r="DI107" s="39"/>
      <c r="DJ107" s="22"/>
      <c r="DK107" s="15"/>
      <c r="DL107" s="1"/>
      <c r="DM107" s="86" t="s">
        <v>75</v>
      </c>
      <c r="DN107" s="87"/>
      <c r="DO107" s="87"/>
      <c r="DP107" s="87"/>
      <c r="DQ107" s="87"/>
      <c r="DR107" s="88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44"/>
      <c r="FB107" s="60">
        <v>0</v>
      </c>
      <c r="FC107" s="61">
        <v>7</v>
      </c>
      <c r="FD107" s="61" t="e">
        <f>#REF!</f>
        <v>#REF!</v>
      </c>
      <c r="FE107" s="61">
        <f t="shared" si="3"/>
        <v>0</v>
      </c>
      <c r="FF107" s="61">
        <f t="shared" si="4"/>
        <v>0</v>
      </c>
      <c r="FG107" s="61">
        <f t="shared" si="5"/>
        <v>0</v>
      </c>
      <c r="FH107" s="61">
        <f t="shared" si="6"/>
        <v>0</v>
      </c>
      <c r="FI107" s="61">
        <f t="shared" si="7"/>
        <v>0</v>
      </c>
    </row>
    <row r="108" spans="79:165" ht="15" customHeight="1" x14ac:dyDescent="0.15">
      <c r="CA108" s="43"/>
      <c r="CB108" s="1"/>
      <c r="CC108" s="1"/>
      <c r="CD108" s="1"/>
      <c r="CE108" s="49" t="s">
        <v>51</v>
      </c>
      <c r="CF108" s="1"/>
      <c r="CG108" s="1"/>
      <c r="CH108" s="1"/>
      <c r="CI108" s="89">
        <v>4</v>
      </c>
      <c r="CJ108" s="89"/>
      <c r="CK108" s="90"/>
      <c r="CL108" s="90"/>
      <c r="CM108" s="90"/>
      <c r="CN108" s="90"/>
      <c r="CO108" s="90"/>
      <c r="CP108" s="90"/>
      <c r="CQ108" s="90"/>
      <c r="CR108" s="1"/>
      <c r="CS108" s="17" t="s">
        <v>24</v>
      </c>
      <c r="CT108" s="18"/>
      <c r="CU108" s="15"/>
      <c r="CV108" s="27" t="s">
        <v>25</v>
      </c>
      <c r="CW108" s="96">
        <v>80</v>
      </c>
      <c r="CX108" s="96"/>
      <c r="CY108" s="97"/>
      <c r="CZ108" s="22" t="s">
        <v>18</v>
      </c>
      <c r="DA108" s="15"/>
      <c r="DB108" s="15"/>
      <c r="DC108" s="15"/>
      <c r="DD108" s="38" t="s">
        <v>48</v>
      </c>
      <c r="DE108" s="39"/>
      <c r="DF108" s="39"/>
      <c r="DG108" s="39"/>
      <c r="DH108" s="39"/>
      <c r="DI108" s="39"/>
      <c r="DJ108" s="22"/>
      <c r="DK108" s="15"/>
      <c r="DL108" s="1"/>
      <c r="DM108" s="98" t="s">
        <v>68</v>
      </c>
      <c r="DN108" s="99"/>
      <c r="DO108" s="99"/>
      <c r="DP108" s="99"/>
      <c r="DQ108" s="99"/>
      <c r="DR108" s="100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44"/>
      <c r="FB108" s="60">
        <v>0</v>
      </c>
      <c r="FC108" s="61">
        <v>8</v>
      </c>
      <c r="FD108" s="61" t="str">
        <f>B31</f>
        <v>〒433-8118 静岡県浜松市中央区高丘西１丁目１３−３９</v>
      </c>
      <c r="FE108" s="61">
        <f t="shared" si="3"/>
        <v>0</v>
      </c>
      <c r="FF108" s="61">
        <f t="shared" si="4"/>
        <v>0</v>
      </c>
      <c r="FG108" s="61">
        <f t="shared" si="5"/>
        <v>0</v>
      </c>
      <c r="FH108" s="61">
        <f t="shared" si="6"/>
        <v>0</v>
      </c>
      <c r="FI108" s="61">
        <f t="shared" si="7"/>
        <v>0</v>
      </c>
    </row>
    <row r="109" spans="79:165" ht="15" customHeight="1" x14ac:dyDescent="0.15">
      <c r="CA109" s="43"/>
      <c r="CB109" s="1"/>
      <c r="CC109" s="1"/>
      <c r="CD109" s="1"/>
      <c r="CE109" s="48" t="s">
        <v>3</v>
      </c>
      <c r="CF109" s="1"/>
      <c r="CG109" s="1"/>
      <c r="CH109" s="1"/>
      <c r="CI109" s="89">
        <v>5</v>
      </c>
      <c r="CJ109" s="89"/>
      <c r="CK109" s="90"/>
      <c r="CL109" s="90"/>
      <c r="CM109" s="90"/>
      <c r="CN109" s="90"/>
      <c r="CO109" s="90"/>
      <c r="CP109" s="90"/>
      <c r="CQ109" s="90"/>
      <c r="CR109" s="1"/>
      <c r="CS109" s="20" t="s">
        <v>26</v>
      </c>
      <c r="CT109" s="20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"/>
      <c r="DM109" s="98" t="s">
        <v>69</v>
      </c>
      <c r="DN109" s="99"/>
      <c r="DO109" s="99"/>
      <c r="DP109" s="99"/>
      <c r="DQ109" s="99"/>
      <c r="DR109" s="100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44"/>
      <c r="FB109" s="60">
        <v>0</v>
      </c>
      <c r="FC109" s="61">
        <v>9</v>
      </c>
      <c r="FD109" s="61">
        <f t="shared" si="2"/>
        <v>0</v>
      </c>
      <c r="FE109" s="61">
        <f t="shared" si="3"/>
        <v>0</v>
      </c>
      <c r="FF109" s="61">
        <f t="shared" si="4"/>
        <v>0</v>
      </c>
      <c r="FG109" s="61">
        <f t="shared" si="5"/>
        <v>0</v>
      </c>
      <c r="FH109" s="61">
        <f t="shared" si="6"/>
        <v>0</v>
      </c>
      <c r="FI109" s="61">
        <f t="shared" si="7"/>
        <v>0</v>
      </c>
    </row>
    <row r="110" spans="79:165" ht="15" customHeight="1" x14ac:dyDescent="0.15">
      <c r="CA110" s="43"/>
      <c r="CB110" s="1"/>
      <c r="CC110" s="1"/>
      <c r="CD110" s="1"/>
      <c r="CE110" s="48" t="s">
        <v>52</v>
      </c>
      <c r="CF110" s="1"/>
      <c r="CG110" s="1"/>
      <c r="CH110" s="1"/>
      <c r="CI110" s="89">
        <v>6</v>
      </c>
      <c r="CJ110" s="89"/>
      <c r="CK110" s="90"/>
      <c r="CL110" s="90"/>
      <c r="CM110" s="90"/>
      <c r="CN110" s="90"/>
      <c r="CO110" s="90"/>
      <c r="CP110" s="90"/>
      <c r="CQ110" s="90"/>
      <c r="CR110" s="1"/>
      <c r="CS110" s="20" t="s">
        <v>27</v>
      </c>
      <c r="CT110" s="20"/>
      <c r="CU110" s="15"/>
      <c r="CV110" s="94" t="s">
        <v>28</v>
      </c>
      <c r="CW110" s="94"/>
      <c r="CX110" s="94"/>
      <c r="CY110" s="94"/>
      <c r="CZ110" s="94"/>
      <c r="DA110" s="94"/>
      <c r="DB110" s="94"/>
      <c r="DC110" s="94"/>
      <c r="DD110" s="94"/>
      <c r="DE110" s="95" t="s">
        <v>29</v>
      </c>
      <c r="DF110" s="95"/>
      <c r="DG110" s="95"/>
      <c r="DH110" s="95"/>
      <c r="DI110" s="95"/>
      <c r="DJ110" s="95"/>
      <c r="DK110" s="95"/>
      <c r="DL110" s="1"/>
      <c r="DM110" s="1"/>
      <c r="DN110" s="1"/>
      <c r="DO110" s="1"/>
      <c r="DP110" s="1"/>
      <c r="DQ110" s="1"/>
      <c r="DR110" s="92"/>
      <c r="DS110" s="92"/>
      <c r="DT110" s="92"/>
      <c r="DU110" s="92"/>
      <c r="DV110" s="92"/>
      <c r="DW110" s="92"/>
      <c r="DX110" s="92"/>
      <c r="DY110" s="92"/>
      <c r="DZ110" s="92"/>
      <c r="EA110" s="92"/>
      <c r="EB110" s="92"/>
      <c r="EC110" s="92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44"/>
      <c r="FB110" s="60">
        <v>0</v>
      </c>
      <c r="FC110" s="61">
        <v>10</v>
      </c>
      <c r="FD110" s="61">
        <f t="shared" si="2"/>
        <v>0</v>
      </c>
      <c r="FE110" s="61">
        <f t="shared" si="3"/>
        <v>0</v>
      </c>
      <c r="FF110" s="61">
        <f t="shared" si="4"/>
        <v>0</v>
      </c>
      <c r="FG110" s="61">
        <f t="shared" si="5"/>
        <v>0</v>
      </c>
      <c r="FH110" s="61">
        <f t="shared" si="6"/>
        <v>0</v>
      </c>
      <c r="FI110" s="61">
        <f t="shared" si="7"/>
        <v>0</v>
      </c>
    </row>
    <row r="111" spans="79:165" ht="15" customHeight="1" x14ac:dyDescent="0.15">
      <c r="CA111" s="43"/>
      <c r="CB111" s="1"/>
      <c r="CC111" s="1"/>
      <c r="CD111" s="1"/>
      <c r="CE111" s="48" t="s">
        <v>53</v>
      </c>
      <c r="CF111" s="1"/>
      <c r="CG111" s="1"/>
      <c r="CH111" s="1"/>
      <c r="CI111" s="89">
        <v>7</v>
      </c>
      <c r="CJ111" s="89"/>
      <c r="CK111" s="90"/>
      <c r="CL111" s="90"/>
      <c r="CM111" s="90"/>
      <c r="CN111" s="90"/>
      <c r="CO111" s="90"/>
      <c r="CP111" s="90"/>
      <c r="CQ111" s="90"/>
      <c r="CR111" s="1"/>
      <c r="CS111" s="17" t="s">
        <v>30</v>
      </c>
      <c r="CT111" s="18"/>
      <c r="CU111" s="15"/>
      <c r="CV111" s="27" t="s">
        <v>23</v>
      </c>
      <c r="CW111" s="91" t="s">
        <v>71</v>
      </c>
      <c r="CX111" s="91"/>
      <c r="CY111" s="91"/>
      <c r="CZ111" s="91"/>
      <c r="DA111" s="91"/>
      <c r="DB111" s="91"/>
      <c r="DC111" s="91"/>
      <c r="DD111" s="91"/>
      <c r="DE111" s="91" t="s">
        <v>31</v>
      </c>
      <c r="DF111" s="91"/>
      <c r="DG111" s="91"/>
      <c r="DH111" s="91"/>
      <c r="DI111" s="91"/>
      <c r="DJ111" s="91"/>
      <c r="DK111" s="91"/>
      <c r="DL111" s="1"/>
      <c r="DM111" s="1"/>
      <c r="DN111" s="1"/>
      <c r="DO111" s="1"/>
      <c r="DP111" s="1"/>
      <c r="DQ111" s="1"/>
      <c r="DR111" s="92"/>
      <c r="DS111" s="92"/>
      <c r="DT111" s="92"/>
      <c r="DU111" s="92"/>
      <c r="DV111" s="92"/>
      <c r="DW111" s="92"/>
      <c r="DX111" s="92"/>
      <c r="DY111" s="92"/>
      <c r="DZ111" s="92"/>
      <c r="EA111" s="92"/>
      <c r="EB111" s="92"/>
      <c r="EC111" s="92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44"/>
      <c r="FB111" s="60">
        <v>0</v>
      </c>
      <c r="FC111" s="61">
        <v>11</v>
      </c>
      <c r="FD111" s="61">
        <f t="shared" si="2"/>
        <v>0</v>
      </c>
      <c r="FE111" s="61">
        <f t="shared" si="3"/>
        <v>0</v>
      </c>
      <c r="FF111" s="61">
        <f t="shared" si="4"/>
        <v>0</v>
      </c>
      <c r="FG111" s="61">
        <f t="shared" si="5"/>
        <v>0</v>
      </c>
      <c r="FH111" s="61">
        <f t="shared" si="6"/>
        <v>0</v>
      </c>
      <c r="FI111" s="61">
        <f t="shared" si="7"/>
        <v>0</v>
      </c>
    </row>
    <row r="112" spans="79:165" ht="15" customHeight="1" x14ac:dyDescent="0.15">
      <c r="CA112" s="43"/>
      <c r="CB112" s="1"/>
      <c r="CC112" s="1"/>
      <c r="CD112" s="1"/>
      <c r="CE112" s="1"/>
      <c r="CF112" s="1"/>
      <c r="CG112" s="1"/>
      <c r="CH112" s="1"/>
      <c r="CI112" s="89">
        <v>8</v>
      </c>
      <c r="CJ112" s="89"/>
      <c r="CK112" s="90"/>
      <c r="CL112" s="90"/>
      <c r="CM112" s="90"/>
      <c r="CN112" s="90"/>
      <c r="CO112" s="90"/>
      <c r="CP112" s="90"/>
      <c r="CQ112" s="90"/>
      <c r="CR112" s="1"/>
      <c r="CS112" s="17" t="s">
        <v>32</v>
      </c>
      <c r="CT112" s="18"/>
      <c r="CU112" s="15"/>
      <c r="CV112" s="27" t="s">
        <v>25</v>
      </c>
      <c r="CW112" s="91" t="s">
        <v>79</v>
      </c>
      <c r="CX112" s="91"/>
      <c r="CY112" s="91"/>
      <c r="CZ112" s="91"/>
      <c r="DA112" s="91"/>
      <c r="DB112" s="91"/>
      <c r="DC112" s="91"/>
      <c r="DD112" s="91"/>
      <c r="DE112" s="91" t="s">
        <v>80</v>
      </c>
      <c r="DF112" s="91"/>
      <c r="DG112" s="91"/>
      <c r="DH112" s="91"/>
      <c r="DI112" s="91"/>
      <c r="DJ112" s="91"/>
      <c r="DK112" s="91"/>
      <c r="DL112" s="1"/>
      <c r="DM112" s="1"/>
      <c r="DN112" s="1"/>
      <c r="DO112" s="1"/>
      <c r="DP112" s="1"/>
      <c r="DQ112" s="1"/>
      <c r="DR112" s="92"/>
      <c r="DS112" s="92"/>
      <c r="DT112" s="92"/>
      <c r="DU112" s="92"/>
      <c r="DV112" s="92"/>
      <c r="DW112" s="92"/>
      <c r="DX112" s="92"/>
      <c r="DY112" s="92"/>
      <c r="DZ112" s="92"/>
      <c r="EA112" s="92"/>
      <c r="EB112" s="92"/>
      <c r="EC112" s="92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44"/>
      <c r="FB112" s="60">
        <v>0</v>
      </c>
      <c r="FC112" s="61">
        <v>12</v>
      </c>
      <c r="FD112" s="61">
        <f t="shared" si="2"/>
        <v>0</v>
      </c>
      <c r="FE112" s="61">
        <f t="shared" si="3"/>
        <v>0</v>
      </c>
      <c r="FF112" s="61">
        <f t="shared" si="4"/>
        <v>0</v>
      </c>
      <c r="FG112" s="61">
        <f t="shared" si="5"/>
        <v>0</v>
      </c>
      <c r="FH112" s="61">
        <f t="shared" si="6"/>
        <v>0</v>
      </c>
      <c r="FI112" s="61">
        <f t="shared" si="7"/>
        <v>0</v>
      </c>
    </row>
    <row r="113" spans="79:165" ht="15" customHeight="1" x14ac:dyDescent="0.15">
      <c r="CA113" s="43"/>
      <c r="CB113" s="1"/>
      <c r="CC113" s="1"/>
      <c r="CD113" s="1"/>
      <c r="CE113" s="1"/>
      <c r="CF113" s="1"/>
      <c r="CG113" s="1"/>
      <c r="CH113" s="1"/>
      <c r="CI113" s="89">
        <v>9</v>
      </c>
      <c r="CJ113" s="89"/>
      <c r="CK113" s="90"/>
      <c r="CL113" s="90"/>
      <c r="CM113" s="90"/>
      <c r="CN113" s="90"/>
      <c r="CO113" s="90"/>
      <c r="CP113" s="90"/>
      <c r="CQ113" s="90"/>
      <c r="CR113" s="1"/>
      <c r="CS113" s="17" t="s">
        <v>33</v>
      </c>
      <c r="CT113" s="18"/>
      <c r="CU113" s="15"/>
      <c r="CV113" s="27" t="s">
        <v>34</v>
      </c>
      <c r="CW113" s="91" t="s">
        <v>82</v>
      </c>
      <c r="CX113" s="91"/>
      <c r="CY113" s="91"/>
      <c r="CZ113" s="91"/>
      <c r="DA113" s="91"/>
      <c r="DB113" s="91"/>
      <c r="DC113" s="91"/>
      <c r="DD113" s="91"/>
      <c r="DE113" s="91" t="s">
        <v>81</v>
      </c>
      <c r="DF113" s="91"/>
      <c r="DG113" s="91"/>
      <c r="DH113" s="91"/>
      <c r="DI113" s="91"/>
      <c r="DJ113" s="91"/>
      <c r="DK113" s="91"/>
      <c r="DL113" s="1"/>
      <c r="DM113" s="1"/>
      <c r="DN113" s="1"/>
      <c r="DO113" s="1"/>
      <c r="DP113" s="1"/>
      <c r="DQ113" s="1"/>
      <c r="DR113" s="92"/>
      <c r="DS113" s="92"/>
      <c r="DT113" s="92"/>
      <c r="DU113" s="92"/>
      <c r="DV113" s="92"/>
      <c r="DW113" s="92"/>
      <c r="DX113" s="92"/>
      <c r="DY113" s="92"/>
      <c r="DZ113" s="92"/>
      <c r="EA113" s="92"/>
      <c r="EB113" s="92"/>
      <c r="EC113" s="92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44"/>
      <c r="FB113" s="60">
        <v>1</v>
      </c>
      <c r="FC113" s="61">
        <v>1</v>
      </c>
      <c r="FD113" s="61" t="e">
        <f>#REF!</f>
        <v>#REF!</v>
      </c>
      <c r="FE113" s="61" t="e">
        <f>#REF!</f>
        <v>#REF!</v>
      </c>
      <c r="FF113" s="61" t="e">
        <f>#REF!</f>
        <v>#REF!</v>
      </c>
      <c r="FG113" s="61" t="e">
        <f>#REF!</f>
        <v>#REF!</v>
      </c>
      <c r="FH113" s="61" t="e">
        <f>#REF!</f>
        <v>#REF!</v>
      </c>
      <c r="FI113" s="61" t="e">
        <f>#REF!</f>
        <v>#REF!</v>
      </c>
    </row>
    <row r="114" spans="79:165" ht="15" customHeight="1" x14ac:dyDescent="0.15">
      <c r="CA114" s="43"/>
      <c r="CB114" s="1"/>
      <c r="CC114" s="1"/>
      <c r="CD114" s="1"/>
      <c r="CE114" s="1"/>
      <c r="CF114" s="1"/>
      <c r="CG114" s="1"/>
      <c r="CH114" s="1"/>
      <c r="CI114" s="89">
        <v>10</v>
      </c>
      <c r="CJ114" s="89"/>
      <c r="CK114" s="90"/>
      <c r="CL114" s="90"/>
      <c r="CM114" s="90"/>
      <c r="CN114" s="90"/>
      <c r="CO114" s="90"/>
      <c r="CP114" s="90"/>
      <c r="CQ114" s="90"/>
      <c r="CR114" s="1"/>
      <c r="CS114" s="20" t="s">
        <v>35</v>
      </c>
      <c r="CT114" s="21"/>
      <c r="CU114" s="15"/>
      <c r="CV114" s="27" t="s">
        <v>36</v>
      </c>
      <c r="CW114" s="91" t="s">
        <v>72</v>
      </c>
      <c r="CX114" s="91"/>
      <c r="CY114" s="91"/>
      <c r="CZ114" s="91"/>
      <c r="DA114" s="91"/>
      <c r="DB114" s="91"/>
      <c r="DC114" s="91"/>
      <c r="DD114" s="91"/>
      <c r="DE114" s="91" t="s">
        <v>37</v>
      </c>
      <c r="DF114" s="91"/>
      <c r="DG114" s="91"/>
      <c r="DH114" s="91"/>
      <c r="DI114" s="91"/>
      <c r="DJ114" s="91"/>
      <c r="DK114" s="91"/>
      <c r="DL114" s="1"/>
      <c r="DM114" s="1"/>
      <c r="DN114" s="1"/>
      <c r="DO114" s="1"/>
      <c r="DP114" s="1"/>
      <c r="DQ114" s="1"/>
      <c r="DR114" s="92"/>
      <c r="DS114" s="92"/>
      <c r="DT114" s="92"/>
      <c r="DU114" s="92"/>
      <c r="DV114" s="92"/>
      <c r="DW114" s="92"/>
      <c r="DX114" s="92"/>
      <c r="DY114" s="92"/>
      <c r="DZ114" s="92"/>
      <c r="EA114" s="92"/>
      <c r="EB114" s="92"/>
      <c r="EC114" s="92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44"/>
      <c r="FB114" s="60">
        <v>1</v>
      </c>
      <c r="FC114" s="61">
        <v>2</v>
      </c>
      <c r="FD114" s="61" t="e">
        <f>#REF!</f>
        <v>#REF!</v>
      </c>
      <c r="FE114" s="61" t="e">
        <f>#REF!</f>
        <v>#REF!</v>
      </c>
      <c r="FF114" s="61" t="e">
        <f>#REF!</f>
        <v>#REF!</v>
      </c>
      <c r="FG114" s="61" t="e">
        <f>#REF!</f>
        <v>#REF!</v>
      </c>
      <c r="FH114" s="61" t="e">
        <f>#REF!</f>
        <v>#REF!</v>
      </c>
      <c r="FI114" s="61" t="e">
        <f>#REF!</f>
        <v>#REF!</v>
      </c>
    </row>
    <row r="115" spans="79:165" ht="15" customHeight="1" x14ac:dyDescent="0.15">
      <c r="CA115" s="43"/>
      <c r="CB115" s="1"/>
      <c r="CC115" s="1"/>
      <c r="CD115" s="1"/>
      <c r="CE115" s="1"/>
      <c r="CF115" s="1"/>
      <c r="CG115" s="1"/>
      <c r="CH115" s="1"/>
      <c r="CI115" s="93" t="s">
        <v>38</v>
      </c>
      <c r="CJ115" s="93"/>
      <c r="CK115" s="90">
        <f>SUM(CK104:CQ114)</f>
        <v>88000</v>
      </c>
      <c r="CL115" s="90"/>
      <c r="CM115" s="90"/>
      <c r="CN115" s="90"/>
      <c r="CO115" s="90"/>
      <c r="CP115" s="90"/>
      <c r="CQ115" s="90"/>
      <c r="CR115" s="1"/>
      <c r="CS115" s="17" t="s">
        <v>43</v>
      </c>
      <c r="CT115" s="18"/>
      <c r="CU115" s="15"/>
      <c r="CV115" s="27" t="s">
        <v>39</v>
      </c>
      <c r="CW115" s="91" t="s">
        <v>73</v>
      </c>
      <c r="CX115" s="91"/>
      <c r="CY115" s="91"/>
      <c r="CZ115" s="91"/>
      <c r="DA115" s="91"/>
      <c r="DB115" s="91"/>
      <c r="DC115" s="91"/>
      <c r="DD115" s="91"/>
      <c r="DE115" s="91" t="s">
        <v>40</v>
      </c>
      <c r="DF115" s="91"/>
      <c r="DG115" s="91"/>
      <c r="DH115" s="91"/>
      <c r="DI115" s="91"/>
      <c r="DJ115" s="91"/>
      <c r="DK115" s="91"/>
      <c r="DL115" s="1"/>
      <c r="DM115" s="1"/>
      <c r="DN115" s="1"/>
      <c r="DO115" s="1"/>
      <c r="DP115" s="1"/>
      <c r="DQ115" s="1"/>
      <c r="DR115" s="92"/>
      <c r="DS115" s="92"/>
      <c r="DT115" s="92"/>
      <c r="DU115" s="92"/>
      <c r="DV115" s="92"/>
      <c r="DW115" s="92"/>
      <c r="DX115" s="92"/>
      <c r="DY115" s="92"/>
      <c r="DZ115" s="92"/>
      <c r="EA115" s="92"/>
      <c r="EB115" s="92"/>
      <c r="EC115" s="92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44"/>
      <c r="FB115" s="60">
        <v>1</v>
      </c>
      <c r="FC115" s="61">
        <v>3</v>
      </c>
      <c r="FD115" s="61" t="e">
        <f>#REF!</f>
        <v>#REF!</v>
      </c>
      <c r="FE115" s="61" t="e">
        <f>#REF!</f>
        <v>#REF!</v>
      </c>
      <c r="FF115" s="61" t="e">
        <f>#REF!</f>
        <v>#REF!</v>
      </c>
      <c r="FG115" s="61" t="e">
        <f>#REF!</f>
        <v>#REF!</v>
      </c>
      <c r="FH115" s="61" t="e">
        <f>#REF!</f>
        <v>#REF!</v>
      </c>
      <c r="FI115" s="61" t="e">
        <f>#REF!</f>
        <v>#REF!</v>
      </c>
    </row>
    <row r="116" spans="79:165" ht="15" customHeight="1" x14ac:dyDescent="0.15">
      <c r="CA116" s="43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7"/>
      <c r="CT116" s="18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44"/>
      <c r="FB116" s="60">
        <v>1</v>
      </c>
      <c r="FC116" s="61">
        <v>4</v>
      </c>
      <c r="FD116" s="61" t="e">
        <f>#REF!</f>
        <v>#REF!</v>
      </c>
      <c r="FE116" s="61" t="e">
        <f>#REF!</f>
        <v>#REF!</v>
      </c>
      <c r="FF116" s="61" t="e">
        <f>#REF!</f>
        <v>#REF!</v>
      </c>
      <c r="FG116" s="61" t="e">
        <f>#REF!</f>
        <v>#REF!</v>
      </c>
      <c r="FH116" s="61" t="e">
        <f>#REF!</f>
        <v>#REF!</v>
      </c>
      <c r="FI116" s="61" t="e">
        <f>#REF!</f>
        <v>#REF!</v>
      </c>
    </row>
    <row r="117" spans="79:165" ht="15" customHeight="1" x14ac:dyDescent="0.15">
      <c r="CA117" s="43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44"/>
      <c r="FB117" s="60">
        <v>1</v>
      </c>
      <c r="FC117" s="61">
        <v>5</v>
      </c>
      <c r="FD117" s="61" t="e">
        <f>#REF!</f>
        <v>#REF!</v>
      </c>
      <c r="FE117" s="61" t="e">
        <f>#REF!</f>
        <v>#REF!</v>
      </c>
      <c r="FF117" s="61" t="e">
        <f>#REF!</f>
        <v>#REF!</v>
      </c>
      <c r="FG117" s="61" t="e">
        <f>#REF!</f>
        <v>#REF!</v>
      </c>
      <c r="FH117" s="61" t="e">
        <f>#REF!</f>
        <v>#REF!</v>
      </c>
      <c r="FI117" s="61" t="e">
        <f>#REF!</f>
        <v>#REF!</v>
      </c>
    </row>
    <row r="118" spans="79:165" ht="15" customHeight="1" x14ac:dyDescent="0.15">
      <c r="CA118" s="43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44"/>
      <c r="FB118" s="60">
        <v>1</v>
      </c>
      <c r="FC118" s="61">
        <v>6</v>
      </c>
      <c r="FD118" s="61" t="e">
        <f>#REF!</f>
        <v>#REF!</v>
      </c>
      <c r="FE118" s="61" t="e">
        <f>#REF!</f>
        <v>#REF!</v>
      </c>
      <c r="FF118" s="61" t="e">
        <f>#REF!</f>
        <v>#REF!</v>
      </c>
      <c r="FG118" s="61" t="e">
        <f>#REF!</f>
        <v>#REF!</v>
      </c>
      <c r="FH118" s="61" t="e">
        <f>#REF!</f>
        <v>#REF!</v>
      </c>
      <c r="FI118" s="61" t="e">
        <f>#REF!</f>
        <v>#REF!</v>
      </c>
    </row>
    <row r="119" spans="79:165" ht="15" customHeight="1" x14ac:dyDescent="0.15">
      <c r="CA119" s="43"/>
      <c r="CB119" s="1"/>
      <c r="CC119" s="1"/>
      <c r="CD119" s="1"/>
      <c r="CE119" s="1"/>
      <c r="CF119" s="1"/>
      <c r="CG119" s="1"/>
      <c r="CH119" s="1"/>
      <c r="CI119" s="81" t="s">
        <v>41</v>
      </c>
      <c r="CJ119" s="81"/>
      <c r="CK119" s="81"/>
      <c r="CL119" s="81"/>
      <c r="CM119" s="82" t="s">
        <v>83</v>
      </c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3"/>
      <c r="DI119" s="83"/>
      <c r="DJ119" s="83"/>
      <c r="DK119" s="83"/>
      <c r="DL119" s="1"/>
      <c r="DM119" s="84" t="s">
        <v>42</v>
      </c>
      <c r="DN119" s="85"/>
      <c r="DO119" s="86" t="s">
        <v>76</v>
      </c>
      <c r="DP119" s="87"/>
      <c r="DQ119" s="87"/>
      <c r="DR119" s="87"/>
      <c r="DS119" s="87"/>
      <c r="DT119" s="87"/>
      <c r="DU119" s="88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44"/>
      <c r="FB119" s="60">
        <v>1</v>
      </c>
      <c r="FC119" s="61">
        <v>7</v>
      </c>
      <c r="FD119" s="61" t="e">
        <f>#REF!</f>
        <v>#REF!</v>
      </c>
      <c r="FE119" s="61" t="e">
        <f>#REF!</f>
        <v>#REF!</v>
      </c>
      <c r="FF119" s="61" t="e">
        <f>#REF!</f>
        <v>#REF!</v>
      </c>
      <c r="FG119" s="61" t="e">
        <f>#REF!</f>
        <v>#REF!</v>
      </c>
      <c r="FH119" s="61" t="e">
        <f>#REF!</f>
        <v>#REF!</v>
      </c>
      <c r="FI119" s="61" t="e">
        <f>#REF!</f>
        <v>#REF!</v>
      </c>
    </row>
    <row r="120" spans="79:165" ht="15" customHeight="1" x14ac:dyDescent="0.15">
      <c r="CA120" s="43"/>
      <c r="CB120" s="1"/>
      <c r="CC120" s="1"/>
      <c r="CD120" s="1"/>
      <c r="CE120" s="1"/>
      <c r="CF120" s="1"/>
      <c r="CG120" s="1"/>
      <c r="CH120" s="1"/>
      <c r="CI120" s="81" t="s">
        <v>70</v>
      </c>
      <c r="CJ120" s="81"/>
      <c r="CK120" s="81"/>
      <c r="CL120" s="81"/>
      <c r="CM120" s="82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44"/>
      <c r="FB120" s="60">
        <v>1</v>
      </c>
      <c r="FC120" s="61">
        <v>8</v>
      </c>
      <c r="FD120" s="61" t="e">
        <f>#REF!</f>
        <v>#REF!</v>
      </c>
      <c r="FE120" s="61" t="e">
        <f>#REF!</f>
        <v>#REF!</v>
      </c>
      <c r="FF120" s="61" t="e">
        <f>#REF!</f>
        <v>#REF!</v>
      </c>
      <c r="FG120" s="61" t="e">
        <f>#REF!</f>
        <v>#REF!</v>
      </c>
      <c r="FH120" s="61" t="e">
        <f>#REF!</f>
        <v>#REF!</v>
      </c>
      <c r="FI120" s="61" t="e">
        <f>#REF!</f>
        <v>#REF!</v>
      </c>
    </row>
    <row r="121" spans="79:165" ht="15" customHeight="1" x14ac:dyDescent="0.15">
      <c r="CA121" s="43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44"/>
      <c r="FB121" s="60">
        <v>1</v>
      </c>
      <c r="FC121" s="61">
        <v>9</v>
      </c>
      <c r="FD121" s="61" t="e">
        <f>#REF!</f>
        <v>#REF!</v>
      </c>
      <c r="FE121" s="61" t="e">
        <f>#REF!</f>
        <v>#REF!</v>
      </c>
      <c r="FF121" s="61" t="e">
        <f>#REF!</f>
        <v>#REF!</v>
      </c>
      <c r="FG121" s="61" t="e">
        <f>#REF!</f>
        <v>#REF!</v>
      </c>
      <c r="FH121" s="61" t="e">
        <f>#REF!</f>
        <v>#REF!</v>
      </c>
      <c r="FI121" s="61" t="e">
        <f>#REF!</f>
        <v>#REF!</v>
      </c>
    </row>
    <row r="122" spans="79:165" ht="15" customHeight="1" x14ac:dyDescent="0.15">
      <c r="CA122" s="43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44"/>
      <c r="FB122" s="60">
        <v>1</v>
      </c>
      <c r="FC122" s="61">
        <v>10</v>
      </c>
      <c r="FD122" s="61" t="e">
        <f>#REF!</f>
        <v>#REF!</v>
      </c>
      <c r="FE122" s="61" t="e">
        <f>#REF!</f>
        <v>#REF!</v>
      </c>
      <c r="FF122" s="61" t="e">
        <f>#REF!</f>
        <v>#REF!</v>
      </c>
      <c r="FG122" s="61" t="e">
        <f>#REF!</f>
        <v>#REF!</v>
      </c>
      <c r="FH122" s="61" t="e">
        <f>#REF!</f>
        <v>#REF!</v>
      </c>
      <c r="FI122" s="61" t="e">
        <f>#REF!</f>
        <v>#REF!</v>
      </c>
    </row>
    <row r="123" spans="79:165" ht="15" customHeight="1" x14ac:dyDescent="0.15">
      <c r="CA123" s="43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44"/>
      <c r="FB123" s="60">
        <v>1</v>
      </c>
      <c r="FC123" s="61">
        <v>11</v>
      </c>
      <c r="FD123" s="61" t="e">
        <f>#REF!</f>
        <v>#REF!</v>
      </c>
      <c r="FE123" s="61" t="e">
        <f>#REF!</f>
        <v>#REF!</v>
      </c>
      <c r="FF123" s="61" t="e">
        <f>#REF!</f>
        <v>#REF!</v>
      </c>
      <c r="FG123" s="61" t="e">
        <f>#REF!</f>
        <v>#REF!</v>
      </c>
      <c r="FH123" s="61" t="e">
        <f>#REF!</f>
        <v>#REF!</v>
      </c>
      <c r="FI123" s="61" t="e">
        <f>#REF!</f>
        <v>#REF!</v>
      </c>
    </row>
    <row r="124" spans="79:165" ht="15" customHeight="1" x14ac:dyDescent="0.15">
      <c r="CA124" s="43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44"/>
      <c r="FB124" s="60">
        <v>1</v>
      </c>
      <c r="FC124" s="61">
        <v>12</v>
      </c>
      <c r="FD124" s="61" t="e">
        <f>#REF!</f>
        <v>#REF!</v>
      </c>
      <c r="FE124" s="61" t="e">
        <f>#REF!</f>
        <v>#REF!</v>
      </c>
      <c r="FF124" s="61" t="e">
        <f>#REF!</f>
        <v>#REF!</v>
      </c>
      <c r="FG124" s="61" t="e">
        <f>#REF!</f>
        <v>#REF!</v>
      </c>
      <c r="FH124" s="61" t="e">
        <f>#REF!</f>
        <v>#REF!</v>
      </c>
      <c r="FI124" s="61" t="e">
        <f>#REF!</f>
        <v>#REF!</v>
      </c>
    </row>
    <row r="125" spans="79:165" ht="15" customHeight="1" x14ac:dyDescent="0.15">
      <c r="CA125" s="43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44"/>
      <c r="FB125" s="60">
        <v>1</v>
      </c>
      <c r="FC125" s="61">
        <v>13</v>
      </c>
      <c r="FD125" s="61" t="e">
        <f>#REF!</f>
        <v>#REF!</v>
      </c>
      <c r="FE125" s="61" t="e">
        <f>#REF!</f>
        <v>#REF!</v>
      </c>
      <c r="FF125" s="61" t="e">
        <f>#REF!</f>
        <v>#REF!</v>
      </c>
      <c r="FG125" s="61" t="e">
        <f>#REF!</f>
        <v>#REF!</v>
      </c>
      <c r="FH125" s="61" t="e">
        <f>#REF!</f>
        <v>#REF!</v>
      </c>
      <c r="FI125" s="61" t="e">
        <f>#REF!</f>
        <v>#REF!</v>
      </c>
    </row>
    <row r="126" spans="79:165" ht="15" customHeight="1" x14ac:dyDescent="0.15">
      <c r="CA126" s="47"/>
      <c r="CB126" s="45"/>
      <c r="CC126" s="45"/>
      <c r="CD126" s="45"/>
      <c r="CE126" s="45"/>
      <c r="CF126" s="45"/>
      <c r="CG126" s="45"/>
      <c r="CH126" s="45"/>
      <c r="CI126" s="45"/>
      <c r="CJ126" s="45"/>
      <c r="CK126" s="45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  <c r="EP126" s="46"/>
      <c r="FB126" s="60">
        <v>1</v>
      </c>
      <c r="FC126" s="61">
        <v>14</v>
      </c>
      <c r="FD126" s="61" t="e">
        <f>#REF!</f>
        <v>#REF!</v>
      </c>
      <c r="FE126" s="61" t="e">
        <f>#REF!</f>
        <v>#REF!</v>
      </c>
      <c r="FF126" s="61" t="e">
        <f>#REF!</f>
        <v>#REF!</v>
      </c>
      <c r="FG126" s="61" t="e">
        <f>#REF!</f>
        <v>#REF!</v>
      </c>
      <c r="FH126" s="61" t="e">
        <f>#REF!</f>
        <v>#REF!</v>
      </c>
      <c r="FI126" s="61" t="e">
        <f>#REF!</f>
        <v>#REF!</v>
      </c>
    </row>
    <row r="127" spans="79:165" ht="15" customHeight="1" x14ac:dyDescent="0.15">
      <c r="FB127" s="60">
        <v>1</v>
      </c>
      <c r="FC127" s="61">
        <v>15</v>
      </c>
      <c r="FD127" s="61" t="e">
        <f>#REF!</f>
        <v>#REF!</v>
      </c>
      <c r="FE127" s="61" t="e">
        <f>#REF!</f>
        <v>#REF!</v>
      </c>
      <c r="FF127" s="61" t="e">
        <f>#REF!</f>
        <v>#REF!</v>
      </c>
      <c r="FG127" s="61" t="e">
        <f>#REF!</f>
        <v>#REF!</v>
      </c>
      <c r="FH127" s="61" t="e">
        <f>#REF!</f>
        <v>#REF!</v>
      </c>
      <c r="FI127" s="61" t="e">
        <f>#REF!</f>
        <v>#REF!</v>
      </c>
    </row>
    <row r="128" spans="79:165" ht="15" customHeight="1" x14ac:dyDescent="0.15">
      <c r="FB128" s="60">
        <v>1</v>
      </c>
      <c r="FC128" s="61">
        <v>16</v>
      </c>
      <c r="FD128" s="61" t="e">
        <f>#REF!</f>
        <v>#REF!</v>
      </c>
      <c r="FE128" s="61" t="e">
        <f>#REF!</f>
        <v>#REF!</v>
      </c>
      <c r="FF128" s="61" t="e">
        <f>#REF!</f>
        <v>#REF!</v>
      </c>
      <c r="FG128" s="61" t="e">
        <f>#REF!</f>
        <v>#REF!</v>
      </c>
      <c r="FH128" s="61" t="e">
        <f>#REF!</f>
        <v>#REF!</v>
      </c>
      <c r="FI128" s="61" t="e">
        <f>#REF!</f>
        <v>#REF!</v>
      </c>
    </row>
    <row r="129" spans="91:165" ht="15" customHeight="1" x14ac:dyDescent="0.15">
      <c r="FB129" s="60">
        <v>1</v>
      </c>
      <c r="FC129" s="61">
        <v>17</v>
      </c>
      <c r="FD129" s="61" t="e">
        <f>#REF!</f>
        <v>#REF!</v>
      </c>
      <c r="FE129" s="61" t="e">
        <f>#REF!</f>
        <v>#REF!</v>
      </c>
      <c r="FF129" s="61" t="e">
        <f>#REF!</f>
        <v>#REF!</v>
      </c>
      <c r="FG129" s="61" t="e">
        <f>#REF!</f>
        <v>#REF!</v>
      </c>
      <c r="FH129" s="61" t="e">
        <f>#REF!</f>
        <v>#REF!</v>
      </c>
      <c r="FI129" s="61" t="e">
        <f>#REF!</f>
        <v>#REF!</v>
      </c>
    </row>
    <row r="130" spans="91:165" ht="15" customHeight="1" x14ac:dyDescent="0.15">
      <c r="CM130" s="66"/>
      <c r="FB130" s="60">
        <v>1</v>
      </c>
      <c r="FC130" s="61">
        <v>18</v>
      </c>
      <c r="FD130" s="61" t="e">
        <f>#REF!</f>
        <v>#REF!</v>
      </c>
      <c r="FE130" s="61" t="e">
        <f>#REF!</f>
        <v>#REF!</v>
      </c>
      <c r="FF130" s="61" t="e">
        <f>#REF!</f>
        <v>#REF!</v>
      </c>
      <c r="FG130" s="61" t="e">
        <f>#REF!</f>
        <v>#REF!</v>
      </c>
      <c r="FH130" s="61" t="e">
        <f>#REF!</f>
        <v>#REF!</v>
      </c>
      <c r="FI130" s="61" t="e">
        <f>#REF!</f>
        <v>#REF!</v>
      </c>
    </row>
    <row r="131" spans="91:165" ht="15" customHeight="1" x14ac:dyDescent="0.15">
      <c r="FB131" s="60">
        <v>1</v>
      </c>
      <c r="FC131" s="61">
        <v>19</v>
      </c>
      <c r="FD131" s="61" t="e">
        <f>#REF!</f>
        <v>#REF!</v>
      </c>
      <c r="FE131" s="61" t="e">
        <f>#REF!</f>
        <v>#REF!</v>
      </c>
      <c r="FF131" s="61" t="e">
        <f>#REF!</f>
        <v>#REF!</v>
      </c>
      <c r="FG131" s="61" t="e">
        <f>#REF!</f>
        <v>#REF!</v>
      </c>
      <c r="FH131" s="61" t="e">
        <f>#REF!</f>
        <v>#REF!</v>
      </c>
      <c r="FI131" s="61" t="e">
        <f>#REF!</f>
        <v>#REF!</v>
      </c>
    </row>
    <row r="132" spans="91:165" ht="15" customHeight="1" x14ac:dyDescent="0.15">
      <c r="FB132" s="60">
        <v>1</v>
      </c>
      <c r="FC132" s="61">
        <v>20</v>
      </c>
      <c r="FD132" s="61" t="e">
        <f>#REF!</f>
        <v>#REF!</v>
      </c>
      <c r="FE132" s="61" t="e">
        <f>#REF!</f>
        <v>#REF!</v>
      </c>
      <c r="FF132" s="61" t="e">
        <f>#REF!</f>
        <v>#REF!</v>
      </c>
      <c r="FG132" s="61" t="e">
        <f>#REF!</f>
        <v>#REF!</v>
      </c>
      <c r="FH132" s="61" t="e">
        <f>#REF!</f>
        <v>#REF!</v>
      </c>
      <c r="FI132" s="61" t="e">
        <f>#REF!</f>
        <v>#REF!</v>
      </c>
    </row>
    <row r="133" spans="91:165" ht="15" customHeight="1" x14ac:dyDescent="0.15">
      <c r="FB133" s="60">
        <v>1</v>
      </c>
      <c r="FC133" s="61">
        <v>21</v>
      </c>
      <c r="FD133" s="61" t="e">
        <f>#REF!</f>
        <v>#REF!</v>
      </c>
      <c r="FE133" s="61" t="e">
        <f>#REF!</f>
        <v>#REF!</v>
      </c>
      <c r="FF133" s="61" t="e">
        <f>#REF!</f>
        <v>#REF!</v>
      </c>
      <c r="FG133" s="61" t="e">
        <f>#REF!</f>
        <v>#REF!</v>
      </c>
      <c r="FH133" s="61" t="e">
        <f>#REF!</f>
        <v>#REF!</v>
      </c>
      <c r="FI133" s="61" t="e">
        <f>#REF!</f>
        <v>#REF!</v>
      </c>
    </row>
    <row r="134" spans="91:165" ht="15" customHeight="1" x14ac:dyDescent="0.15">
      <c r="FB134" s="60">
        <v>1</v>
      </c>
      <c r="FC134" s="61">
        <v>22</v>
      </c>
      <c r="FD134" s="61" t="e">
        <f>#REF!</f>
        <v>#REF!</v>
      </c>
      <c r="FE134" s="61" t="e">
        <f>#REF!</f>
        <v>#REF!</v>
      </c>
      <c r="FF134" s="61" t="e">
        <f>#REF!</f>
        <v>#REF!</v>
      </c>
      <c r="FG134" s="61" t="e">
        <f>#REF!</f>
        <v>#REF!</v>
      </c>
      <c r="FH134" s="61" t="e">
        <f>#REF!</f>
        <v>#REF!</v>
      </c>
      <c r="FI134" s="61" t="e">
        <f>#REF!</f>
        <v>#REF!</v>
      </c>
    </row>
    <row r="135" spans="91:165" ht="15" customHeight="1" x14ac:dyDescent="0.15">
      <c r="FB135" s="60">
        <v>1</v>
      </c>
      <c r="FC135" s="61">
        <v>23</v>
      </c>
      <c r="FD135" s="61" t="e">
        <f>#REF!</f>
        <v>#REF!</v>
      </c>
      <c r="FE135" s="61" t="e">
        <f>#REF!</f>
        <v>#REF!</v>
      </c>
      <c r="FF135" s="61" t="e">
        <f>#REF!</f>
        <v>#REF!</v>
      </c>
      <c r="FG135" s="61" t="e">
        <f>#REF!</f>
        <v>#REF!</v>
      </c>
      <c r="FH135" s="61" t="e">
        <f>#REF!</f>
        <v>#REF!</v>
      </c>
      <c r="FI135" s="61" t="e">
        <f>#REF!</f>
        <v>#REF!</v>
      </c>
    </row>
    <row r="136" spans="91:165" ht="15" customHeight="1" x14ac:dyDescent="0.15">
      <c r="FB136" s="60">
        <v>2</v>
      </c>
      <c r="FC136" s="61">
        <v>1</v>
      </c>
      <c r="FD136" s="61" t="e">
        <f>#REF!</f>
        <v>#REF!</v>
      </c>
      <c r="FE136" s="61" t="e">
        <f>#REF!</f>
        <v>#REF!</v>
      </c>
      <c r="FF136" s="61" t="e">
        <f>#REF!</f>
        <v>#REF!</v>
      </c>
      <c r="FG136" s="61" t="e">
        <f>#REF!</f>
        <v>#REF!</v>
      </c>
      <c r="FH136" s="61" t="e">
        <f>#REF!</f>
        <v>#REF!</v>
      </c>
      <c r="FI136" s="61" t="e">
        <f>#REF!</f>
        <v>#REF!</v>
      </c>
    </row>
    <row r="137" spans="91:165" ht="15" customHeight="1" x14ac:dyDescent="0.15">
      <c r="FB137" s="60">
        <v>2</v>
      </c>
      <c r="FC137" s="61">
        <v>2</v>
      </c>
      <c r="FD137" s="61" t="e">
        <f>#REF!</f>
        <v>#REF!</v>
      </c>
      <c r="FE137" s="61" t="e">
        <f>#REF!</f>
        <v>#REF!</v>
      </c>
      <c r="FF137" s="61" t="e">
        <f>#REF!</f>
        <v>#REF!</v>
      </c>
      <c r="FG137" s="61" t="e">
        <f>#REF!</f>
        <v>#REF!</v>
      </c>
      <c r="FH137" s="61" t="e">
        <f>#REF!</f>
        <v>#REF!</v>
      </c>
      <c r="FI137" s="61" t="e">
        <f>#REF!</f>
        <v>#REF!</v>
      </c>
    </row>
    <row r="138" spans="91:165" ht="15" customHeight="1" x14ac:dyDescent="0.15">
      <c r="FB138" s="60">
        <v>2</v>
      </c>
      <c r="FC138" s="61">
        <v>3</v>
      </c>
      <c r="FD138" s="61" t="e">
        <f>#REF!</f>
        <v>#REF!</v>
      </c>
      <c r="FE138" s="61" t="e">
        <f>#REF!</f>
        <v>#REF!</v>
      </c>
      <c r="FF138" s="61" t="e">
        <f>#REF!</f>
        <v>#REF!</v>
      </c>
      <c r="FG138" s="61" t="e">
        <f>#REF!</f>
        <v>#REF!</v>
      </c>
      <c r="FH138" s="61" t="e">
        <f>#REF!</f>
        <v>#REF!</v>
      </c>
      <c r="FI138" s="61" t="e">
        <f>#REF!</f>
        <v>#REF!</v>
      </c>
    </row>
    <row r="139" spans="91:165" ht="15" customHeight="1" x14ac:dyDescent="0.15">
      <c r="FB139" s="60">
        <v>2</v>
      </c>
      <c r="FC139" s="61">
        <v>4</v>
      </c>
      <c r="FD139" s="61" t="e">
        <f>#REF!</f>
        <v>#REF!</v>
      </c>
      <c r="FE139" s="61" t="e">
        <f>#REF!</f>
        <v>#REF!</v>
      </c>
      <c r="FF139" s="61" t="e">
        <f>#REF!</f>
        <v>#REF!</v>
      </c>
      <c r="FG139" s="61" t="e">
        <f>#REF!</f>
        <v>#REF!</v>
      </c>
      <c r="FH139" s="61" t="e">
        <f>#REF!</f>
        <v>#REF!</v>
      </c>
      <c r="FI139" s="61" t="e">
        <f>#REF!</f>
        <v>#REF!</v>
      </c>
    </row>
    <row r="140" spans="91:165" ht="15" customHeight="1" x14ac:dyDescent="0.15">
      <c r="FB140" s="60">
        <v>2</v>
      </c>
      <c r="FC140" s="61">
        <v>5</v>
      </c>
      <c r="FD140" s="61" t="e">
        <f>#REF!</f>
        <v>#REF!</v>
      </c>
      <c r="FE140" s="61" t="e">
        <f>#REF!</f>
        <v>#REF!</v>
      </c>
      <c r="FF140" s="61" t="e">
        <f>#REF!</f>
        <v>#REF!</v>
      </c>
      <c r="FG140" s="61" t="e">
        <f>#REF!</f>
        <v>#REF!</v>
      </c>
      <c r="FH140" s="61" t="e">
        <f>#REF!</f>
        <v>#REF!</v>
      </c>
      <c r="FI140" s="61" t="e">
        <f>#REF!</f>
        <v>#REF!</v>
      </c>
    </row>
    <row r="141" spans="91:165" ht="15" customHeight="1" x14ac:dyDescent="0.15">
      <c r="FB141" s="60">
        <v>2</v>
      </c>
      <c r="FC141" s="61">
        <v>6</v>
      </c>
      <c r="FD141" s="61" t="e">
        <f>#REF!</f>
        <v>#REF!</v>
      </c>
      <c r="FE141" s="61" t="e">
        <f>#REF!</f>
        <v>#REF!</v>
      </c>
      <c r="FF141" s="61" t="e">
        <f>#REF!</f>
        <v>#REF!</v>
      </c>
      <c r="FG141" s="61" t="e">
        <f>#REF!</f>
        <v>#REF!</v>
      </c>
      <c r="FH141" s="61" t="e">
        <f>#REF!</f>
        <v>#REF!</v>
      </c>
      <c r="FI141" s="61" t="e">
        <f>#REF!</f>
        <v>#REF!</v>
      </c>
    </row>
    <row r="142" spans="91:165" ht="15" customHeight="1" x14ac:dyDescent="0.15">
      <c r="FB142" s="60">
        <v>2</v>
      </c>
      <c r="FC142" s="61">
        <v>7</v>
      </c>
      <c r="FD142" s="61" t="e">
        <f>#REF!</f>
        <v>#REF!</v>
      </c>
      <c r="FE142" s="61" t="e">
        <f>#REF!</f>
        <v>#REF!</v>
      </c>
      <c r="FF142" s="61" t="e">
        <f>#REF!</f>
        <v>#REF!</v>
      </c>
      <c r="FG142" s="61" t="e">
        <f>#REF!</f>
        <v>#REF!</v>
      </c>
      <c r="FH142" s="61" t="e">
        <f>#REF!</f>
        <v>#REF!</v>
      </c>
      <c r="FI142" s="61" t="e">
        <f>#REF!</f>
        <v>#REF!</v>
      </c>
    </row>
    <row r="143" spans="91:165" ht="15" customHeight="1" x14ac:dyDescent="0.15">
      <c r="FB143" s="60">
        <v>2</v>
      </c>
      <c r="FC143" s="61">
        <v>8</v>
      </c>
      <c r="FD143" s="61" t="e">
        <f>#REF!</f>
        <v>#REF!</v>
      </c>
      <c r="FE143" s="61" t="e">
        <f>#REF!</f>
        <v>#REF!</v>
      </c>
      <c r="FF143" s="61" t="e">
        <f>#REF!</f>
        <v>#REF!</v>
      </c>
      <c r="FG143" s="61" t="e">
        <f>#REF!</f>
        <v>#REF!</v>
      </c>
      <c r="FH143" s="61" t="e">
        <f>#REF!</f>
        <v>#REF!</v>
      </c>
      <c r="FI143" s="61" t="e">
        <f>#REF!</f>
        <v>#REF!</v>
      </c>
    </row>
    <row r="144" spans="91:165" ht="15" customHeight="1" x14ac:dyDescent="0.15">
      <c r="FB144" s="60">
        <v>2</v>
      </c>
      <c r="FC144" s="61">
        <v>9</v>
      </c>
      <c r="FD144" s="61" t="e">
        <f>#REF!</f>
        <v>#REF!</v>
      </c>
      <c r="FE144" s="61" t="e">
        <f>#REF!</f>
        <v>#REF!</v>
      </c>
      <c r="FF144" s="61" t="e">
        <f>#REF!</f>
        <v>#REF!</v>
      </c>
      <c r="FG144" s="61" t="e">
        <f>#REF!</f>
        <v>#REF!</v>
      </c>
      <c r="FH144" s="61" t="e">
        <f>#REF!</f>
        <v>#REF!</v>
      </c>
      <c r="FI144" s="61" t="e">
        <f>#REF!</f>
        <v>#REF!</v>
      </c>
    </row>
    <row r="145" spans="158:165" ht="15" customHeight="1" x14ac:dyDescent="0.15">
      <c r="FB145" s="60">
        <v>2</v>
      </c>
      <c r="FC145" s="61">
        <v>10</v>
      </c>
      <c r="FD145" s="61" t="e">
        <f>#REF!</f>
        <v>#REF!</v>
      </c>
      <c r="FE145" s="61" t="e">
        <f>#REF!</f>
        <v>#REF!</v>
      </c>
      <c r="FF145" s="61" t="e">
        <f>#REF!</f>
        <v>#REF!</v>
      </c>
      <c r="FG145" s="61" t="e">
        <f>#REF!</f>
        <v>#REF!</v>
      </c>
      <c r="FH145" s="61" t="e">
        <f>#REF!</f>
        <v>#REF!</v>
      </c>
      <c r="FI145" s="61" t="e">
        <f>#REF!</f>
        <v>#REF!</v>
      </c>
    </row>
    <row r="146" spans="158:165" ht="15" customHeight="1" x14ac:dyDescent="0.15">
      <c r="FB146" s="60">
        <v>2</v>
      </c>
      <c r="FC146" s="61">
        <v>11</v>
      </c>
      <c r="FD146" s="61" t="e">
        <f>#REF!</f>
        <v>#REF!</v>
      </c>
      <c r="FE146" s="61" t="e">
        <f>#REF!</f>
        <v>#REF!</v>
      </c>
      <c r="FF146" s="61" t="e">
        <f>#REF!</f>
        <v>#REF!</v>
      </c>
      <c r="FG146" s="61" t="e">
        <f>#REF!</f>
        <v>#REF!</v>
      </c>
      <c r="FH146" s="61" t="e">
        <f>#REF!</f>
        <v>#REF!</v>
      </c>
      <c r="FI146" s="61" t="e">
        <f>#REF!</f>
        <v>#REF!</v>
      </c>
    </row>
    <row r="147" spans="158:165" ht="15" customHeight="1" x14ac:dyDescent="0.15">
      <c r="FB147" s="60">
        <v>2</v>
      </c>
      <c r="FC147" s="61">
        <v>12</v>
      </c>
      <c r="FD147" s="61" t="e">
        <f>#REF!</f>
        <v>#REF!</v>
      </c>
      <c r="FE147" s="61" t="e">
        <f>#REF!</f>
        <v>#REF!</v>
      </c>
      <c r="FF147" s="61" t="e">
        <f>#REF!</f>
        <v>#REF!</v>
      </c>
      <c r="FG147" s="61" t="e">
        <f>#REF!</f>
        <v>#REF!</v>
      </c>
      <c r="FH147" s="61" t="e">
        <f>#REF!</f>
        <v>#REF!</v>
      </c>
      <c r="FI147" s="61" t="e">
        <f>#REF!</f>
        <v>#REF!</v>
      </c>
    </row>
    <row r="148" spans="158:165" ht="15" customHeight="1" x14ac:dyDescent="0.15">
      <c r="FB148" s="60">
        <v>2</v>
      </c>
      <c r="FC148" s="61">
        <v>13</v>
      </c>
      <c r="FD148" s="61" t="e">
        <f>#REF!</f>
        <v>#REF!</v>
      </c>
      <c r="FE148" s="61" t="e">
        <f>#REF!</f>
        <v>#REF!</v>
      </c>
      <c r="FF148" s="61" t="e">
        <f>#REF!</f>
        <v>#REF!</v>
      </c>
      <c r="FG148" s="61" t="e">
        <f>#REF!</f>
        <v>#REF!</v>
      </c>
      <c r="FH148" s="61" t="e">
        <f>#REF!</f>
        <v>#REF!</v>
      </c>
      <c r="FI148" s="61" t="e">
        <f>#REF!</f>
        <v>#REF!</v>
      </c>
    </row>
    <row r="149" spans="158:165" ht="15" customHeight="1" x14ac:dyDescent="0.15">
      <c r="FB149" s="60">
        <v>2</v>
      </c>
      <c r="FC149" s="61">
        <v>14</v>
      </c>
      <c r="FD149" s="61" t="e">
        <f>#REF!</f>
        <v>#REF!</v>
      </c>
      <c r="FE149" s="61" t="e">
        <f>#REF!</f>
        <v>#REF!</v>
      </c>
      <c r="FF149" s="61" t="e">
        <f>#REF!</f>
        <v>#REF!</v>
      </c>
      <c r="FG149" s="61" t="e">
        <f>#REF!</f>
        <v>#REF!</v>
      </c>
      <c r="FH149" s="61" t="e">
        <f>#REF!</f>
        <v>#REF!</v>
      </c>
      <c r="FI149" s="61" t="e">
        <f>#REF!</f>
        <v>#REF!</v>
      </c>
    </row>
    <row r="150" spans="158:165" ht="15" customHeight="1" x14ac:dyDescent="0.15">
      <c r="FB150" s="60">
        <v>2</v>
      </c>
      <c r="FC150" s="61">
        <v>15</v>
      </c>
      <c r="FD150" s="61" t="e">
        <f>#REF!</f>
        <v>#REF!</v>
      </c>
      <c r="FE150" s="61" t="e">
        <f>#REF!</f>
        <v>#REF!</v>
      </c>
      <c r="FF150" s="61" t="e">
        <f>#REF!</f>
        <v>#REF!</v>
      </c>
      <c r="FG150" s="61" t="e">
        <f>#REF!</f>
        <v>#REF!</v>
      </c>
      <c r="FH150" s="61" t="e">
        <f>#REF!</f>
        <v>#REF!</v>
      </c>
      <c r="FI150" s="61" t="e">
        <f>#REF!</f>
        <v>#REF!</v>
      </c>
    </row>
    <row r="151" spans="158:165" ht="15" customHeight="1" x14ac:dyDescent="0.15">
      <c r="FB151" s="60">
        <v>2</v>
      </c>
      <c r="FC151" s="61">
        <v>16</v>
      </c>
      <c r="FD151" s="61" t="e">
        <f>#REF!</f>
        <v>#REF!</v>
      </c>
      <c r="FE151" s="61" t="e">
        <f>#REF!</f>
        <v>#REF!</v>
      </c>
      <c r="FF151" s="61" t="e">
        <f>#REF!</f>
        <v>#REF!</v>
      </c>
      <c r="FG151" s="61" t="e">
        <f>#REF!</f>
        <v>#REF!</v>
      </c>
      <c r="FH151" s="61" t="e">
        <f>#REF!</f>
        <v>#REF!</v>
      </c>
      <c r="FI151" s="61" t="e">
        <f>#REF!</f>
        <v>#REF!</v>
      </c>
    </row>
    <row r="152" spans="158:165" ht="15" customHeight="1" x14ac:dyDescent="0.15">
      <c r="FB152" s="60">
        <v>2</v>
      </c>
      <c r="FC152" s="61">
        <v>17</v>
      </c>
      <c r="FD152" s="61" t="e">
        <f>#REF!</f>
        <v>#REF!</v>
      </c>
      <c r="FE152" s="61" t="e">
        <f>#REF!</f>
        <v>#REF!</v>
      </c>
      <c r="FF152" s="61" t="e">
        <f>#REF!</f>
        <v>#REF!</v>
      </c>
      <c r="FG152" s="61" t="e">
        <f>#REF!</f>
        <v>#REF!</v>
      </c>
      <c r="FH152" s="61" t="e">
        <f>#REF!</f>
        <v>#REF!</v>
      </c>
      <c r="FI152" s="61" t="e">
        <f>#REF!</f>
        <v>#REF!</v>
      </c>
    </row>
    <row r="153" spans="158:165" ht="15" customHeight="1" x14ac:dyDescent="0.15">
      <c r="FB153" s="60">
        <v>2</v>
      </c>
      <c r="FC153" s="61">
        <v>18</v>
      </c>
      <c r="FD153" s="61" t="e">
        <f>#REF!</f>
        <v>#REF!</v>
      </c>
      <c r="FE153" s="61" t="e">
        <f>#REF!</f>
        <v>#REF!</v>
      </c>
      <c r="FF153" s="61" t="e">
        <f>#REF!</f>
        <v>#REF!</v>
      </c>
      <c r="FG153" s="61" t="e">
        <f>#REF!</f>
        <v>#REF!</v>
      </c>
      <c r="FH153" s="61" t="e">
        <f>#REF!</f>
        <v>#REF!</v>
      </c>
      <c r="FI153" s="61" t="e">
        <f>#REF!</f>
        <v>#REF!</v>
      </c>
    </row>
    <row r="154" spans="158:165" ht="15" customHeight="1" x14ac:dyDescent="0.15">
      <c r="FB154" s="60">
        <v>2</v>
      </c>
      <c r="FC154" s="61">
        <v>19</v>
      </c>
      <c r="FD154" s="61" t="e">
        <f>#REF!</f>
        <v>#REF!</v>
      </c>
      <c r="FE154" s="61" t="e">
        <f>#REF!</f>
        <v>#REF!</v>
      </c>
      <c r="FF154" s="61" t="e">
        <f>#REF!</f>
        <v>#REF!</v>
      </c>
      <c r="FG154" s="61" t="e">
        <f>#REF!</f>
        <v>#REF!</v>
      </c>
      <c r="FH154" s="61" t="e">
        <f>#REF!</f>
        <v>#REF!</v>
      </c>
      <c r="FI154" s="61" t="e">
        <f>#REF!</f>
        <v>#REF!</v>
      </c>
    </row>
    <row r="155" spans="158:165" ht="15" customHeight="1" x14ac:dyDescent="0.15">
      <c r="FB155" s="60">
        <v>2</v>
      </c>
      <c r="FC155" s="61">
        <v>20</v>
      </c>
      <c r="FD155" s="61" t="e">
        <f>#REF!</f>
        <v>#REF!</v>
      </c>
      <c r="FE155" s="61" t="e">
        <f>#REF!</f>
        <v>#REF!</v>
      </c>
      <c r="FF155" s="61" t="e">
        <f>#REF!</f>
        <v>#REF!</v>
      </c>
      <c r="FG155" s="61" t="e">
        <f>#REF!</f>
        <v>#REF!</v>
      </c>
      <c r="FH155" s="61" t="e">
        <f>#REF!</f>
        <v>#REF!</v>
      </c>
      <c r="FI155" s="61" t="e">
        <f>#REF!</f>
        <v>#REF!</v>
      </c>
    </row>
    <row r="156" spans="158:165" ht="15" customHeight="1" x14ac:dyDescent="0.15">
      <c r="FB156" s="60">
        <v>2</v>
      </c>
      <c r="FC156" s="61">
        <v>21</v>
      </c>
      <c r="FD156" s="61" t="e">
        <f>#REF!</f>
        <v>#REF!</v>
      </c>
      <c r="FE156" s="61" t="e">
        <f>#REF!</f>
        <v>#REF!</v>
      </c>
      <c r="FF156" s="61" t="e">
        <f>#REF!</f>
        <v>#REF!</v>
      </c>
      <c r="FG156" s="61" t="e">
        <f>#REF!</f>
        <v>#REF!</v>
      </c>
      <c r="FH156" s="61" t="e">
        <f>#REF!</f>
        <v>#REF!</v>
      </c>
      <c r="FI156" s="61" t="e">
        <f>#REF!</f>
        <v>#REF!</v>
      </c>
    </row>
    <row r="157" spans="158:165" ht="15" customHeight="1" x14ac:dyDescent="0.15">
      <c r="FB157" s="60">
        <v>2</v>
      </c>
      <c r="FC157" s="61">
        <v>22</v>
      </c>
      <c r="FD157" s="61" t="e">
        <f>#REF!</f>
        <v>#REF!</v>
      </c>
      <c r="FE157" s="61" t="e">
        <f>#REF!</f>
        <v>#REF!</v>
      </c>
      <c r="FF157" s="61" t="e">
        <f>#REF!</f>
        <v>#REF!</v>
      </c>
      <c r="FG157" s="61" t="e">
        <f>#REF!</f>
        <v>#REF!</v>
      </c>
      <c r="FH157" s="61" t="e">
        <f>#REF!</f>
        <v>#REF!</v>
      </c>
      <c r="FI157" s="61" t="e">
        <f>#REF!</f>
        <v>#REF!</v>
      </c>
    </row>
    <row r="158" spans="158:165" ht="15" customHeight="1" x14ac:dyDescent="0.15">
      <c r="FB158" s="60">
        <v>2</v>
      </c>
      <c r="FC158" s="61">
        <v>23</v>
      </c>
      <c r="FD158" s="61" t="e">
        <f>#REF!</f>
        <v>#REF!</v>
      </c>
      <c r="FE158" s="61" t="e">
        <f>#REF!</f>
        <v>#REF!</v>
      </c>
      <c r="FF158" s="61" t="e">
        <f>#REF!</f>
        <v>#REF!</v>
      </c>
      <c r="FG158" s="61" t="e">
        <f>#REF!</f>
        <v>#REF!</v>
      </c>
      <c r="FH158" s="61" t="e">
        <f>#REF!</f>
        <v>#REF!</v>
      </c>
      <c r="FI158" s="61" t="e">
        <f>#REF!</f>
        <v>#REF!</v>
      </c>
    </row>
    <row r="159" spans="158:165" ht="15" customHeight="1" x14ac:dyDescent="0.15">
      <c r="FB159" s="60">
        <v>3</v>
      </c>
      <c r="FC159" s="61">
        <v>1</v>
      </c>
      <c r="FD159" s="61" t="e">
        <f>#REF!</f>
        <v>#REF!</v>
      </c>
      <c r="FE159" s="61" t="e">
        <f>#REF!</f>
        <v>#REF!</v>
      </c>
      <c r="FF159" s="61" t="e">
        <f>#REF!</f>
        <v>#REF!</v>
      </c>
      <c r="FG159" s="61" t="e">
        <f>#REF!</f>
        <v>#REF!</v>
      </c>
      <c r="FH159" s="61" t="e">
        <f>#REF!</f>
        <v>#REF!</v>
      </c>
      <c r="FI159" s="61" t="e">
        <f>#REF!</f>
        <v>#REF!</v>
      </c>
    </row>
    <row r="160" spans="158:165" ht="15" customHeight="1" x14ac:dyDescent="0.15">
      <c r="FB160" s="60">
        <v>3</v>
      </c>
      <c r="FC160" s="61">
        <v>2</v>
      </c>
      <c r="FD160" s="61" t="e">
        <f>#REF!</f>
        <v>#REF!</v>
      </c>
      <c r="FE160" s="61" t="e">
        <f>#REF!</f>
        <v>#REF!</v>
      </c>
      <c r="FF160" s="61" t="e">
        <f>#REF!</f>
        <v>#REF!</v>
      </c>
      <c r="FG160" s="61" t="e">
        <f>#REF!</f>
        <v>#REF!</v>
      </c>
      <c r="FH160" s="61" t="e">
        <f>#REF!</f>
        <v>#REF!</v>
      </c>
      <c r="FI160" s="61" t="e">
        <f>#REF!</f>
        <v>#REF!</v>
      </c>
    </row>
    <row r="161" spans="16:165" ht="15" customHeight="1" x14ac:dyDescent="0.15">
      <c r="FB161" s="60">
        <v>3</v>
      </c>
      <c r="FC161" s="61">
        <v>3</v>
      </c>
      <c r="FD161" s="61" t="e">
        <f>#REF!</f>
        <v>#REF!</v>
      </c>
      <c r="FE161" s="61" t="e">
        <f>#REF!</f>
        <v>#REF!</v>
      </c>
      <c r="FF161" s="61" t="e">
        <f>#REF!</f>
        <v>#REF!</v>
      </c>
      <c r="FG161" s="61" t="e">
        <f>#REF!</f>
        <v>#REF!</v>
      </c>
      <c r="FH161" s="61" t="e">
        <f>#REF!</f>
        <v>#REF!</v>
      </c>
      <c r="FI161" s="61" t="e">
        <f>#REF!</f>
        <v>#REF!</v>
      </c>
    </row>
    <row r="162" spans="16:165" ht="15" customHeight="1" x14ac:dyDescent="0.15">
      <c r="FB162" s="60">
        <v>3</v>
      </c>
      <c r="FC162" s="61">
        <v>4</v>
      </c>
      <c r="FD162" s="61" t="e">
        <f>#REF!</f>
        <v>#REF!</v>
      </c>
      <c r="FE162" s="61" t="e">
        <f>#REF!</f>
        <v>#REF!</v>
      </c>
      <c r="FF162" s="61" t="e">
        <f>#REF!</f>
        <v>#REF!</v>
      </c>
      <c r="FG162" s="61" t="e">
        <f>#REF!</f>
        <v>#REF!</v>
      </c>
      <c r="FH162" s="61" t="e">
        <f>#REF!</f>
        <v>#REF!</v>
      </c>
      <c r="FI162" s="61" t="e">
        <f>#REF!</f>
        <v>#REF!</v>
      </c>
    </row>
    <row r="163" spans="16:165" ht="15" customHeight="1" x14ac:dyDescent="0.15">
      <c r="FB163" s="60">
        <v>3</v>
      </c>
      <c r="FC163" s="61">
        <v>5</v>
      </c>
      <c r="FD163" s="61" t="e">
        <f>#REF!</f>
        <v>#REF!</v>
      </c>
      <c r="FE163" s="61" t="e">
        <f>#REF!</f>
        <v>#REF!</v>
      </c>
      <c r="FF163" s="61" t="e">
        <f>#REF!</f>
        <v>#REF!</v>
      </c>
      <c r="FG163" s="61" t="e">
        <f>#REF!</f>
        <v>#REF!</v>
      </c>
      <c r="FH163" s="61" t="e">
        <f>#REF!</f>
        <v>#REF!</v>
      </c>
      <c r="FI163" s="61" t="e">
        <f>#REF!</f>
        <v>#REF!</v>
      </c>
    </row>
    <row r="164" spans="16:165" ht="15" customHeight="1" x14ac:dyDescent="0.15">
      <c r="FB164" s="60">
        <v>3</v>
      </c>
      <c r="FC164" s="61">
        <v>6</v>
      </c>
      <c r="FD164" s="61" t="e">
        <f>#REF!</f>
        <v>#REF!</v>
      </c>
      <c r="FE164" s="61" t="e">
        <f>#REF!</f>
        <v>#REF!</v>
      </c>
      <c r="FF164" s="61" t="e">
        <f>#REF!</f>
        <v>#REF!</v>
      </c>
      <c r="FG164" s="61" t="e">
        <f>#REF!</f>
        <v>#REF!</v>
      </c>
      <c r="FH164" s="61" t="e">
        <f>#REF!</f>
        <v>#REF!</v>
      </c>
      <c r="FI164" s="61" t="e">
        <f>#REF!</f>
        <v>#REF!</v>
      </c>
    </row>
    <row r="165" spans="16:165" ht="15" customHeight="1" x14ac:dyDescent="0.15">
      <c r="FB165" s="60">
        <v>3</v>
      </c>
      <c r="FC165" s="61">
        <v>7</v>
      </c>
      <c r="FD165" s="61" t="e">
        <f>#REF!</f>
        <v>#REF!</v>
      </c>
      <c r="FE165" s="61" t="e">
        <f>#REF!</f>
        <v>#REF!</v>
      </c>
      <c r="FF165" s="61" t="e">
        <f>#REF!</f>
        <v>#REF!</v>
      </c>
      <c r="FG165" s="61" t="e">
        <f>#REF!</f>
        <v>#REF!</v>
      </c>
      <c r="FH165" s="61" t="e">
        <f>#REF!</f>
        <v>#REF!</v>
      </c>
      <c r="FI165" s="61" t="e">
        <f>#REF!</f>
        <v>#REF!</v>
      </c>
    </row>
    <row r="166" spans="16:165" ht="15" customHeight="1" x14ac:dyDescent="0.15">
      <c r="FB166" s="60">
        <v>3</v>
      </c>
      <c r="FC166" s="61">
        <v>8</v>
      </c>
      <c r="FD166" s="61" t="e">
        <f>#REF!</f>
        <v>#REF!</v>
      </c>
      <c r="FE166" s="61" t="e">
        <f>#REF!</f>
        <v>#REF!</v>
      </c>
      <c r="FF166" s="61" t="e">
        <f>#REF!</f>
        <v>#REF!</v>
      </c>
      <c r="FG166" s="61" t="e">
        <f>#REF!</f>
        <v>#REF!</v>
      </c>
      <c r="FH166" s="61" t="e">
        <f>#REF!</f>
        <v>#REF!</v>
      </c>
      <c r="FI166" s="61" t="e">
        <f>#REF!</f>
        <v>#REF!</v>
      </c>
    </row>
    <row r="167" spans="16:165" ht="15" customHeight="1" x14ac:dyDescent="0.15">
      <c r="FB167" s="60">
        <v>3</v>
      </c>
      <c r="FC167" s="61">
        <v>9</v>
      </c>
      <c r="FD167" s="61" t="e">
        <f>#REF!</f>
        <v>#REF!</v>
      </c>
      <c r="FE167" s="61" t="e">
        <f>#REF!</f>
        <v>#REF!</v>
      </c>
      <c r="FF167" s="61" t="e">
        <f>#REF!</f>
        <v>#REF!</v>
      </c>
      <c r="FG167" s="61" t="e">
        <f>#REF!</f>
        <v>#REF!</v>
      </c>
      <c r="FH167" s="61" t="e">
        <f>#REF!</f>
        <v>#REF!</v>
      </c>
      <c r="FI167" s="61" t="e">
        <f>#REF!</f>
        <v>#REF!</v>
      </c>
    </row>
    <row r="168" spans="16:165" ht="15" customHeight="1" x14ac:dyDescent="0.15">
      <c r="FB168" s="60">
        <v>3</v>
      </c>
      <c r="FC168" s="61">
        <v>10</v>
      </c>
      <c r="FD168" s="61" t="e">
        <f>#REF!</f>
        <v>#REF!</v>
      </c>
      <c r="FE168" s="61" t="e">
        <f>#REF!</f>
        <v>#REF!</v>
      </c>
      <c r="FF168" s="61" t="e">
        <f>#REF!</f>
        <v>#REF!</v>
      </c>
      <c r="FG168" s="61" t="e">
        <f>#REF!</f>
        <v>#REF!</v>
      </c>
      <c r="FH168" s="61" t="e">
        <f>#REF!</f>
        <v>#REF!</v>
      </c>
      <c r="FI168" s="61" t="e">
        <f>#REF!</f>
        <v>#REF!</v>
      </c>
    </row>
    <row r="169" spans="16:165" ht="15" customHeight="1" x14ac:dyDescent="0.15">
      <c r="FB169" s="60">
        <v>3</v>
      </c>
      <c r="FC169" s="61">
        <v>11</v>
      </c>
      <c r="FD169" s="61" t="e">
        <f>#REF!</f>
        <v>#REF!</v>
      </c>
      <c r="FE169" s="61" t="e">
        <f>#REF!</f>
        <v>#REF!</v>
      </c>
      <c r="FF169" s="61" t="e">
        <f>#REF!</f>
        <v>#REF!</v>
      </c>
      <c r="FG169" s="61" t="e">
        <f>#REF!</f>
        <v>#REF!</v>
      </c>
      <c r="FH169" s="61" t="e">
        <f>#REF!</f>
        <v>#REF!</v>
      </c>
      <c r="FI169" s="61" t="e">
        <f>#REF!</f>
        <v>#REF!</v>
      </c>
    </row>
    <row r="170" spans="16:165" ht="15" customHeight="1" x14ac:dyDescent="0.15">
      <c r="FB170" s="60">
        <v>3</v>
      </c>
      <c r="FC170" s="61">
        <v>12</v>
      </c>
      <c r="FD170" s="61" t="e">
        <f>#REF!</f>
        <v>#REF!</v>
      </c>
      <c r="FE170" s="61" t="e">
        <f>#REF!</f>
        <v>#REF!</v>
      </c>
      <c r="FF170" s="61" t="e">
        <f>#REF!</f>
        <v>#REF!</v>
      </c>
      <c r="FG170" s="61" t="e">
        <f>#REF!</f>
        <v>#REF!</v>
      </c>
      <c r="FH170" s="61" t="e">
        <f>#REF!</f>
        <v>#REF!</v>
      </c>
      <c r="FI170" s="61" t="e">
        <f>#REF!</f>
        <v>#REF!</v>
      </c>
    </row>
    <row r="171" spans="16:165" ht="15" customHeight="1" x14ac:dyDescent="0.15">
      <c r="FB171" s="60">
        <v>3</v>
      </c>
      <c r="FC171" s="61">
        <v>13</v>
      </c>
      <c r="FD171" s="61" t="e">
        <f>#REF!</f>
        <v>#REF!</v>
      </c>
      <c r="FE171" s="61" t="e">
        <f>#REF!</f>
        <v>#REF!</v>
      </c>
      <c r="FF171" s="61" t="e">
        <f>#REF!</f>
        <v>#REF!</v>
      </c>
      <c r="FG171" s="61" t="e">
        <f>#REF!</f>
        <v>#REF!</v>
      </c>
      <c r="FH171" s="61" t="e">
        <f>#REF!</f>
        <v>#REF!</v>
      </c>
      <c r="FI171" s="61" t="e">
        <f>#REF!</f>
        <v>#REF!</v>
      </c>
    </row>
    <row r="172" spans="16:165" ht="15" customHeight="1" x14ac:dyDescent="0.15">
      <c r="FB172" s="60">
        <v>3</v>
      </c>
      <c r="FC172" s="61">
        <v>14</v>
      </c>
      <c r="FD172" s="61" t="e">
        <f>#REF!</f>
        <v>#REF!</v>
      </c>
      <c r="FE172" s="61" t="e">
        <f>#REF!</f>
        <v>#REF!</v>
      </c>
      <c r="FF172" s="61" t="e">
        <f>#REF!</f>
        <v>#REF!</v>
      </c>
      <c r="FG172" s="61" t="e">
        <f>#REF!</f>
        <v>#REF!</v>
      </c>
      <c r="FH172" s="61" t="e">
        <f>#REF!</f>
        <v>#REF!</v>
      </c>
      <c r="FI172" s="61" t="e">
        <f>#REF!</f>
        <v>#REF!</v>
      </c>
    </row>
    <row r="173" spans="16:165" ht="15" customHeight="1" x14ac:dyDescent="0.15">
      <c r="P173" s="29"/>
      <c r="Q173" s="29"/>
      <c r="R173" s="29"/>
      <c r="S173" s="29"/>
      <c r="T173" s="29"/>
      <c r="U173" s="29"/>
      <c r="V173" s="29"/>
      <c r="W173" s="29"/>
      <c r="FB173" s="60">
        <v>3</v>
      </c>
      <c r="FC173" s="61">
        <v>15</v>
      </c>
      <c r="FD173" s="61" t="e">
        <f>#REF!</f>
        <v>#REF!</v>
      </c>
      <c r="FE173" s="61" t="e">
        <f>#REF!</f>
        <v>#REF!</v>
      </c>
      <c r="FF173" s="61" t="e">
        <f>#REF!</f>
        <v>#REF!</v>
      </c>
      <c r="FG173" s="61" t="e">
        <f>#REF!</f>
        <v>#REF!</v>
      </c>
      <c r="FH173" s="61" t="e">
        <f>#REF!</f>
        <v>#REF!</v>
      </c>
      <c r="FI173" s="61" t="e">
        <f>#REF!</f>
        <v>#REF!</v>
      </c>
    </row>
    <row r="174" spans="16:165" ht="15" customHeight="1" x14ac:dyDescent="0.15">
      <c r="P174" s="29">
        <v>0</v>
      </c>
      <c r="Q174" s="29">
        <v>15</v>
      </c>
      <c r="R174" s="29">
        <v>32</v>
      </c>
      <c r="S174" s="29">
        <v>117</v>
      </c>
      <c r="T174" s="29">
        <v>41</v>
      </c>
      <c r="U174" s="29">
        <v>124</v>
      </c>
      <c r="V174" s="29"/>
      <c r="W174" s="29"/>
      <c r="FB174" s="60">
        <v>3</v>
      </c>
      <c r="FC174" s="61">
        <v>16</v>
      </c>
      <c r="FD174" s="61" t="e">
        <f>#REF!</f>
        <v>#REF!</v>
      </c>
      <c r="FE174" s="61" t="e">
        <f>#REF!</f>
        <v>#REF!</v>
      </c>
      <c r="FF174" s="61" t="e">
        <f>#REF!</f>
        <v>#REF!</v>
      </c>
      <c r="FG174" s="61" t="e">
        <f>#REF!</f>
        <v>#REF!</v>
      </c>
      <c r="FH174" s="61" t="e">
        <f>#REF!</f>
        <v>#REF!</v>
      </c>
      <c r="FI174" s="61" t="e">
        <f>#REF!</f>
        <v>#REF!</v>
      </c>
    </row>
    <row r="175" spans="16:165" ht="15" customHeight="1" x14ac:dyDescent="0.15">
      <c r="P175" s="29"/>
      <c r="Q175" s="29"/>
      <c r="R175" s="29"/>
      <c r="S175" s="29"/>
      <c r="T175" s="29"/>
      <c r="U175" s="29"/>
      <c r="V175" s="29"/>
      <c r="W175" s="29"/>
      <c r="FB175" s="60">
        <v>3</v>
      </c>
      <c r="FC175" s="61">
        <v>17</v>
      </c>
      <c r="FD175" s="61" t="e">
        <f>#REF!</f>
        <v>#REF!</v>
      </c>
      <c r="FE175" s="61" t="e">
        <f>#REF!</f>
        <v>#REF!</v>
      </c>
      <c r="FF175" s="61" t="e">
        <f>#REF!</f>
        <v>#REF!</v>
      </c>
      <c r="FG175" s="61" t="e">
        <f>#REF!</f>
        <v>#REF!</v>
      </c>
      <c r="FH175" s="61" t="e">
        <f>#REF!</f>
        <v>#REF!</v>
      </c>
      <c r="FI175" s="61" t="e">
        <f>#REF!</f>
        <v>#REF!</v>
      </c>
    </row>
    <row r="176" spans="16:165" ht="15" customHeight="1" x14ac:dyDescent="0.15">
      <c r="P176" s="29" t="s">
        <v>84</v>
      </c>
      <c r="Q176" s="29"/>
      <c r="R176" s="29"/>
      <c r="S176" s="29"/>
      <c r="T176" s="29"/>
      <c r="U176" s="29"/>
      <c r="V176" s="29"/>
      <c r="W176" s="29"/>
      <c r="FB176" s="60">
        <v>3</v>
      </c>
      <c r="FC176" s="61">
        <v>18</v>
      </c>
      <c r="FD176" s="61" t="e">
        <f>#REF!</f>
        <v>#REF!</v>
      </c>
      <c r="FE176" s="61" t="e">
        <f>#REF!</f>
        <v>#REF!</v>
      </c>
      <c r="FF176" s="61" t="e">
        <f>#REF!</f>
        <v>#REF!</v>
      </c>
      <c r="FG176" s="61" t="e">
        <f>#REF!</f>
        <v>#REF!</v>
      </c>
      <c r="FH176" s="61" t="e">
        <f>#REF!</f>
        <v>#REF!</v>
      </c>
      <c r="FI176" s="61" t="e">
        <f>#REF!</f>
        <v>#REF!</v>
      </c>
    </row>
    <row r="177" spans="1:165" ht="15" customHeight="1" x14ac:dyDescent="0.15"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FB177" s="60">
        <v>3</v>
      </c>
      <c r="FC177" s="61">
        <v>19</v>
      </c>
      <c r="FD177" s="61" t="e">
        <f>#REF!</f>
        <v>#REF!</v>
      </c>
      <c r="FE177" s="61" t="e">
        <f>#REF!</f>
        <v>#REF!</v>
      </c>
      <c r="FF177" s="61" t="e">
        <f>#REF!</f>
        <v>#REF!</v>
      </c>
      <c r="FG177" s="61" t="e">
        <f>#REF!</f>
        <v>#REF!</v>
      </c>
      <c r="FH177" s="61" t="e">
        <f>#REF!</f>
        <v>#REF!</v>
      </c>
      <c r="FI177" s="61" t="e">
        <f>#REF!</f>
        <v>#REF!</v>
      </c>
    </row>
    <row r="178" spans="1:165" ht="15" customHeight="1" x14ac:dyDescent="0.15">
      <c r="A178" s="28"/>
      <c r="P178" s="29"/>
      <c r="Q178" s="29"/>
      <c r="R178" s="29"/>
      <c r="S178" s="29"/>
      <c r="T178" s="29"/>
      <c r="U178" s="29"/>
      <c r="FB178" s="60">
        <v>3</v>
      </c>
      <c r="FC178" s="61">
        <v>20</v>
      </c>
      <c r="FD178" s="61" t="e">
        <f>#REF!</f>
        <v>#REF!</v>
      </c>
      <c r="FE178" s="61" t="e">
        <f>#REF!</f>
        <v>#REF!</v>
      </c>
      <c r="FF178" s="61" t="e">
        <f>#REF!</f>
        <v>#REF!</v>
      </c>
      <c r="FG178" s="61" t="e">
        <f>#REF!</f>
        <v>#REF!</v>
      </c>
      <c r="FH178" s="61" t="e">
        <f>#REF!</f>
        <v>#REF!</v>
      </c>
      <c r="FI178" s="61" t="e">
        <f>#REF!</f>
        <v>#REF!</v>
      </c>
    </row>
    <row r="179" spans="1:165" ht="15" customHeight="1" x14ac:dyDescent="0.15">
      <c r="P179" s="29"/>
      <c r="Q179" s="2"/>
      <c r="R179" s="2"/>
      <c r="S179" s="2"/>
      <c r="FB179" s="60">
        <v>3</v>
      </c>
      <c r="FC179" s="61">
        <v>21</v>
      </c>
      <c r="FD179" s="61" t="e">
        <f>#REF!</f>
        <v>#REF!</v>
      </c>
      <c r="FE179" s="61" t="e">
        <f>#REF!</f>
        <v>#REF!</v>
      </c>
      <c r="FF179" s="61" t="e">
        <f>#REF!</f>
        <v>#REF!</v>
      </c>
      <c r="FG179" s="61" t="e">
        <f>#REF!</f>
        <v>#REF!</v>
      </c>
      <c r="FH179" s="61" t="e">
        <f>#REF!</f>
        <v>#REF!</v>
      </c>
      <c r="FI179" s="61" t="e">
        <f>#REF!</f>
        <v>#REF!</v>
      </c>
    </row>
    <row r="180" spans="1:165" ht="15" customHeight="1" x14ac:dyDescent="0.15">
      <c r="FB180" s="60">
        <v>3</v>
      </c>
      <c r="FC180" s="61">
        <v>22</v>
      </c>
      <c r="FD180" s="61" t="e">
        <f>#REF!</f>
        <v>#REF!</v>
      </c>
      <c r="FE180" s="61" t="e">
        <f>#REF!</f>
        <v>#REF!</v>
      </c>
      <c r="FF180" s="61" t="e">
        <f>#REF!</f>
        <v>#REF!</v>
      </c>
      <c r="FG180" s="61" t="e">
        <f>#REF!</f>
        <v>#REF!</v>
      </c>
      <c r="FH180" s="61" t="e">
        <f>#REF!</f>
        <v>#REF!</v>
      </c>
      <c r="FI180" s="61" t="e">
        <f>#REF!</f>
        <v>#REF!</v>
      </c>
    </row>
    <row r="181" spans="1:165" ht="15" customHeight="1" x14ac:dyDescent="0.15">
      <c r="FB181" s="60">
        <v>3</v>
      </c>
      <c r="FC181" s="61">
        <v>23</v>
      </c>
      <c r="FD181" s="61" t="e">
        <f>#REF!</f>
        <v>#REF!</v>
      </c>
      <c r="FE181" s="61" t="e">
        <f>#REF!</f>
        <v>#REF!</v>
      </c>
      <c r="FF181" s="61" t="e">
        <f>#REF!</f>
        <v>#REF!</v>
      </c>
      <c r="FG181" s="61" t="e">
        <f>#REF!</f>
        <v>#REF!</v>
      </c>
      <c r="FH181" s="61" t="e">
        <f>#REF!</f>
        <v>#REF!</v>
      </c>
      <c r="FI181" s="61" t="e">
        <f>#REF!</f>
        <v>#REF!</v>
      </c>
    </row>
    <row r="182" spans="1:165" ht="15" customHeight="1" x14ac:dyDescent="0.15">
      <c r="FB182" s="60"/>
      <c r="FC182" s="61"/>
      <c r="FD182" s="61"/>
      <c r="FE182" s="61"/>
      <c r="FF182" s="61"/>
      <c r="FG182" s="61"/>
      <c r="FH182" s="61"/>
      <c r="FI182" s="61"/>
    </row>
    <row r="183" spans="1:165" ht="15" customHeight="1" x14ac:dyDescent="0.15">
      <c r="FB183" s="60"/>
      <c r="FC183" s="61"/>
      <c r="FD183" s="61"/>
      <c r="FE183" s="61"/>
      <c r="FF183" s="61"/>
      <c r="FG183" s="61"/>
      <c r="FH183" s="61"/>
      <c r="FI183" s="61"/>
    </row>
    <row r="184" spans="1:165" ht="15" customHeight="1" x14ac:dyDescent="0.15">
      <c r="FB184" s="60"/>
      <c r="FC184" s="61"/>
      <c r="FD184" s="61"/>
      <c r="FE184" s="61"/>
      <c r="FF184" s="61"/>
      <c r="FG184" s="61"/>
      <c r="FH184" s="61"/>
      <c r="FI184" s="61"/>
    </row>
    <row r="185" spans="1:165" ht="15" customHeight="1" x14ac:dyDescent="0.15">
      <c r="FB185" s="60"/>
      <c r="FC185" s="61"/>
      <c r="FD185" s="61"/>
      <c r="FE185" s="61"/>
      <c r="FF185" s="61"/>
      <c r="FG185" s="61"/>
      <c r="FH185" s="61"/>
      <c r="FI185" s="61"/>
    </row>
    <row r="186" spans="1:165" ht="15" customHeight="1" x14ac:dyDescent="0.15">
      <c r="FB186" s="60"/>
      <c r="FC186" s="61"/>
      <c r="FD186" s="61"/>
      <c r="FE186" s="61"/>
      <c r="FF186" s="61"/>
      <c r="FG186" s="61"/>
      <c r="FH186" s="61"/>
      <c r="FI186" s="61"/>
    </row>
    <row r="187" spans="1:165" ht="15" customHeight="1" x14ac:dyDescent="0.15">
      <c r="FB187" s="60"/>
      <c r="FC187" s="61"/>
      <c r="FD187" s="61"/>
      <c r="FE187" s="61"/>
      <c r="FF187" s="61"/>
      <c r="FG187" s="61"/>
      <c r="FH187" s="61"/>
      <c r="FI187" s="61"/>
    </row>
    <row r="188" spans="1:165" ht="15" customHeight="1" x14ac:dyDescent="0.15">
      <c r="FB188" s="60"/>
      <c r="FC188" s="61"/>
      <c r="FD188" s="61"/>
      <c r="FE188" s="61"/>
      <c r="FF188" s="61"/>
      <c r="FG188" s="61"/>
      <c r="FH188" s="61"/>
      <c r="FI188" s="61"/>
    </row>
    <row r="189" spans="1:165" ht="15" customHeight="1" x14ac:dyDescent="0.15">
      <c r="FB189" s="60"/>
      <c r="FC189" s="61"/>
      <c r="FD189" s="61"/>
      <c r="FE189" s="61"/>
      <c r="FF189" s="61"/>
      <c r="FG189" s="61"/>
      <c r="FH189" s="61"/>
      <c r="FI189" s="61"/>
    </row>
    <row r="190" spans="1:165" ht="15" customHeight="1" x14ac:dyDescent="0.15">
      <c r="FB190" s="60"/>
      <c r="FC190" s="61"/>
      <c r="FD190" s="61"/>
      <c r="FE190" s="61"/>
      <c r="FF190" s="61"/>
      <c r="FG190" s="61"/>
      <c r="FH190" s="61"/>
      <c r="FI190" s="61"/>
    </row>
    <row r="191" spans="1:165" ht="15" customHeight="1" x14ac:dyDescent="0.15">
      <c r="FB191" s="60"/>
      <c r="FC191" s="61"/>
      <c r="FD191" s="61"/>
      <c r="FE191" s="61"/>
      <c r="FF191" s="61"/>
      <c r="FG191" s="61"/>
      <c r="FH191" s="61"/>
      <c r="FI191" s="61"/>
    </row>
    <row r="192" spans="1:165" ht="15" customHeight="1" x14ac:dyDescent="0.15">
      <c r="FB192" s="60"/>
      <c r="FC192" s="61"/>
      <c r="FD192" s="61"/>
      <c r="FE192" s="61"/>
      <c r="FF192" s="61"/>
      <c r="FG192" s="61"/>
      <c r="FH192" s="61"/>
      <c r="FI192" s="61"/>
    </row>
    <row r="193" spans="84:165" ht="15" customHeight="1" x14ac:dyDescent="0.15">
      <c r="FB193" s="60"/>
      <c r="FC193" s="61"/>
      <c r="FD193" s="61"/>
      <c r="FE193" s="61"/>
      <c r="FF193" s="61"/>
      <c r="FG193" s="61"/>
      <c r="FH193" s="61"/>
      <c r="FI193" s="61"/>
    </row>
    <row r="194" spans="84:165" ht="15" customHeight="1" x14ac:dyDescent="0.15">
      <c r="FB194" s="60"/>
      <c r="FC194" s="61"/>
      <c r="FD194" s="61"/>
      <c r="FE194" s="61"/>
      <c r="FF194" s="61"/>
      <c r="FG194" s="61"/>
      <c r="FH194" s="61"/>
      <c r="FI194" s="61"/>
    </row>
    <row r="195" spans="84:165" ht="15" customHeight="1" x14ac:dyDescent="0.15">
      <c r="FB195" s="60"/>
      <c r="FC195" s="61"/>
      <c r="FD195" s="61"/>
      <c r="FE195" s="61"/>
      <c r="FF195" s="61"/>
      <c r="FG195" s="61"/>
      <c r="FH195" s="61"/>
      <c r="FI195" s="61"/>
    </row>
    <row r="196" spans="84:165" ht="15" customHeight="1" x14ac:dyDescent="0.15">
      <c r="FB196" s="60"/>
      <c r="FC196" s="61"/>
      <c r="FD196" s="61"/>
      <c r="FE196" s="61"/>
      <c r="FF196" s="61"/>
      <c r="FG196" s="61"/>
      <c r="FH196" s="61"/>
      <c r="FI196" s="61"/>
    </row>
    <row r="197" spans="84:165" ht="15" customHeight="1" x14ac:dyDescent="0.15">
      <c r="FB197" s="60"/>
      <c r="FC197" s="61"/>
      <c r="FD197" s="61"/>
      <c r="FE197" s="61"/>
      <c r="FF197" s="61"/>
      <c r="FG197" s="61"/>
      <c r="FH197" s="61"/>
      <c r="FI197" s="61"/>
    </row>
    <row r="198" spans="84:165" ht="15" customHeight="1" x14ac:dyDescent="0.15">
      <c r="FB198" s="60"/>
      <c r="FC198" s="61"/>
      <c r="FD198" s="61"/>
      <c r="FE198" s="61"/>
      <c r="FF198" s="61"/>
      <c r="FG198" s="61"/>
      <c r="FH198" s="61"/>
      <c r="FI198" s="61"/>
    </row>
    <row r="199" spans="84:165" ht="15" customHeight="1" x14ac:dyDescent="0.15">
      <c r="FB199" s="60"/>
      <c r="FC199" s="61"/>
      <c r="FD199" s="61"/>
      <c r="FE199" s="61"/>
      <c r="FF199" s="61"/>
      <c r="FG199" s="61"/>
      <c r="FH199" s="61"/>
      <c r="FI199" s="61"/>
    </row>
    <row r="200" spans="84:165" ht="15" customHeight="1" x14ac:dyDescent="0.15">
      <c r="FB200" s="60"/>
      <c r="FC200" s="61"/>
      <c r="FD200" s="61"/>
      <c r="FE200" s="61"/>
      <c r="FF200" s="61"/>
      <c r="FG200" s="61"/>
      <c r="FH200" s="61"/>
      <c r="FI200" s="61"/>
    </row>
    <row r="201" spans="84:165" ht="15" customHeight="1" x14ac:dyDescent="0.15">
      <c r="CF201" s="58"/>
      <c r="FB201" s="60"/>
      <c r="FC201" s="61"/>
      <c r="FD201" s="61"/>
      <c r="FE201" s="61"/>
      <c r="FF201" s="61"/>
      <c r="FG201" s="61"/>
      <c r="FH201" s="61"/>
      <c r="FI201" s="61"/>
    </row>
    <row r="202" spans="84:165" ht="15" customHeight="1" x14ac:dyDescent="0.15">
      <c r="FB202" s="60"/>
      <c r="FC202" s="61"/>
      <c r="FD202" s="61"/>
      <c r="FE202" s="61"/>
      <c r="FF202" s="61"/>
      <c r="FG202" s="61"/>
      <c r="FH202" s="61"/>
      <c r="FI202" s="61"/>
    </row>
    <row r="203" spans="84:165" ht="15" customHeight="1" x14ac:dyDescent="0.15">
      <c r="FB203" s="60"/>
      <c r="FC203" s="61"/>
      <c r="FD203" s="61"/>
      <c r="FE203" s="61"/>
      <c r="FF203" s="61"/>
      <c r="FG203" s="61"/>
      <c r="FH203" s="61"/>
      <c r="FI203" s="61"/>
    </row>
    <row r="204" spans="84:165" ht="15" customHeight="1" x14ac:dyDescent="0.15">
      <c r="FB204" s="60"/>
      <c r="FC204" s="61"/>
      <c r="FD204" s="61"/>
      <c r="FE204" s="61"/>
      <c r="FF204" s="61"/>
      <c r="FG204" s="61"/>
      <c r="FH204" s="61"/>
      <c r="FI204" s="61"/>
    </row>
    <row r="205" spans="84:165" ht="15" customHeight="1" x14ac:dyDescent="0.15">
      <c r="FB205" s="60"/>
      <c r="FC205" s="61"/>
      <c r="FD205" s="61"/>
      <c r="FE205" s="61"/>
      <c r="FF205" s="61"/>
      <c r="FG205" s="61"/>
      <c r="FH205" s="61"/>
      <c r="FI205" s="61"/>
    </row>
    <row r="206" spans="84:165" ht="15" customHeight="1" x14ac:dyDescent="0.15">
      <c r="FB206" s="60"/>
      <c r="FC206" s="61"/>
      <c r="FD206" s="61"/>
      <c r="FE206" s="61"/>
      <c r="FF206" s="61"/>
      <c r="FG206" s="61"/>
      <c r="FH206" s="61"/>
      <c r="FI206" s="61"/>
    </row>
    <row r="207" spans="84:165" ht="15" customHeight="1" x14ac:dyDescent="0.15">
      <c r="FB207" s="60"/>
      <c r="FC207" s="61"/>
      <c r="FD207" s="61"/>
      <c r="FE207" s="61"/>
      <c r="FF207" s="61"/>
      <c r="FG207" s="61"/>
      <c r="FH207" s="61"/>
      <c r="FI207" s="61"/>
    </row>
    <row r="208" spans="84:165" ht="15" customHeight="1" x14ac:dyDescent="0.15">
      <c r="FB208" s="60"/>
      <c r="FC208" s="61"/>
      <c r="FD208" s="61"/>
      <c r="FE208" s="61"/>
      <c r="FF208" s="61"/>
      <c r="FG208" s="61"/>
      <c r="FH208" s="61"/>
      <c r="FI208" s="61"/>
    </row>
    <row r="209" spans="158:165" ht="15" customHeight="1" x14ac:dyDescent="0.15">
      <c r="FB209" s="60"/>
      <c r="FC209" s="61"/>
      <c r="FD209" s="61"/>
      <c r="FE209" s="61"/>
      <c r="FF209" s="61"/>
      <c r="FG209" s="61"/>
      <c r="FH209" s="61"/>
      <c r="FI209" s="61"/>
    </row>
    <row r="210" spans="158:165" ht="15" customHeight="1" x14ac:dyDescent="0.15">
      <c r="FB210" s="60"/>
      <c r="FC210" s="61"/>
      <c r="FD210" s="61"/>
      <c r="FE210" s="61"/>
      <c r="FF210" s="61"/>
      <c r="FG210" s="61"/>
      <c r="FH210" s="61"/>
      <c r="FI210" s="61"/>
    </row>
    <row r="211" spans="158:165" ht="15" customHeight="1" x14ac:dyDescent="0.15">
      <c r="FB211" s="60"/>
      <c r="FC211" s="61"/>
      <c r="FD211" s="61"/>
      <c r="FE211" s="61"/>
      <c r="FF211" s="61"/>
      <c r="FG211" s="61"/>
      <c r="FH211" s="61"/>
      <c r="FI211" s="61"/>
    </row>
    <row r="212" spans="158:165" ht="15" customHeight="1" x14ac:dyDescent="0.15">
      <c r="FB212" s="60"/>
      <c r="FC212" s="61"/>
      <c r="FD212" s="61"/>
      <c r="FE212" s="61"/>
      <c r="FF212" s="61"/>
      <c r="FG212" s="61"/>
      <c r="FH212" s="61"/>
      <c r="FI212" s="61"/>
    </row>
    <row r="213" spans="158:165" ht="15" customHeight="1" x14ac:dyDescent="0.15">
      <c r="FB213" s="60"/>
      <c r="FC213" s="61"/>
      <c r="FD213" s="61"/>
      <c r="FE213" s="61"/>
      <c r="FF213" s="61"/>
      <c r="FG213" s="61"/>
      <c r="FH213" s="61"/>
      <c r="FI213" s="61"/>
    </row>
    <row r="214" spans="158:165" ht="15" customHeight="1" x14ac:dyDescent="0.15">
      <c r="FB214" s="60"/>
      <c r="FC214" s="61"/>
      <c r="FD214" s="61"/>
      <c r="FE214" s="61"/>
      <c r="FF214" s="61"/>
      <c r="FG214" s="61"/>
      <c r="FH214" s="61"/>
      <c r="FI214" s="61"/>
    </row>
    <row r="215" spans="158:165" ht="15" customHeight="1" x14ac:dyDescent="0.15">
      <c r="FB215" s="60"/>
      <c r="FC215" s="61"/>
      <c r="FD215" s="61"/>
      <c r="FE215" s="61"/>
      <c r="FF215" s="61"/>
      <c r="FG215" s="61"/>
      <c r="FH215" s="61"/>
      <c r="FI215" s="61"/>
    </row>
    <row r="216" spans="158:165" ht="15" customHeight="1" x14ac:dyDescent="0.15">
      <c r="FB216" s="60"/>
      <c r="FC216" s="61"/>
      <c r="FD216" s="61"/>
      <c r="FE216" s="61"/>
      <c r="FF216" s="61"/>
      <c r="FG216" s="61"/>
      <c r="FH216" s="61"/>
      <c r="FI216" s="61"/>
    </row>
    <row r="217" spans="158:165" ht="15" customHeight="1" x14ac:dyDescent="0.15">
      <c r="FB217" s="60"/>
      <c r="FC217" s="61"/>
      <c r="FD217" s="61"/>
      <c r="FE217" s="61"/>
      <c r="FF217" s="61"/>
      <c r="FG217" s="61"/>
      <c r="FH217" s="61"/>
      <c r="FI217" s="61"/>
    </row>
    <row r="218" spans="158:165" ht="15" customHeight="1" x14ac:dyDescent="0.15">
      <c r="FB218" s="60"/>
      <c r="FC218" s="61"/>
      <c r="FD218" s="61"/>
      <c r="FE218" s="61"/>
      <c r="FF218" s="61"/>
      <c r="FG218" s="61"/>
      <c r="FH218" s="61"/>
      <c r="FI218" s="61"/>
    </row>
    <row r="219" spans="158:165" ht="15" customHeight="1" x14ac:dyDescent="0.15">
      <c r="FB219" s="60"/>
      <c r="FC219" s="61"/>
      <c r="FD219" s="61"/>
      <c r="FE219" s="61"/>
      <c r="FF219" s="61"/>
      <c r="FG219" s="61"/>
      <c r="FH219" s="61"/>
      <c r="FI219" s="61"/>
    </row>
    <row r="220" spans="158:165" ht="15" customHeight="1" x14ac:dyDescent="0.15">
      <c r="FB220" s="60"/>
      <c r="FC220" s="61"/>
      <c r="FD220" s="61"/>
      <c r="FE220" s="61"/>
      <c r="FF220" s="61"/>
      <c r="FG220" s="61"/>
      <c r="FH220" s="61"/>
      <c r="FI220" s="61"/>
    </row>
    <row r="221" spans="158:165" ht="15" customHeight="1" x14ac:dyDescent="0.15">
      <c r="FB221" s="60"/>
      <c r="FC221" s="61"/>
      <c r="FD221" s="61"/>
      <c r="FE221" s="61"/>
      <c r="FF221" s="61"/>
      <c r="FG221" s="61"/>
      <c r="FH221" s="61"/>
      <c r="FI221" s="61"/>
    </row>
    <row r="222" spans="158:165" ht="15" customHeight="1" x14ac:dyDescent="0.15">
      <c r="FB222" s="60"/>
      <c r="FC222" s="61"/>
      <c r="FD222" s="61"/>
      <c r="FE222" s="61"/>
      <c r="FF222" s="61"/>
      <c r="FG222" s="61"/>
      <c r="FH222" s="61"/>
      <c r="FI222" s="61"/>
    </row>
    <row r="223" spans="158:165" ht="15" customHeight="1" x14ac:dyDescent="0.15">
      <c r="FB223" s="60"/>
      <c r="FC223" s="61"/>
      <c r="FD223" s="61"/>
      <c r="FE223" s="61"/>
      <c r="FF223" s="61"/>
      <c r="FG223" s="61"/>
      <c r="FH223" s="61"/>
      <c r="FI223" s="61"/>
    </row>
    <row r="224" spans="158:165" ht="15" customHeight="1" x14ac:dyDescent="0.15">
      <c r="FB224" s="60"/>
      <c r="FC224" s="61"/>
      <c r="FD224" s="61"/>
      <c r="FE224" s="61"/>
      <c r="FF224" s="61"/>
      <c r="FG224" s="61"/>
      <c r="FH224" s="61"/>
      <c r="FI224" s="61"/>
    </row>
    <row r="225" spans="158:165" ht="15" customHeight="1" x14ac:dyDescent="0.15">
      <c r="FB225" s="60"/>
      <c r="FC225" s="61"/>
      <c r="FD225" s="61"/>
      <c r="FE225" s="61"/>
      <c r="FF225" s="61"/>
      <c r="FG225" s="61"/>
      <c r="FH225" s="61"/>
      <c r="FI225" s="61"/>
    </row>
    <row r="226" spans="158:165" ht="15" customHeight="1" x14ac:dyDescent="0.15">
      <c r="FB226" s="60"/>
      <c r="FC226" s="61"/>
      <c r="FD226" s="61"/>
      <c r="FE226" s="61"/>
      <c r="FF226" s="61"/>
      <c r="FG226" s="61"/>
      <c r="FH226" s="61"/>
      <c r="FI226" s="61"/>
    </row>
    <row r="227" spans="158:165" ht="15" customHeight="1" x14ac:dyDescent="0.15">
      <c r="FB227" s="60"/>
      <c r="FC227" s="61"/>
      <c r="FD227" s="61"/>
      <c r="FE227" s="61"/>
      <c r="FF227" s="61"/>
      <c r="FG227" s="61"/>
      <c r="FH227" s="61"/>
      <c r="FI227" s="61"/>
    </row>
    <row r="228" spans="158:165" ht="15" customHeight="1" x14ac:dyDescent="0.15">
      <c r="FB228" s="60"/>
      <c r="FC228" s="61"/>
      <c r="FD228" s="61"/>
      <c r="FE228" s="61"/>
      <c r="FF228" s="61"/>
      <c r="FG228" s="61"/>
      <c r="FH228" s="61"/>
      <c r="FI228" s="61"/>
    </row>
    <row r="229" spans="158:165" ht="15" customHeight="1" x14ac:dyDescent="0.15">
      <c r="FB229" s="60"/>
      <c r="FC229" s="61"/>
      <c r="FD229" s="61"/>
      <c r="FE229" s="61"/>
      <c r="FF229" s="61"/>
      <c r="FG229" s="61"/>
      <c r="FH229" s="61"/>
      <c r="FI229" s="61"/>
    </row>
    <row r="230" spans="158:165" ht="15" customHeight="1" x14ac:dyDescent="0.15">
      <c r="FB230" s="60"/>
      <c r="FC230" s="61"/>
      <c r="FD230" s="61"/>
      <c r="FE230" s="61"/>
      <c r="FF230" s="61"/>
      <c r="FG230" s="61"/>
      <c r="FH230" s="61"/>
      <c r="FI230" s="61"/>
    </row>
    <row r="231" spans="158:165" ht="15" customHeight="1" x14ac:dyDescent="0.15">
      <c r="FB231" s="60"/>
      <c r="FC231" s="61"/>
      <c r="FD231" s="61"/>
      <c r="FE231" s="61"/>
      <c r="FF231" s="61"/>
      <c r="FG231" s="61"/>
      <c r="FH231" s="61"/>
      <c r="FI231" s="61"/>
    </row>
    <row r="232" spans="158:165" ht="15" customHeight="1" x14ac:dyDescent="0.15">
      <c r="FB232" s="60"/>
      <c r="FC232" s="61"/>
      <c r="FD232" s="61"/>
      <c r="FE232" s="61"/>
      <c r="FF232" s="61"/>
      <c r="FG232" s="61"/>
      <c r="FH232" s="61"/>
      <c r="FI232" s="61"/>
    </row>
    <row r="233" spans="158:165" ht="15" customHeight="1" x14ac:dyDescent="0.15">
      <c r="FB233" s="60"/>
      <c r="FC233" s="61"/>
      <c r="FD233" s="61"/>
      <c r="FE233" s="61"/>
      <c r="FF233" s="61"/>
      <c r="FG233" s="61"/>
      <c r="FH233" s="61"/>
      <c r="FI233" s="61"/>
    </row>
    <row r="234" spans="158:165" ht="15" customHeight="1" x14ac:dyDescent="0.15">
      <c r="FB234" s="60"/>
      <c r="FC234" s="61"/>
      <c r="FD234" s="61"/>
      <c r="FE234" s="61"/>
      <c r="FF234" s="61"/>
      <c r="FG234" s="61"/>
      <c r="FH234" s="61"/>
      <c r="FI234" s="61"/>
    </row>
    <row r="235" spans="158:165" ht="15" customHeight="1" x14ac:dyDescent="0.15">
      <c r="FB235" s="60"/>
      <c r="FC235" s="61"/>
      <c r="FD235" s="61"/>
      <c r="FE235" s="61"/>
      <c r="FF235" s="61"/>
      <c r="FG235" s="61"/>
      <c r="FH235" s="61"/>
      <c r="FI235" s="61"/>
    </row>
    <row r="236" spans="158:165" ht="15" customHeight="1" x14ac:dyDescent="0.15">
      <c r="FB236" s="60"/>
      <c r="FC236" s="61"/>
      <c r="FD236" s="61"/>
      <c r="FE236" s="61"/>
      <c r="FF236" s="61"/>
      <c r="FG236" s="61"/>
      <c r="FH236" s="61"/>
      <c r="FI236" s="61"/>
    </row>
    <row r="237" spans="158:165" ht="15" customHeight="1" x14ac:dyDescent="0.15">
      <c r="FB237" s="60"/>
      <c r="FC237" s="61"/>
      <c r="FD237" s="61"/>
      <c r="FE237" s="61"/>
      <c r="FF237" s="61"/>
      <c r="FG237" s="61"/>
      <c r="FH237" s="61"/>
      <c r="FI237" s="61"/>
    </row>
    <row r="238" spans="158:165" ht="15" customHeight="1" x14ac:dyDescent="0.15">
      <c r="FB238" s="60"/>
      <c r="FC238" s="61"/>
      <c r="FD238" s="61"/>
      <c r="FE238" s="61"/>
      <c r="FF238" s="61"/>
      <c r="FG238" s="61"/>
      <c r="FH238" s="61"/>
      <c r="FI238" s="61"/>
    </row>
    <row r="239" spans="158:165" ht="15" customHeight="1" x14ac:dyDescent="0.15">
      <c r="FB239" s="60"/>
      <c r="FC239" s="61"/>
      <c r="FD239" s="61"/>
      <c r="FE239" s="61"/>
      <c r="FF239" s="61"/>
      <c r="FG239" s="61"/>
      <c r="FH239" s="61"/>
      <c r="FI239" s="61"/>
    </row>
    <row r="240" spans="158:165" ht="15" customHeight="1" x14ac:dyDescent="0.15">
      <c r="FB240" s="60"/>
      <c r="FC240" s="61"/>
      <c r="FD240" s="61"/>
      <c r="FE240" s="61"/>
      <c r="FF240" s="61"/>
      <c r="FG240" s="61"/>
      <c r="FH240" s="61"/>
      <c r="FI240" s="61"/>
    </row>
    <row r="241" spans="158:165" ht="15" customHeight="1" x14ac:dyDescent="0.15">
      <c r="FB241" s="60"/>
      <c r="FC241" s="61"/>
      <c r="FD241" s="61"/>
      <c r="FE241" s="61"/>
      <c r="FF241" s="61"/>
      <c r="FG241" s="61"/>
      <c r="FH241" s="61"/>
      <c r="FI241" s="61"/>
    </row>
    <row r="242" spans="158:165" ht="15" customHeight="1" x14ac:dyDescent="0.15">
      <c r="FB242" s="60"/>
      <c r="FC242" s="61"/>
      <c r="FD242" s="61"/>
      <c r="FE242" s="61"/>
      <c r="FF242" s="61"/>
      <c r="FG242" s="61"/>
      <c r="FH242" s="61"/>
      <c r="FI242" s="61"/>
    </row>
    <row r="243" spans="158:165" ht="15" customHeight="1" x14ac:dyDescent="0.15">
      <c r="FB243" s="60"/>
      <c r="FC243" s="61"/>
      <c r="FD243" s="61"/>
      <c r="FE243" s="61"/>
      <c r="FF243" s="61"/>
      <c r="FG243" s="61"/>
      <c r="FH243" s="61"/>
      <c r="FI243" s="61"/>
    </row>
    <row r="244" spans="158:165" ht="15" customHeight="1" x14ac:dyDescent="0.15">
      <c r="FB244" s="60"/>
      <c r="FC244" s="61"/>
      <c r="FD244" s="61"/>
      <c r="FE244" s="61"/>
      <c r="FF244" s="61"/>
      <c r="FG244" s="61"/>
      <c r="FH244" s="61"/>
      <c r="FI244" s="61"/>
    </row>
    <row r="245" spans="158:165" ht="15" customHeight="1" x14ac:dyDescent="0.15">
      <c r="FB245" s="60"/>
      <c r="FC245" s="61"/>
      <c r="FD245" s="61"/>
      <c r="FE245" s="61"/>
      <c r="FF245" s="61"/>
      <c r="FG245" s="61"/>
      <c r="FH245" s="61"/>
      <c r="FI245" s="61"/>
    </row>
    <row r="246" spans="158:165" ht="15" customHeight="1" x14ac:dyDescent="0.15">
      <c r="FB246" s="60"/>
      <c r="FC246" s="61"/>
      <c r="FD246" s="61"/>
      <c r="FE246" s="61"/>
      <c r="FF246" s="61"/>
      <c r="FG246" s="61"/>
      <c r="FH246" s="61"/>
      <c r="FI246" s="61"/>
    </row>
    <row r="247" spans="158:165" ht="15" customHeight="1" x14ac:dyDescent="0.15">
      <c r="FB247" s="60"/>
      <c r="FC247" s="61"/>
      <c r="FD247" s="61"/>
      <c r="FE247" s="61"/>
      <c r="FF247" s="61"/>
      <c r="FG247" s="61"/>
      <c r="FH247" s="61"/>
      <c r="FI247" s="61"/>
    </row>
    <row r="248" spans="158:165" ht="15" customHeight="1" x14ac:dyDescent="0.15">
      <c r="FB248" s="60"/>
      <c r="FC248" s="61"/>
      <c r="FD248" s="61"/>
      <c r="FE248" s="61"/>
      <c r="FF248" s="61"/>
      <c r="FG248" s="61"/>
      <c r="FH248" s="61"/>
      <c r="FI248" s="61"/>
    </row>
    <row r="249" spans="158:165" ht="15" customHeight="1" x14ac:dyDescent="0.15">
      <c r="FB249" s="60"/>
      <c r="FC249" s="61"/>
      <c r="FD249" s="61"/>
      <c r="FE249" s="61"/>
      <c r="FF249" s="61"/>
      <c r="FG249" s="61"/>
      <c r="FH249" s="61"/>
      <c r="FI249" s="61"/>
    </row>
    <row r="250" spans="158:165" ht="15" customHeight="1" x14ac:dyDescent="0.15">
      <c r="FB250" s="60"/>
      <c r="FC250" s="61"/>
      <c r="FD250" s="61"/>
      <c r="FE250" s="61"/>
      <c r="FF250" s="61"/>
      <c r="FG250" s="61"/>
      <c r="FH250" s="61"/>
      <c r="FI250" s="61"/>
    </row>
    <row r="251" spans="158:165" ht="15" customHeight="1" x14ac:dyDescent="0.15">
      <c r="FB251" s="60"/>
      <c r="FC251" s="61"/>
      <c r="FD251" s="61"/>
      <c r="FE251" s="61"/>
      <c r="FF251" s="61"/>
      <c r="FG251" s="61"/>
      <c r="FH251" s="61"/>
      <c r="FI251" s="61"/>
    </row>
    <row r="252" spans="158:165" ht="15" customHeight="1" x14ac:dyDescent="0.15">
      <c r="FB252" s="60"/>
      <c r="FC252" s="61"/>
      <c r="FD252" s="61"/>
      <c r="FE252" s="61"/>
      <c r="FF252" s="61"/>
      <c r="FG252" s="61"/>
      <c r="FH252" s="61"/>
      <c r="FI252" s="61"/>
    </row>
    <row r="253" spans="158:165" ht="15" customHeight="1" x14ac:dyDescent="0.15">
      <c r="FB253" s="60"/>
      <c r="FC253" s="61"/>
      <c r="FD253" s="61"/>
      <c r="FE253" s="61"/>
      <c r="FF253" s="61"/>
      <c r="FG253" s="61"/>
      <c r="FH253" s="61"/>
      <c r="FI253" s="61"/>
    </row>
    <row r="254" spans="158:165" ht="15" customHeight="1" x14ac:dyDescent="0.15">
      <c r="FB254" s="60"/>
      <c r="FC254" s="61"/>
      <c r="FD254" s="61"/>
      <c r="FE254" s="61"/>
      <c r="FF254" s="61"/>
      <c r="FG254" s="61"/>
      <c r="FH254" s="61"/>
      <c r="FI254" s="61"/>
    </row>
    <row r="255" spans="158:165" ht="15" customHeight="1" x14ac:dyDescent="0.15">
      <c r="FB255" s="60"/>
      <c r="FC255" s="61"/>
      <c r="FD255" s="61"/>
      <c r="FE255" s="61"/>
      <c r="FF255" s="61"/>
      <c r="FG255" s="61"/>
      <c r="FH255" s="61"/>
      <c r="FI255" s="61"/>
    </row>
    <row r="256" spans="158:165" ht="15" customHeight="1" x14ac:dyDescent="0.15">
      <c r="FB256" s="60"/>
      <c r="FC256" s="61"/>
      <c r="FD256" s="61"/>
      <c r="FE256" s="61"/>
      <c r="FF256" s="61"/>
      <c r="FG256" s="61"/>
      <c r="FH256" s="61"/>
      <c r="FI256" s="61"/>
    </row>
    <row r="257" spans="158:165" ht="15" customHeight="1" x14ac:dyDescent="0.15">
      <c r="FB257" s="60"/>
      <c r="FC257" s="61"/>
      <c r="FD257" s="61"/>
      <c r="FE257" s="61"/>
      <c r="FF257" s="61"/>
      <c r="FG257" s="61"/>
      <c r="FH257" s="61"/>
      <c r="FI257" s="61"/>
    </row>
    <row r="258" spans="158:165" ht="15" customHeight="1" x14ac:dyDescent="0.15">
      <c r="FB258" s="60"/>
      <c r="FC258" s="61"/>
      <c r="FD258" s="61"/>
      <c r="FE258" s="61"/>
      <c r="FF258" s="61"/>
      <c r="FG258" s="61"/>
      <c r="FH258" s="61"/>
      <c r="FI258" s="61"/>
    </row>
    <row r="259" spans="158:165" ht="15" customHeight="1" x14ac:dyDescent="0.15">
      <c r="FB259" s="60"/>
      <c r="FC259" s="61"/>
      <c r="FD259" s="61"/>
      <c r="FE259" s="61"/>
      <c r="FF259" s="61"/>
      <c r="FG259" s="61"/>
      <c r="FH259" s="61"/>
      <c r="FI259" s="61"/>
    </row>
    <row r="260" spans="158:165" ht="15" customHeight="1" x14ac:dyDescent="0.15">
      <c r="FB260" s="60"/>
      <c r="FC260" s="61"/>
      <c r="FD260" s="61"/>
      <c r="FE260" s="61"/>
      <c r="FF260" s="61"/>
      <c r="FG260" s="61"/>
      <c r="FH260" s="61"/>
      <c r="FI260" s="61"/>
    </row>
    <row r="261" spans="158:165" ht="15" customHeight="1" x14ac:dyDescent="0.15">
      <c r="FB261" s="60"/>
      <c r="FC261" s="61"/>
      <c r="FD261" s="61"/>
      <c r="FE261" s="61"/>
      <c r="FF261" s="61"/>
      <c r="FG261" s="61"/>
      <c r="FH261" s="61"/>
      <c r="FI261" s="61"/>
    </row>
    <row r="262" spans="158:165" ht="15" customHeight="1" x14ac:dyDescent="0.15">
      <c r="FB262" s="60"/>
      <c r="FC262" s="61"/>
      <c r="FD262" s="61"/>
      <c r="FE262" s="61"/>
      <c r="FF262" s="61"/>
      <c r="FG262" s="61"/>
      <c r="FH262" s="61"/>
      <c r="FI262" s="61"/>
    </row>
    <row r="263" spans="158:165" ht="15" customHeight="1" x14ac:dyDescent="0.15">
      <c r="FB263" s="60"/>
      <c r="FC263" s="61"/>
      <c r="FD263" s="61"/>
      <c r="FE263" s="61"/>
      <c r="FF263" s="61"/>
      <c r="FG263" s="61"/>
      <c r="FH263" s="61"/>
      <c r="FI263" s="61"/>
    </row>
    <row r="264" spans="158:165" ht="15" customHeight="1" x14ac:dyDescent="0.15">
      <c r="FB264" s="60"/>
      <c r="FC264" s="61"/>
      <c r="FD264" s="61"/>
      <c r="FE264" s="61"/>
      <c r="FF264" s="61"/>
      <c r="FG264" s="61"/>
      <c r="FH264" s="61"/>
      <c r="FI264" s="61"/>
    </row>
    <row r="265" spans="158:165" ht="15" customHeight="1" x14ac:dyDescent="0.15">
      <c r="FB265" s="60"/>
      <c r="FC265" s="61"/>
      <c r="FD265" s="61"/>
      <c r="FE265" s="61"/>
      <c r="FF265" s="61"/>
      <c r="FG265" s="61"/>
      <c r="FH265" s="61"/>
      <c r="FI265" s="61"/>
    </row>
    <row r="266" spans="158:165" ht="15" customHeight="1" x14ac:dyDescent="0.15">
      <c r="FB266" s="60"/>
      <c r="FC266" s="61"/>
      <c r="FD266" s="61"/>
      <c r="FE266" s="61"/>
      <c r="FF266" s="61"/>
      <c r="FG266" s="61"/>
      <c r="FH266" s="61"/>
      <c r="FI266" s="61"/>
    </row>
    <row r="267" spans="158:165" ht="15" customHeight="1" x14ac:dyDescent="0.15">
      <c r="FB267" s="60"/>
      <c r="FC267" s="61"/>
      <c r="FD267" s="61"/>
      <c r="FE267" s="61"/>
      <c r="FF267" s="61"/>
      <c r="FG267" s="61"/>
      <c r="FH267" s="61"/>
      <c r="FI267" s="61"/>
    </row>
    <row r="268" spans="158:165" ht="15" customHeight="1" x14ac:dyDescent="0.15">
      <c r="FB268" s="60"/>
      <c r="FC268" s="61"/>
      <c r="FD268" s="61"/>
      <c r="FE268" s="61"/>
      <c r="FF268" s="61"/>
      <c r="FG268" s="61"/>
      <c r="FH268" s="61"/>
      <c r="FI268" s="61"/>
    </row>
    <row r="269" spans="158:165" ht="15" customHeight="1" x14ac:dyDescent="0.15">
      <c r="FB269" s="60"/>
      <c r="FC269" s="61"/>
      <c r="FD269" s="61"/>
      <c r="FE269" s="61"/>
      <c r="FF269" s="61"/>
      <c r="FG269" s="61"/>
      <c r="FH269" s="61"/>
      <c r="FI269" s="61"/>
    </row>
    <row r="270" spans="158:165" ht="15" customHeight="1" x14ac:dyDescent="0.15">
      <c r="FB270" s="60"/>
      <c r="FC270" s="61"/>
      <c r="FD270" s="61"/>
      <c r="FE270" s="61"/>
      <c r="FF270" s="61"/>
      <c r="FG270" s="61"/>
      <c r="FH270" s="61"/>
      <c r="FI270" s="61"/>
    </row>
    <row r="271" spans="158:165" ht="15" customHeight="1" x14ac:dyDescent="0.15">
      <c r="FB271" s="60"/>
      <c r="FC271" s="61"/>
      <c r="FD271" s="61"/>
      <c r="FE271" s="61"/>
      <c r="FF271" s="61"/>
      <c r="FG271" s="61"/>
      <c r="FH271" s="61"/>
      <c r="FI271" s="61"/>
    </row>
    <row r="272" spans="158:165" ht="15" customHeight="1" x14ac:dyDescent="0.15">
      <c r="FB272" s="60"/>
      <c r="FC272" s="61"/>
      <c r="FD272" s="61"/>
      <c r="FE272" s="61"/>
      <c r="FF272" s="61"/>
      <c r="FG272" s="61"/>
      <c r="FH272" s="61"/>
      <c r="FI272" s="61"/>
    </row>
    <row r="273" spans="158:165" ht="15" customHeight="1" x14ac:dyDescent="0.15">
      <c r="FB273" s="60"/>
      <c r="FC273" s="61"/>
      <c r="FD273" s="61"/>
      <c r="FE273" s="61"/>
      <c r="FF273" s="61"/>
      <c r="FG273" s="61"/>
      <c r="FH273" s="61"/>
      <c r="FI273" s="61"/>
    </row>
    <row r="274" spans="158:165" ht="15" customHeight="1" x14ac:dyDescent="0.15">
      <c r="FB274" s="60"/>
      <c r="FC274" s="61"/>
      <c r="FD274" s="61"/>
      <c r="FE274" s="61"/>
      <c r="FF274" s="61"/>
      <c r="FG274" s="61"/>
      <c r="FH274" s="61"/>
      <c r="FI274" s="61"/>
    </row>
    <row r="275" spans="158:165" ht="15" customHeight="1" x14ac:dyDescent="0.15">
      <c r="FB275" s="60"/>
      <c r="FC275" s="61"/>
      <c r="FD275" s="61"/>
      <c r="FE275" s="61"/>
      <c r="FF275" s="61"/>
      <c r="FG275" s="61"/>
      <c r="FH275" s="61"/>
      <c r="FI275" s="61"/>
    </row>
    <row r="276" spans="158:165" ht="15" customHeight="1" x14ac:dyDescent="0.15">
      <c r="FB276" s="60"/>
      <c r="FC276" s="61"/>
      <c r="FD276" s="61"/>
      <c r="FE276" s="61"/>
      <c r="FF276" s="61"/>
      <c r="FG276" s="61"/>
      <c r="FH276" s="61"/>
      <c r="FI276" s="61"/>
    </row>
    <row r="277" spans="158:165" ht="15" customHeight="1" x14ac:dyDescent="0.15">
      <c r="FB277" s="60"/>
      <c r="FC277" s="61"/>
      <c r="FD277" s="61"/>
      <c r="FE277" s="61"/>
      <c r="FF277" s="61"/>
      <c r="FG277" s="61"/>
      <c r="FH277" s="61"/>
      <c r="FI277" s="61"/>
    </row>
    <row r="278" spans="158:165" ht="15" customHeight="1" x14ac:dyDescent="0.15">
      <c r="FB278" s="60"/>
      <c r="FC278" s="61"/>
      <c r="FD278" s="61"/>
      <c r="FE278" s="61"/>
      <c r="FF278" s="61"/>
      <c r="FG278" s="61"/>
      <c r="FH278" s="61"/>
      <c r="FI278" s="61"/>
    </row>
    <row r="279" spans="158:165" ht="15" customHeight="1" x14ac:dyDescent="0.15">
      <c r="FB279" s="60"/>
      <c r="FC279" s="61"/>
      <c r="FD279" s="61"/>
      <c r="FE279" s="61"/>
      <c r="FF279" s="61"/>
      <c r="FG279" s="61"/>
      <c r="FH279" s="61"/>
      <c r="FI279" s="61"/>
    </row>
    <row r="280" spans="158:165" ht="15" customHeight="1" x14ac:dyDescent="0.15">
      <c r="FB280" s="60"/>
      <c r="FC280" s="61"/>
      <c r="FD280" s="61"/>
      <c r="FE280" s="61"/>
      <c r="FF280" s="61"/>
      <c r="FG280" s="61"/>
      <c r="FH280" s="61"/>
      <c r="FI280" s="61"/>
    </row>
    <row r="281" spans="158:165" ht="15" customHeight="1" x14ac:dyDescent="0.15">
      <c r="FB281" s="60"/>
      <c r="FC281" s="61"/>
      <c r="FD281" s="61"/>
      <c r="FE281" s="61"/>
      <c r="FF281" s="61"/>
      <c r="FG281" s="61"/>
      <c r="FH281" s="61"/>
      <c r="FI281" s="61"/>
    </row>
    <row r="282" spans="158:165" ht="15" customHeight="1" x14ac:dyDescent="0.15">
      <c r="FB282" s="60"/>
      <c r="FC282" s="61"/>
      <c r="FD282" s="61"/>
      <c r="FE282" s="61"/>
      <c r="FF282" s="61"/>
      <c r="FG282" s="61"/>
      <c r="FH282" s="61"/>
      <c r="FI282" s="61"/>
    </row>
    <row r="283" spans="158:165" ht="15" customHeight="1" x14ac:dyDescent="0.15">
      <c r="FB283" s="60"/>
      <c r="FC283" s="61"/>
      <c r="FD283" s="61"/>
      <c r="FE283" s="61"/>
      <c r="FF283" s="61"/>
      <c r="FG283" s="61"/>
      <c r="FH283" s="61"/>
      <c r="FI283" s="61"/>
    </row>
    <row r="284" spans="158:165" ht="15" customHeight="1" x14ac:dyDescent="0.15">
      <c r="FB284" s="60"/>
      <c r="FC284" s="61"/>
      <c r="FD284" s="61"/>
      <c r="FE284" s="61"/>
      <c r="FF284" s="61"/>
      <c r="FG284" s="61"/>
      <c r="FH284" s="61"/>
      <c r="FI284" s="61"/>
    </row>
    <row r="285" spans="158:165" ht="15" customHeight="1" x14ac:dyDescent="0.15">
      <c r="FB285" s="60"/>
      <c r="FC285" s="61"/>
      <c r="FD285" s="61"/>
      <c r="FE285" s="61"/>
      <c r="FF285" s="61"/>
      <c r="FG285" s="61"/>
      <c r="FH285" s="61"/>
      <c r="FI285" s="61"/>
    </row>
    <row r="286" spans="158:165" ht="15" customHeight="1" x14ac:dyDescent="0.15">
      <c r="FB286" s="60"/>
      <c r="FC286" s="61"/>
      <c r="FD286" s="61"/>
      <c r="FE286" s="61"/>
      <c r="FF286" s="61"/>
      <c r="FG286" s="61"/>
      <c r="FH286" s="61"/>
      <c r="FI286" s="61"/>
    </row>
    <row r="287" spans="158:165" ht="15" customHeight="1" x14ac:dyDescent="0.15">
      <c r="FB287" s="60"/>
      <c r="FC287" s="61"/>
      <c r="FD287" s="61"/>
      <c r="FE287" s="61"/>
      <c r="FF287" s="61"/>
      <c r="FG287" s="61"/>
      <c r="FH287" s="61"/>
      <c r="FI287" s="61"/>
    </row>
    <row r="288" spans="158:165" ht="15" customHeight="1" x14ac:dyDescent="0.15">
      <c r="FB288" s="60"/>
      <c r="FC288" s="61"/>
      <c r="FD288" s="61"/>
      <c r="FE288" s="61"/>
      <c r="FF288" s="61"/>
      <c r="FG288" s="61"/>
      <c r="FH288" s="61"/>
      <c r="FI288" s="61"/>
    </row>
    <row r="289" spans="158:165" ht="15" customHeight="1" x14ac:dyDescent="0.15">
      <c r="FB289" s="60"/>
      <c r="FC289" s="61"/>
      <c r="FD289" s="61"/>
      <c r="FE289" s="61"/>
      <c r="FF289" s="61"/>
      <c r="FG289" s="61"/>
      <c r="FH289" s="61"/>
      <c r="FI289" s="61"/>
    </row>
    <row r="290" spans="158:165" ht="15" customHeight="1" x14ac:dyDescent="0.15">
      <c r="FB290" s="60"/>
      <c r="FC290" s="61"/>
      <c r="FD290" s="61"/>
      <c r="FE290" s="61"/>
      <c r="FF290" s="61"/>
      <c r="FG290" s="61"/>
      <c r="FH290" s="61"/>
      <c r="FI290" s="61"/>
    </row>
    <row r="291" spans="158:165" ht="15" customHeight="1" x14ac:dyDescent="0.15">
      <c r="FB291" s="60"/>
      <c r="FC291" s="61"/>
      <c r="FD291" s="61"/>
      <c r="FE291" s="61"/>
      <c r="FF291" s="61"/>
      <c r="FG291" s="61"/>
      <c r="FH291" s="61"/>
      <c r="FI291" s="61"/>
    </row>
    <row r="292" spans="158:165" ht="15" customHeight="1" x14ac:dyDescent="0.15">
      <c r="FB292" s="60"/>
      <c r="FC292" s="61"/>
      <c r="FD292" s="61"/>
      <c r="FE292" s="61"/>
      <c r="FF292" s="61"/>
      <c r="FG292" s="61"/>
      <c r="FH292" s="61"/>
      <c r="FI292" s="61"/>
    </row>
    <row r="293" spans="158:165" ht="15" customHeight="1" x14ac:dyDescent="0.15">
      <c r="FB293" s="60"/>
      <c r="FC293" s="61"/>
      <c r="FD293" s="61"/>
      <c r="FE293" s="61"/>
      <c r="FF293" s="61"/>
      <c r="FG293" s="61"/>
      <c r="FH293" s="61"/>
      <c r="FI293" s="61"/>
    </row>
    <row r="294" spans="158:165" ht="15" customHeight="1" x14ac:dyDescent="0.15">
      <c r="FB294" s="60"/>
      <c r="FC294" s="61"/>
      <c r="FD294" s="61"/>
      <c r="FE294" s="61"/>
      <c r="FF294" s="61"/>
      <c r="FG294" s="61"/>
      <c r="FH294" s="61"/>
      <c r="FI294" s="61"/>
    </row>
    <row r="295" spans="158:165" ht="15" customHeight="1" x14ac:dyDescent="0.15">
      <c r="FB295" s="60"/>
      <c r="FC295" s="61"/>
      <c r="FD295" s="61"/>
      <c r="FE295" s="61"/>
      <c r="FF295" s="61"/>
      <c r="FG295" s="61"/>
      <c r="FH295" s="61"/>
      <c r="FI295" s="61"/>
    </row>
    <row r="296" spans="158:165" ht="15" customHeight="1" x14ac:dyDescent="0.15">
      <c r="FB296" s="60"/>
      <c r="FC296" s="61"/>
      <c r="FD296" s="61"/>
      <c r="FE296" s="61"/>
      <c r="FF296" s="61"/>
      <c r="FG296" s="61"/>
      <c r="FH296" s="61"/>
      <c r="FI296" s="61"/>
    </row>
    <row r="297" spans="158:165" ht="15" customHeight="1" x14ac:dyDescent="0.15">
      <c r="FB297" s="60"/>
      <c r="FC297" s="61"/>
      <c r="FD297" s="61"/>
      <c r="FE297" s="61"/>
      <c r="FF297" s="61"/>
      <c r="FG297" s="61"/>
      <c r="FH297" s="61"/>
      <c r="FI297" s="61"/>
    </row>
    <row r="298" spans="158:165" ht="15" customHeight="1" x14ac:dyDescent="0.15">
      <c r="FB298" s="60"/>
      <c r="FC298" s="61"/>
      <c r="FD298" s="61"/>
      <c r="FE298" s="61"/>
      <c r="FF298" s="61"/>
      <c r="FG298" s="61"/>
      <c r="FH298" s="61"/>
      <c r="FI298" s="61"/>
    </row>
    <row r="299" spans="158:165" ht="15" customHeight="1" x14ac:dyDescent="0.15">
      <c r="FB299" s="60"/>
      <c r="FC299" s="61"/>
      <c r="FD299" s="61"/>
      <c r="FE299" s="61"/>
      <c r="FF299" s="61"/>
      <c r="FG299" s="61"/>
      <c r="FH299" s="61"/>
      <c r="FI299" s="61"/>
    </row>
    <row r="300" spans="158:165" ht="15" customHeight="1" x14ac:dyDescent="0.15">
      <c r="FB300" s="60"/>
      <c r="FC300" s="61"/>
      <c r="FD300" s="61"/>
      <c r="FE300" s="61"/>
      <c r="FF300" s="61"/>
      <c r="FG300" s="61"/>
      <c r="FH300" s="61"/>
      <c r="FI300" s="61"/>
    </row>
    <row r="301" spans="158:165" ht="15" customHeight="1" x14ac:dyDescent="0.15">
      <c r="FB301" s="60"/>
      <c r="FC301" s="61"/>
      <c r="FD301" s="61"/>
      <c r="FE301" s="61"/>
      <c r="FF301" s="61"/>
      <c r="FG301" s="61"/>
      <c r="FH301" s="61"/>
      <c r="FI301" s="61"/>
    </row>
    <row r="302" spans="158:165" ht="15" customHeight="1" x14ac:dyDescent="0.15">
      <c r="FB302" s="60"/>
      <c r="FC302" s="61"/>
      <c r="FD302" s="61"/>
      <c r="FE302" s="61"/>
      <c r="FF302" s="61"/>
      <c r="FG302" s="61"/>
      <c r="FH302" s="61"/>
      <c r="FI302" s="61"/>
    </row>
    <row r="303" spans="158:165" ht="15" customHeight="1" x14ac:dyDescent="0.15">
      <c r="FB303" s="60"/>
      <c r="FC303" s="61"/>
      <c r="FD303" s="61"/>
      <c r="FE303" s="61"/>
      <c r="FF303" s="61"/>
      <c r="FG303" s="61"/>
      <c r="FH303" s="61"/>
      <c r="FI303" s="61"/>
    </row>
    <row r="304" spans="158:165" ht="15" customHeight="1" x14ac:dyDescent="0.15">
      <c r="FB304" s="60"/>
      <c r="FC304" s="61"/>
      <c r="FD304" s="61"/>
      <c r="FE304" s="61"/>
      <c r="FF304" s="61"/>
      <c r="FG304" s="61"/>
      <c r="FH304" s="61"/>
      <c r="FI304" s="61"/>
    </row>
    <row r="305" spans="158:165" ht="15" customHeight="1" x14ac:dyDescent="0.15">
      <c r="FB305" s="60"/>
      <c r="FC305" s="61"/>
      <c r="FD305" s="61"/>
      <c r="FE305" s="61"/>
      <c r="FF305" s="61"/>
      <c r="FG305" s="61"/>
      <c r="FH305" s="61"/>
      <c r="FI305" s="61"/>
    </row>
    <row r="306" spans="158:165" ht="15" customHeight="1" x14ac:dyDescent="0.15">
      <c r="FB306" s="60"/>
      <c r="FC306" s="61"/>
      <c r="FD306" s="61"/>
      <c r="FE306" s="61"/>
      <c r="FF306" s="61"/>
      <c r="FG306" s="61"/>
      <c r="FH306" s="61"/>
      <c r="FI306" s="61"/>
    </row>
    <row r="307" spans="158:165" ht="15" customHeight="1" x14ac:dyDescent="0.15">
      <c r="FB307" s="60"/>
      <c r="FC307" s="61"/>
      <c r="FD307" s="61"/>
      <c r="FE307" s="61"/>
      <c r="FF307" s="61"/>
      <c r="FG307" s="61"/>
      <c r="FH307" s="61"/>
      <c r="FI307" s="61"/>
    </row>
    <row r="308" spans="158:165" ht="15" customHeight="1" x14ac:dyDescent="0.15">
      <c r="FB308" s="60"/>
      <c r="FC308" s="61"/>
      <c r="FD308" s="61"/>
      <c r="FE308" s="61"/>
      <c r="FF308" s="61"/>
      <c r="FG308" s="61"/>
      <c r="FH308" s="61"/>
      <c r="FI308" s="61"/>
    </row>
    <row r="309" spans="158:165" ht="15" customHeight="1" x14ac:dyDescent="0.15">
      <c r="FB309" s="60"/>
      <c r="FC309" s="61"/>
      <c r="FD309" s="61"/>
      <c r="FE309" s="61"/>
      <c r="FF309" s="61"/>
      <c r="FG309" s="61"/>
      <c r="FH309" s="61"/>
      <c r="FI309" s="61"/>
    </row>
    <row r="310" spans="158:165" ht="15" customHeight="1" x14ac:dyDescent="0.15">
      <c r="FB310" s="60"/>
      <c r="FC310" s="61"/>
      <c r="FD310" s="61"/>
      <c r="FE310" s="61"/>
      <c r="FF310" s="61"/>
      <c r="FG310" s="61"/>
      <c r="FH310" s="61"/>
      <c r="FI310" s="61"/>
    </row>
    <row r="311" spans="158:165" ht="15" customHeight="1" x14ac:dyDescent="0.15">
      <c r="FB311" s="60"/>
      <c r="FC311" s="61"/>
      <c r="FD311" s="61"/>
      <c r="FE311" s="61"/>
      <c r="FF311" s="61"/>
      <c r="FG311" s="61"/>
      <c r="FH311" s="61"/>
      <c r="FI311" s="61"/>
    </row>
    <row r="312" spans="158:165" ht="15" customHeight="1" x14ac:dyDescent="0.15">
      <c r="FB312" s="60"/>
      <c r="FC312" s="61"/>
      <c r="FD312" s="61"/>
      <c r="FE312" s="61"/>
      <c r="FF312" s="61"/>
      <c r="FG312" s="61"/>
      <c r="FH312" s="61"/>
      <c r="FI312" s="61"/>
    </row>
    <row r="313" spans="158:165" ht="15" customHeight="1" x14ac:dyDescent="0.15">
      <c r="FB313" s="60"/>
      <c r="FC313" s="61"/>
      <c r="FD313" s="61"/>
      <c r="FE313" s="61"/>
      <c r="FF313" s="61"/>
      <c r="FG313" s="61"/>
      <c r="FH313" s="61"/>
      <c r="FI313" s="61"/>
    </row>
    <row r="314" spans="158:165" ht="15" customHeight="1" x14ac:dyDescent="0.15">
      <c r="FB314" s="60"/>
      <c r="FC314" s="61"/>
      <c r="FD314" s="61"/>
      <c r="FE314" s="61"/>
      <c r="FF314" s="61"/>
      <c r="FG314" s="61"/>
      <c r="FH314" s="61"/>
      <c r="FI314" s="61"/>
    </row>
    <row r="315" spans="158:165" ht="15" customHeight="1" x14ac:dyDescent="0.15">
      <c r="FB315" s="60"/>
      <c r="FC315" s="61"/>
      <c r="FD315" s="61"/>
      <c r="FE315" s="61"/>
      <c r="FF315" s="61"/>
      <c r="FG315" s="61"/>
      <c r="FH315" s="61"/>
      <c r="FI315" s="61"/>
    </row>
    <row r="316" spans="158:165" ht="15" customHeight="1" x14ac:dyDescent="0.15">
      <c r="FB316" s="60"/>
      <c r="FC316" s="61"/>
      <c r="FD316" s="61"/>
      <c r="FE316" s="61"/>
      <c r="FF316" s="61"/>
      <c r="FG316" s="61"/>
      <c r="FH316" s="61"/>
      <c r="FI316" s="61"/>
    </row>
    <row r="317" spans="158:165" ht="15" customHeight="1" x14ac:dyDescent="0.15">
      <c r="FB317" s="60"/>
      <c r="FC317" s="61"/>
      <c r="FD317" s="61"/>
      <c r="FE317" s="61"/>
      <c r="FF317" s="61"/>
      <c r="FG317" s="61"/>
      <c r="FH317" s="61"/>
      <c r="FI317" s="61"/>
    </row>
    <row r="318" spans="158:165" ht="15" customHeight="1" x14ac:dyDescent="0.15">
      <c r="FB318" s="60"/>
      <c r="FC318" s="61"/>
      <c r="FD318" s="61"/>
      <c r="FE318" s="61"/>
      <c r="FF318" s="61"/>
      <c r="FG318" s="61"/>
      <c r="FH318" s="61"/>
      <c r="FI318" s="61"/>
    </row>
    <row r="319" spans="158:165" ht="15" customHeight="1" x14ac:dyDescent="0.15">
      <c r="FB319" s="60"/>
      <c r="FC319" s="61"/>
      <c r="FD319" s="61"/>
      <c r="FE319" s="61"/>
      <c r="FF319" s="61"/>
      <c r="FG319" s="61"/>
      <c r="FH319" s="61"/>
      <c r="FI319" s="61"/>
    </row>
    <row r="320" spans="158:165" ht="15" customHeight="1" x14ac:dyDescent="0.15">
      <c r="FB320" s="60"/>
      <c r="FC320" s="61"/>
      <c r="FD320" s="61"/>
      <c r="FE320" s="61"/>
      <c r="FF320" s="61"/>
      <c r="FG320" s="61"/>
      <c r="FH320" s="61"/>
      <c r="FI320" s="61"/>
    </row>
    <row r="321" spans="158:165" ht="15" customHeight="1" x14ac:dyDescent="0.15">
      <c r="FB321" s="60"/>
      <c r="FC321" s="61"/>
      <c r="FD321" s="61"/>
      <c r="FE321" s="61"/>
      <c r="FF321" s="61"/>
      <c r="FG321" s="61"/>
      <c r="FH321" s="61"/>
      <c r="FI321" s="61"/>
    </row>
    <row r="322" spans="158:165" ht="15" customHeight="1" x14ac:dyDescent="0.15">
      <c r="FB322" s="60"/>
      <c r="FC322" s="61"/>
      <c r="FD322" s="61"/>
      <c r="FE322" s="61"/>
      <c r="FF322" s="61"/>
      <c r="FG322" s="61"/>
      <c r="FH322" s="61"/>
      <c r="FI322" s="61"/>
    </row>
    <row r="323" spans="158:165" ht="15" customHeight="1" x14ac:dyDescent="0.15">
      <c r="FB323" s="60"/>
      <c r="FC323" s="61"/>
      <c r="FD323" s="61"/>
      <c r="FE323" s="61"/>
      <c r="FF323" s="61"/>
      <c r="FG323" s="61"/>
      <c r="FH323" s="61"/>
      <c r="FI323" s="61"/>
    </row>
    <row r="324" spans="158:165" ht="15" customHeight="1" x14ac:dyDescent="0.15">
      <c r="FB324" s="60"/>
      <c r="FC324" s="61"/>
      <c r="FD324" s="61"/>
      <c r="FE324" s="61"/>
      <c r="FF324" s="61"/>
      <c r="FG324" s="61"/>
      <c r="FH324" s="61"/>
      <c r="FI324" s="61"/>
    </row>
    <row r="325" spans="158:165" ht="15" customHeight="1" x14ac:dyDescent="0.15">
      <c r="FB325" s="60"/>
      <c r="FC325" s="61"/>
      <c r="FD325" s="61"/>
      <c r="FE325" s="61"/>
      <c r="FF325" s="61"/>
      <c r="FG325" s="61"/>
      <c r="FH325" s="61"/>
      <c r="FI325" s="61"/>
    </row>
    <row r="326" spans="158:165" ht="15" customHeight="1" x14ac:dyDescent="0.15">
      <c r="FB326" s="60"/>
      <c r="FC326" s="61"/>
      <c r="FD326" s="61"/>
      <c r="FE326" s="61"/>
      <c r="FF326" s="61"/>
      <c r="FG326" s="61"/>
      <c r="FH326" s="61"/>
      <c r="FI326" s="61"/>
    </row>
    <row r="327" spans="158:165" ht="15" customHeight="1" x14ac:dyDescent="0.15">
      <c r="FB327" s="60"/>
      <c r="FC327" s="61"/>
      <c r="FD327" s="61"/>
      <c r="FE327" s="61"/>
      <c r="FF327" s="61"/>
      <c r="FG327" s="61"/>
      <c r="FH327" s="61"/>
      <c r="FI327" s="61"/>
    </row>
    <row r="328" spans="158:165" ht="15" customHeight="1" x14ac:dyDescent="0.15">
      <c r="FB328" s="60"/>
      <c r="FC328" s="61"/>
      <c r="FD328" s="61"/>
      <c r="FE328" s="61"/>
      <c r="FF328" s="61"/>
      <c r="FG328" s="61"/>
      <c r="FH328" s="61"/>
      <c r="FI328" s="61"/>
    </row>
    <row r="329" spans="158:165" ht="15" customHeight="1" x14ac:dyDescent="0.15">
      <c r="FB329" s="60"/>
      <c r="FC329" s="61"/>
      <c r="FD329" s="61"/>
      <c r="FE329" s="61"/>
      <c r="FF329" s="61"/>
      <c r="FG329" s="61"/>
      <c r="FH329" s="61"/>
      <c r="FI329" s="61"/>
    </row>
    <row r="330" spans="158:165" ht="15" customHeight="1" x14ac:dyDescent="0.15">
      <c r="FB330" s="60"/>
      <c r="FC330" s="61"/>
      <c r="FD330" s="61"/>
      <c r="FE330" s="61"/>
      <c r="FF330" s="61"/>
      <c r="FG330" s="61"/>
      <c r="FH330" s="61"/>
      <c r="FI330" s="61"/>
    </row>
    <row r="331" spans="158:165" ht="15" customHeight="1" x14ac:dyDescent="0.15">
      <c r="FB331" s="60"/>
      <c r="FC331" s="61"/>
      <c r="FD331" s="61"/>
      <c r="FE331" s="61"/>
      <c r="FF331" s="61"/>
      <c r="FG331" s="61"/>
      <c r="FH331" s="61"/>
      <c r="FI331" s="61"/>
    </row>
    <row r="332" spans="158:165" ht="15" customHeight="1" x14ac:dyDescent="0.15">
      <c r="FB332" s="60"/>
      <c r="FC332" s="61"/>
      <c r="FD332" s="61"/>
      <c r="FE332" s="61"/>
      <c r="FF332" s="61"/>
      <c r="FG332" s="61"/>
      <c r="FH332" s="61"/>
      <c r="FI332" s="61"/>
    </row>
    <row r="333" spans="158:165" ht="15" customHeight="1" x14ac:dyDescent="0.15">
      <c r="FB333" s="60"/>
      <c r="FC333" s="61"/>
      <c r="FD333" s="61"/>
      <c r="FE333" s="61"/>
      <c r="FF333" s="61"/>
      <c r="FG333" s="61"/>
      <c r="FH333" s="61"/>
      <c r="FI333" s="61"/>
    </row>
    <row r="334" spans="158:165" ht="15" customHeight="1" x14ac:dyDescent="0.15">
      <c r="FB334" s="60"/>
      <c r="FC334" s="61"/>
      <c r="FD334" s="61"/>
      <c r="FE334" s="61"/>
      <c r="FF334" s="61"/>
      <c r="FG334" s="61"/>
      <c r="FH334" s="61"/>
      <c r="FI334" s="61"/>
    </row>
    <row r="335" spans="158:165" ht="15" customHeight="1" x14ac:dyDescent="0.15">
      <c r="FB335" s="60"/>
      <c r="FC335" s="61"/>
      <c r="FD335" s="61"/>
      <c r="FE335" s="61"/>
      <c r="FF335" s="61"/>
      <c r="FG335" s="61"/>
      <c r="FH335" s="61"/>
      <c r="FI335" s="61"/>
    </row>
    <row r="336" spans="158:165" ht="15" customHeight="1" x14ac:dyDescent="0.15">
      <c r="FB336" s="60"/>
      <c r="FC336" s="61"/>
      <c r="FD336" s="61"/>
      <c r="FE336" s="61"/>
      <c r="FF336" s="61"/>
      <c r="FG336" s="61"/>
      <c r="FH336" s="61"/>
      <c r="FI336" s="61"/>
    </row>
    <row r="337" spans="158:165" ht="15" customHeight="1" x14ac:dyDescent="0.15">
      <c r="FB337" s="60"/>
      <c r="FC337" s="61"/>
      <c r="FD337" s="61"/>
      <c r="FE337" s="61"/>
      <c r="FF337" s="61"/>
      <c r="FG337" s="61"/>
      <c r="FH337" s="61"/>
      <c r="FI337" s="61"/>
    </row>
    <row r="338" spans="158:165" ht="15" customHeight="1" x14ac:dyDescent="0.15">
      <c r="FB338" s="60"/>
      <c r="FC338" s="61"/>
      <c r="FD338" s="61"/>
      <c r="FE338" s="61"/>
      <c r="FF338" s="61"/>
      <c r="FG338" s="61"/>
      <c r="FH338" s="61"/>
      <c r="FI338" s="61"/>
    </row>
    <row r="339" spans="158:165" ht="15" customHeight="1" x14ac:dyDescent="0.15">
      <c r="FB339" s="60"/>
      <c r="FC339" s="61"/>
      <c r="FD339" s="61"/>
      <c r="FE339" s="61"/>
      <c r="FF339" s="61"/>
      <c r="FG339" s="61"/>
      <c r="FH339" s="61"/>
      <c r="FI339" s="61"/>
    </row>
    <row r="340" spans="158:165" ht="15" customHeight="1" x14ac:dyDescent="0.15">
      <c r="FB340" s="60"/>
      <c r="FC340" s="61"/>
      <c r="FD340" s="61"/>
      <c r="FE340" s="61"/>
      <c r="FF340" s="61"/>
      <c r="FG340" s="61"/>
      <c r="FH340" s="61"/>
      <c r="FI340" s="61"/>
    </row>
    <row r="341" spans="158:165" ht="15" customHeight="1" x14ac:dyDescent="0.15">
      <c r="FB341" s="60"/>
      <c r="FC341" s="61"/>
      <c r="FD341" s="61"/>
      <c r="FE341" s="61"/>
      <c r="FF341" s="61"/>
      <c r="FG341" s="61"/>
      <c r="FH341" s="61"/>
      <c r="FI341" s="61"/>
    </row>
    <row r="342" spans="158:165" ht="15" customHeight="1" x14ac:dyDescent="0.15">
      <c r="FB342" s="60"/>
      <c r="FC342" s="61"/>
      <c r="FD342" s="61"/>
      <c r="FE342" s="61"/>
      <c r="FF342" s="61"/>
      <c r="FG342" s="61"/>
      <c r="FH342" s="61"/>
      <c r="FI342" s="61"/>
    </row>
    <row r="400" spans="158:165" ht="15" customHeight="1" x14ac:dyDescent="0.15">
      <c r="FB400" s="59" t="s">
        <v>60</v>
      </c>
      <c r="FC400" s="59" t="s">
        <v>61</v>
      </c>
      <c r="FD400" s="59" t="s">
        <v>62</v>
      </c>
      <c r="FE400" s="59" t="s">
        <v>63</v>
      </c>
      <c r="FF400" s="59" t="s">
        <v>16</v>
      </c>
      <c r="FG400" s="59" t="s">
        <v>66</v>
      </c>
      <c r="FH400" s="59" t="s">
        <v>64</v>
      </c>
      <c r="FI400" s="59" t="s">
        <v>65</v>
      </c>
    </row>
    <row r="401" spans="158:165" ht="15" customHeight="1" x14ac:dyDescent="0.15">
      <c r="FB401" s="60"/>
      <c r="FC401" s="61"/>
      <c r="FD401" s="61"/>
      <c r="FE401" s="61"/>
      <c r="FF401" s="61"/>
      <c r="FG401" s="61"/>
      <c r="FH401" s="61"/>
      <c r="FI401" s="61"/>
    </row>
    <row r="402" spans="158:165" ht="15" customHeight="1" x14ac:dyDescent="0.15">
      <c r="FB402" s="60"/>
      <c r="FC402" s="61"/>
      <c r="FD402" s="61"/>
      <c r="FE402" s="61"/>
      <c r="FF402" s="61"/>
      <c r="FG402" s="61"/>
      <c r="FH402" s="61"/>
      <c r="FI402" s="61"/>
    </row>
    <row r="403" spans="158:165" ht="15" customHeight="1" x14ac:dyDescent="0.15">
      <c r="FB403" s="60"/>
      <c r="FC403" s="61"/>
      <c r="FD403" s="61"/>
      <c r="FE403" s="61"/>
      <c r="FF403" s="61"/>
      <c r="FG403" s="61"/>
      <c r="FH403" s="61"/>
      <c r="FI403" s="61"/>
    </row>
    <row r="404" spans="158:165" ht="15" customHeight="1" x14ac:dyDescent="0.15">
      <c r="FB404" s="60"/>
      <c r="FC404" s="61"/>
      <c r="FD404" s="61"/>
      <c r="FE404" s="61"/>
      <c r="FF404" s="61"/>
      <c r="FG404" s="61"/>
      <c r="FH404" s="61"/>
      <c r="FI404" s="61"/>
    </row>
    <row r="405" spans="158:165" ht="15" customHeight="1" x14ac:dyDescent="0.15">
      <c r="FB405" s="60"/>
      <c r="FC405" s="61"/>
      <c r="FD405" s="61"/>
      <c r="FE405" s="61"/>
      <c r="FF405" s="61"/>
      <c r="FG405" s="61"/>
      <c r="FH405" s="61"/>
      <c r="FI405" s="61"/>
    </row>
    <row r="406" spans="158:165" ht="15" customHeight="1" x14ac:dyDescent="0.15">
      <c r="FB406" s="60"/>
      <c r="FC406" s="61"/>
      <c r="FD406" s="61"/>
      <c r="FE406" s="61"/>
      <c r="FF406" s="61"/>
      <c r="FG406" s="61"/>
      <c r="FH406" s="61"/>
      <c r="FI406" s="61"/>
    </row>
    <row r="407" spans="158:165" ht="15" customHeight="1" x14ac:dyDescent="0.15">
      <c r="FB407" s="60"/>
      <c r="FC407" s="61"/>
      <c r="FD407" s="61"/>
      <c r="FE407" s="61"/>
      <c r="FF407" s="61"/>
      <c r="FG407" s="61"/>
      <c r="FH407" s="61"/>
      <c r="FI407" s="61"/>
    </row>
    <row r="408" spans="158:165" ht="15" customHeight="1" x14ac:dyDescent="0.15">
      <c r="FB408" s="60"/>
      <c r="FC408" s="61"/>
      <c r="FD408" s="61"/>
      <c r="FE408" s="61"/>
      <c r="FF408" s="61"/>
      <c r="FG408" s="61"/>
      <c r="FH408" s="61"/>
      <c r="FI408" s="61"/>
    </row>
    <row r="409" spans="158:165" ht="15" customHeight="1" x14ac:dyDescent="0.15">
      <c r="FB409" s="60"/>
      <c r="FC409" s="61"/>
      <c r="FD409" s="61"/>
      <c r="FE409" s="61"/>
      <c r="FF409" s="61"/>
      <c r="FG409" s="61"/>
      <c r="FH409" s="61"/>
      <c r="FI409" s="61"/>
    </row>
    <row r="410" spans="158:165" ht="15" customHeight="1" x14ac:dyDescent="0.15">
      <c r="FB410" s="60"/>
      <c r="FC410" s="61"/>
      <c r="FD410" s="61"/>
      <c r="FE410" s="61"/>
      <c r="FF410" s="61"/>
      <c r="FG410" s="61"/>
      <c r="FH410" s="61"/>
      <c r="FI410" s="61"/>
    </row>
    <row r="411" spans="158:165" ht="15" customHeight="1" x14ac:dyDescent="0.15">
      <c r="FB411" s="60"/>
      <c r="FC411" s="61"/>
      <c r="FD411" s="61"/>
      <c r="FE411" s="61"/>
      <c r="FF411" s="61"/>
      <c r="FG411" s="61"/>
      <c r="FH411" s="61"/>
      <c r="FI411" s="61"/>
    </row>
    <row r="412" spans="158:165" ht="15" customHeight="1" x14ac:dyDescent="0.15">
      <c r="FB412" s="60"/>
      <c r="FC412" s="61"/>
      <c r="FD412" s="61"/>
      <c r="FE412" s="61"/>
      <c r="FF412" s="61"/>
      <c r="FG412" s="61"/>
      <c r="FH412" s="61"/>
      <c r="FI412" s="61"/>
    </row>
    <row r="413" spans="158:165" ht="15" customHeight="1" x14ac:dyDescent="0.15">
      <c r="FB413" s="60"/>
      <c r="FC413" s="61"/>
      <c r="FD413" s="61"/>
      <c r="FE413" s="61"/>
      <c r="FF413" s="61"/>
      <c r="FG413" s="61"/>
      <c r="FH413" s="61"/>
      <c r="FI413" s="61"/>
    </row>
    <row r="414" spans="158:165" ht="15" customHeight="1" x14ac:dyDescent="0.15">
      <c r="FB414" s="60"/>
      <c r="FC414" s="61"/>
      <c r="FD414" s="61"/>
      <c r="FE414" s="61"/>
      <c r="FF414" s="61"/>
      <c r="FG414" s="61"/>
      <c r="FH414" s="61"/>
      <c r="FI414" s="61"/>
    </row>
    <row r="415" spans="158:165" ht="15" customHeight="1" x14ac:dyDescent="0.15">
      <c r="FB415" s="60"/>
      <c r="FC415" s="61"/>
      <c r="FD415" s="61"/>
      <c r="FE415" s="61"/>
      <c r="FF415" s="61"/>
      <c r="FG415" s="61"/>
      <c r="FH415" s="61"/>
      <c r="FI415" s="61"/>
    </row>
    <row r="416" spans="158:165" ht="15" customHeight="1" x14ac:dyDescent="0.15">
      <c r="FB416" s="60"/>
      <c r="FC416" s="61"/>
      <c r="FD416" s="61"/>
      <c r="FE416" s="61"/>
      <c r="FF416" s="61"/>
      <c r="FG416" s="61"/>
      <c r="FH416" s="61"/>
      <c r="FI416" s="61"/>
    </row>
    <row r="417" spans="158:165" ht="15" customHeight="1" x14ac:dyDescent="0.15">
      <c r="FB417" s="60"/>
      <c r="FC417" s="61"/>
      <c r="FD417" s="61"/>
      <c r="FE417" s="61"/>
      <c r="FF417" s="61"/>
      <c r="FG417" s="61"/>
      <c r="FH417" s="61"/>
      <c r="FI417" s="61"/>
    </row>
    <row r="418" spans="158:165" ht="15" customHeight="1" x14ac:dyDescent="0.15">
      <c r="FB418" s="60"/>
      <c r="FC418" s="61"/>
      <c r="FD418" s="61"/>
      <c r="FE418" s="61"/>
      <c r="FF418" s="61"/>
      <c r="FG418" s="61"/>
      <c r="FH418" s="61"/>
      <c r="FI418" s="61"/>
    </row>
    <row r="419" spans="158:165" ht="15" customHeight="1" x14ac:dyDescent="0.15">
      <c r="FB419" s="60"/>
      <c r="FC419" s="61"/>
      <c r="FD419" s="61"/>
      <c r="FE419" s="61"/>
      <c r="FF419" s="61"/>
      <c r="FG419" s="61"/>
      <c r="FH419" s="61"/>
      <c r="FI419" s="61"/>
    </row>
    <row r="420" spans="158:165" ht="15" customHeight="1" x14ac:dyDescent="0.15">
      <c r="FB420" s="60"/>
      <c r="FC420" s="61"/>
      <c r="FD420" s="61"/>
      <c r="FE420" s="61"/>
      <c r="FF420" s="61"/>
      <c r="FG420" s="61"/>
      <c r="FH420" s="61"/>
      <c r="FI420" s="61"/>
    </row>
    <row r="421" spans="158:165" ht="15" customHeight="1" x14ac:dyDescent="0.15">
      <c r="FB421" s="60"/>
      <c r="FC421" s="61"/>
      <c r="FD421" s="61"/>
      <c r="FE421" s="61"/>
      <c r="FF421" s="61"/>
      <c r="FG421" s="61"/>
      <c r="FH421" s="61"/>
      <c r="FI421" s="61"/>
    </row>
    <row r="422" spans="158:165" ht="15" customHeight="1" x14ac:dyDescent="0.15">
      <c r="FB422" s="60"/>
      <c r="FC422" s="61"/>
      <c r="FD422" s="61"/>
      <c r="FE422" s="61"/>
      <c r="FF422" s="61"/>
      <c r="FG422" s="61"/>
      <c r="FH422" s="61"/>
      <c r="FI422" s="61"/>
    </row>
    <row r="423" spans="158:165" ht="15" customHeight="1" x14ac:dyDescent="0.15">
      <c r="FB423" s="60"/>
      <c r="FC423" s="61"/>
      <c r="FD423" s="61"/>
      <c r="FE423" s="61"/>
      <c r="FF423" s="61"/>
      <c r="FG423" s="61"/>
      <c r="FH423" s="61"/>
      <c r="FI423" s="61"/>
    </row>
    <row r="424" spans="158:165" ht="15" customHeight="1" x14ac:dyDescent="0.15">
      <c r="FB424" s="60"/>
      <c r="FC424" s="61"/>
      <c r="FD424" s="61"/>
      <c r="FE424" s="61"/>
      <c r="FF424" s="61"/>
      <c r="FG424" s="61"/>
      <c r="FH424" s="61"/>
      <c r="FI424" s="61"/>
    </row>
    <row r="425" spans="158:165" ht="15" customHeight="1" x14ac:dyDescent="0.15">
      <c r="FB425" s="60"/>
      <c r="FC425" s="61"/>
      <c r="FD425" s="61"/>
      <c r="FE425" s="61"/>
      <c r="FF425" s="61"/>
      <c r="FG425" s="61"/>
      <c r="FH425" s="61"/>
      <c r="FI425" s="61"/>
    </row>
    <row r="426" spans="158:165" ht="15" customHeight="1" x14ac:dyDescent="0.15">
      <c r="FB426" s="60"/>
      <c r="FC426" s="61"/>
      <c r="FD426" s="61"/>
      <c r="FE426" s="61"/>
      <c r="FF426" s="61"/>
      <c r="FG426" s="61"/>
      <c r="FH426" s="61"/>
      <c r="FI426" s="61"/>
    </row>
    <row r="427" spans="158:165" ht="15" customHeight="1" x14ac:dyDescent="0.15">
      <c r="FB427" s="60"/>
      <c r="FC427" s="61"/>
      <c r="FD427" s="61"/>
      <c r="FE427" s="61"/>
      <c r="FF427" s="61"/>
      <c r="FG427" s="61"/>
      <c r="FH427" s="61"/>
      <c r="FI427" s="61"/>
    </row>
    <row r="428" spans="158:165" ht="15" customHeight="1" x14ac:dyDescent="0.15">
      <c r="FB428" s="60"/>
      <c r="FC428" s="61"/>
      <c r="FD428" s="61"/>
      <c r="FE428" s="61"/>
      <c r="FF428" s="61"/>
      <c r="FG428" s="61"/>
      <c r="FH428" s="61"/>
      <c r="FI428" s="61"/>
    </row>
    <row r="429" spans="158:165" ht="15" customHeight="1" x14ac:dyDescent="0.15">
      <c r="FB429" s="60"/>
      <c r="FC429" s="61"/>
      <c r="FD429" s="61"/>
      <c r="FE429" s="61"/>
      <c r="FF429" s="61"/>
      <c r="FG429" s="61"/>
      <c r="FH429" s="61"/>
      <c r="FI429" s="61"/>
    </row>
    <row r="430" spans="158:165" ht="15" customHeight="1" x14ac:dyDescent="0.15">
      <c r="FB430" s="60"/>
      <c r="FC430" s="61"/>
      <c r="FD430" s="61"/>
      <c r="FE430" s="61"/>
      <c r="FF430" s="61"/>
      <c r="FG430" s="61"/>
      <c r="FH430" s="61"/>
      <c r="FI430" s="61"/>
    </row>
    <row r="431" spans="158:165" ht="15" customHeight="1" x14ac:dyDescent="0.15">
      <c r="FB431" s="60"/>
      <c r="FC431" s="61"/>
      <c r="FD431" s="61"/>
      <c r="FE431" s="61"/>
      <c r="FF431" s="61"/>
      <c r="FG431" s="61"/>
      <c r="FH431" s="61"/>
      <c r="FI431" s="61"/>
    </row>
    <row r="432" spans="158:165" ht="15" customHeight="1" x14ac:dyDescent="0.15">
      <c r="FB432" s="60"/>
      <c r="FC432" s="61"/>
      <c r="FD432" s="61"/>
      <c r="FE432" s="61"/>
      <c r="FF432" s="61"/>
      <c r="FG432" s="61"/>
      <c r="FH432" s="61"/>
      <c r="FI432" s="61"/>
    </row>
    <row r="433" spans="158:165" ht="15" customHeight="1" x14ac:dyDescent="0.15">
      <c r="FB433" s="60"/>
      <c r="FC433" s="61"/>
      <c r="FD433" s="61"/>
      <c r="FE433" s="61"/>
      <c r="FF433" s="61"/>
      <c r="FG433" s="61"/>
      <c r="FH433" s="61"/>
      <c r="FI433" s="61"/>
    </row>
    <row r="434" spans="158:165" ht="15" customHeight="1" x14ac:dyDescent="0.15">
      <c r="FB434" s="60"/>
      <c r="FC434" s="61"/>
      <c r="FD434" s="61"/>
      <c r="FE434" s="61"/>
      <c r="FF434" s="61"/>
      <c r="FG434" s="61"/>
      <c r="FH434" s="61"/>
      <c r="FI434" s="61"/>
    </row>
    <row r="435" spans="158:165" ht="15" customHeight="1" x14ac:dyDescent="0.15">
      <c r="FB435" s="60"/>
      <c r="FC435" s="61"/>
      <c r="FD435" s="61"/>
      <c r="FE435" s="61"/>
      <c r="FF435" s="61"/>
      <c r="FG435" s="61"/>
      <c r="FH435" s="61"/>
      <c r="FI435" s="61"/>
    </row>
    <row r="436" spans="158:165" ht="15" customHeight="1" x14ac:dyDescent="0.15">
      <c r="FB436" s="60"/>
      <c r="FC436" s="61"/>
      <c r="FD436" s="61"/>
      <c r="FE436" s="61"/>
      <c r="FF436" s="61"/>
      <c r="FG436" s="61"/>
      <c r="FH436" s="61"/>
      <c r="FI436" s="61"/>
    </row>
    <row r="437" spans="158:165" ht="15" customHeight="1" x14ac:dyDescent="0.15">
      <c r="FB437" s="60"/>
      <c r="FC437" s="61"/>
      <c r="FD437" s="61"/>
      <c r="FE437" s="61"/>
      <c r="FF437" s="61"/>
      <c r="FG437" s="61"/>
      <c r="FH437" s="61"/>
      <c r="FI437" s="61"/>
    </row>
    <row r="438" spans="158:165" ht="15" customHeight="1" x14ac:dyDescent="0.15">
      <c r="FB438" s="60"/>
      <c r="FC438" s="61"/>
      <c r="FD438" s="61"/>
      <c r="FE438" s="61"/>
      <c r="FF438" s="61"/>
      <c r="FG438" s="61"/>
      <c r="FH438" s="61"/>
      <c r="FI438" s="61"/>
    </row>
    <row r="439" spans="158:165" ht="15" customHeight="1" x14ac:dyDescent="0.15">
      <c r="FB439" s="60"/>
      <c r="FC439" s="61"/>
      <c r="FD439" s="61"/>
      <c r="FE439" s="61"/>
      <c r="FF439" s="61"/>
      <c r="FG439" s="61"/>
      <c r="FH439" s="61"/>
      <c r="FI439" s="61"/>
    </row>
    <row r="440" spans="158:165" ht="15" customHeight="1" x14ac:dyDescent="0.15">
      <c r="FB440" s="60"/>
      <c r="FC440" s="61"/>
      <c r="FD440" s="61"/>
      <c r="FE440" s="61"/>
      <c r="FF440" s="61"/>
      <c r="FG440" s="61"/>
      <c r="FH440" s="61"/>
      <c r="FI440" s="61"/>
    </row>
    <row r="441" spans="158:165" ht="15" customHeight="1" x14ac:dyDescent="0.15">
      <c r="FB441" s="60"/>
      <c r="FC441" s="61"/>
      <c r="FD441" s="61"/>
      <c r="FE441" s="61"/>
      <c r="FF441" s="61"/>
      <c r="FG441" s="61"/>
      <c r="FH441" s="61"/>
      <c r="FI441" s="61"/>
    </row>
    <row r="442" spans="158:165" ht="15" customHeight="1" x14ac:dyDescent="0.15">
      <c r="FB442" s="60"/>
      <c r="FC442" s="61"/>
      <c r="FD442" s="61"/>
      <c r="FE442" s="61"/>
      <c r="FF442" s="61"/>
      <c r="FG442" s="61"/>
      <c r="FH442" s="61"/>
      <c r="FI442" s="61"/>
    </row>
    <row r="443" spans="158:165" ht="15" customHeight="1" x14ac:dyDescent="0.15">
      <c r="FB443" s="60"/>
      <c r="FC443" s="61"/>
      <c r="FD443" s="61"/>
      <c r="FE443" s="61"/>
      <c r="FF443" s="61"/>
      <c r="FG443" s="61"/>
      <c r="FH443" s="61"/>
      <c r="FI443" s="61"/>
    </row>
    <row r="444" spans="158:165" ht="15" customHeight="1" x14ac:dyDescent="0.15">
      <c r="FB444" s="60"/>
      <c r="FC444" s="61"/>
      <c r="FD444" s="61"/>
      <c r="FE444" s="61"/>
      <c r="FF444" s="61"/>
      <c r="FG444" s="61"/>
      <c r="FH444" s="61"/>
      <c r="FI444" s="61"/>
    </row>
    <row r="445" spans="158:165" ht="15" customHeight="1" x14ac:dyDescent="0.15">
      <c r="FB445" s="60"/>
      <c r="FC445" s="61"/>
      <c r="FD445" s="61"/>
      <c r="FE445" s="61"/>
      <c r="FF445" s="61"/>
      <c r="FG445" s="61"/>
      <c r="FH445" s="61"/>
      <c r="FI445" s="61"/>
    </row>
    <row r="446" spans="158:165" ht="15" customHeight="1" x14ac:dyDescent="0.15">
      <c r="FB446" s="60"/>
      <c r="FC446" s="61"/>
      <c r="FD446" s="61"/>
      <c r="FE446" s="61"/>
      <c r="FF446" s="61"/>
      <c r="FG446" s="61"/>
      <c r="FH446" s="61"/>
      <c r="FI446" s="61"/>
    </row>
    <row r="447" spans="158:165" ht="15" customHeight="1" x14ac:dyDescent="0.15">
      <c r="FB447" s="60"/>
      <c r="FC447" s="61"/>
      <c r="FD447" s="61"/>
      <c r="FE447" s="61"/>
      <c r="FF447" s="61"/>
      <c r="FG447" s="61"/>
      <c r="FH447" s="61"/>
      <c r="FI447" s="61"/>
    </row>
    <row r="448" spans="158:165" ht="15" customHeight="1" x14ac:dyDescent="0.15">
      <c r="FB448" s="60"/>
      <c r="FC448" s="61"/>
      <c r="FD448" s="61"/>
      <c r="FE448" s="61"/>
      <c r="FF448" s="61"/>
      <c r="FG448" s="61"/>
      <c r="FH448" s="61"/>
      <c r="FI448" s="61"/>
    </row>
    <row r="449" spans="158:165" ht="15" customHeight="1" x14ac:dyDescent="0.15">
      <c r="FB449" s="60"/>
      <c r="FC449" s="61"/>
      <c r="FD449" s="61"/>
      <c r="FE449" s="61"/>
      <c r="FF449" s="61"/>
      <c r="FG449" s="61"/>
      <c r="FH449" s="61"/>
      <c r="FI449" s="61"/>
    </row>
    <row r="450" spans="158:165" ht="15" customHeight="1" x14ac:dyDescent="0.15">
      <c r="FB450" s="60"/>
      <c r="FC450" s="61"/>
      <c r="FD450" s="61"/>
      <c r="FE450" s="61"/>
      <c r="FF450" s="61"/>
      <c r="FG450" s="61"/>
      <c r="FH450" s="61"/>
      <c r="FI450" s="61"/>
    </row>
    <row r="451" spans="158:165" ht="15" customHeight="1" x14ac:dyDescent="0.15">
      <c r="FB451" s="60"/>
      <c r="FC451" s="61"/>
      <c r="FD451" s="61"/>
      <c r="FE451" s="61"/>
      <c r="FF451" s="61"/>
      <c r="FG451" s="61"/>
      <c r="FH451" s="61"/>
      <c r="FI451" s="61"/>
    </row>
    <row r="452" spans="158:165" ht="15" customHeight="1" x14ac:dyDescent="0.15">
      <c r="FB452" s="60"/>
      <c r="FC452" s="61"/>
      <c r="FD452" s="61"/>
      <c r="FE452" s="61"/>
      <c r="FF452" s="61"/>
      <c r="FG452" s="61"/>
      <c r="FH452" s="61"/>
      <c r="FI452" s="61"/>
    </row>
    <row r="453" spans="158:165" ht="15" customHeight="1" x14ac:dyDescent="0.15">
      <c r="FB453" s="60"/>
      <c r="FC453" s="61"/>
      <c r="FD453" s="61"/>
      <c r="FE453" s="61"/>
      <c r="FF453" s="61"/>
      <c r="FG453" s="61"/>
      <c r="FH453" s="61"/>
      <c r="FI453" s="61"/>
    </row>
    <row r="454" spans="158:165" ht="15" customHeight="1" x14ac:dyDescent="0.15">
      <c r="FB454" s="60"/>
      <c r="FC454" s="61"/>
      <c r="FD454" s="61"/>
      <c r="FE454" s="61"/>
      <c r="FF454" s="61"/>
      <c r="FG454" s="61"/>
      <c r="FH454" s="61"/>
      <c r="FI454" s="61"/>
    </row>
    <row r="455" spans="158:165" ht="15" customHeight="1" x14ac:dyDescent="0.15">
      <c r="FB455" s="60"/>
      <c r="FC455" s="61"/>
      <c r="FD455" s="61"/>
      <c r="FE455" s="61"/>
      <c r="FF455" s="61"/>
      <c r="FG455" s="61"/>
      <c r="FH455" s="61"/>
      <c r="FI455" s="61"/>
    </row>
    <row r="456" spans="158:165" ht="15" customHeight="1" x14ac:dyDescent="0.15">
      <c r="FB456" s="60"/>
      <c r="FC456" s="61"/>
      <c r="FD456" s="61"/>
      <c r="FE456" s="61"/>
      <c r="FF456" s="61"/>
      <c r="FG456" s="61"/>
      <c r="FH456" s="61"/>
      <c r="FI456" s="61"/>
    </row>
    <row r="457" spans="158:165" ht="15" customHeight="1" x14ac:dyDescent="0.15">
      <c r="FB457" s="60"/>
      <c r="FC457" s="61"/>
      <c r="FD457" s="61"/>
      <c r="FE457" s="61"/>
      <c r="FF457" s="61"/>
      <c r="FG457" s="61"/>
      <c r="FH457" s="61"/>
      <c r="FI457" s="61"/>
    </row>
    <row r="458" spans="158:165" ht="15" customHeight="1" x14ac:dyDescent="0.15">
      <c r="FB458" s="60"/>
      <c r="FC458" s="61"/>
      <c r="FD458" s="61"/>
      <c r="FE458" s="61"/>
      <c r="FF458" s="61"/>
      <c r="FG458" s="61"/>
      <c r="FH458" s="61"/>
      <c r="FI458" s="61"/>
    </row>
    <row r="459" spans="158:165" ht="15" customHeight="1" x14ac:dyDescent="0.15">
      <c r="FB459" s="60"/>
      <c r="FC459" s="61"/>
      <c r="FD459" s="61"/>
      <c r="FE459" s="61"/>
      <c r="FF459" s="61"/>
      <c r="FG459" s="61"/>
      <c r="FH459" s="61"/>
      <c r="FI459" s="61"/>
    </row>
    <row r="460" spans="158:165" ht="15" customHeight="1" x14ac:dyDescent="0.15">
      <c r="FB460" s="60"/>
      <c r="FC460" s="61"/>
      <c r="FD460" s="61"/>
      <c r="FE460" s="61"/>
      <c r="FF460" s="61"/>
      <c r="FG460" s="61"/>
      <c r="FH460" s="61"/>
      <c r="FI460" s="61"/>
    </row>
    <row r="461" spans="158:165" ht="15" customHeight="1" x14ac:dyDescent="0.15">
      <c r="FB461" s="60"/>
      <c r="FC461" s="61"/>
      <c r="FD461" s="61"/>
      <c r="FE461" s="61"/>
      <c r="FF461" s="61"/>
      <c r="FG461" s="61"/>
      <c r="FH461" s="61"/>
      <c r="FI461" s="61"/>
    </row>
    <row r="462" spans="158:165" ht="15" customHeight="1" x14ac:dyDescent="0.15">
      <c r="FB462" s="60"/>
      <c r="FC462" s="61"/>
      <c r="FD462" s="61"/>
      <c r="FE462" s="61"/>
      <c r="FF462" s="61"/>
      <c r="FG462" s="61"/>
      <c r="FH462" s="61"/>
      <c r="FI462" s="61"/>
    </row>
    <row r="463" spans="158:165" ht="15" customHeight="1" x14ac:dyDescent="0.15">
      <c r="FB463" s="60"/>
      <c r="FC463" s="61"/>
      <c r="FD463" s="61"/>
      <c r="FE463" s="61"/>
      <c r="FF463" s="61"/>
      <c r="FG463" s="61"/>
      <c r="FH463" s="61"/>
      <c r="FI463" s="61"/>
    </row>
    <row r="464" spans="158:165" ht="15" customHeight="1" x14ac:dyDescent="0.15">
      <c r="FB464" s="60"/>
      <c r="FC464" s="61"/>
      <c r="FD464" s="61"/>
      <c r="FE464" s="61"/>
      <c r="FF464" s="61"/>
      <c r="FG464" s="61"/>
      <c r="FH464" s="61"/>
      <c r="FI464" s="61"/>
    </row>
    <row r="465" spans="158:165" ht="15" customHeight="1" x14ac:dyDescent="0.15">
      <c r="FB465" s="60"/>
      <c r="FC465" s="61"/>
      <c r="FD465" s="61"/>
      <c r="FE465" s="61"/>
      <c r="FF465" s="61"/>
      <c r="FG465" s="61"/>
      <c r="FH465" s="61"/>
      <c r="FI465" s="61"/>
    </row>
    <row r="466" spans="158:165" ht="15" customHeight="1" x14ac:dyDescent="0.15">
      <c r="FB466" s="60"/>
      <c r="FC466" s="61"/>
      <c r="FD466" s="61"/>
      <c r="FE466" s="61"/>
      <c r="FF466" s="61"/>
      <c r="FG466" s="61"/>
      <c r="FH466" s="61"/>
      <c r="FI466" s="61"/>
    </row>
    <row r="467" spans="158:165" ht="15" customHeight="1" x14ac:dyDescent="0.15">
      <c r="FB467" s="60"/>
      <c r="FC467" s="61"/>
      <c r="FD467" s="61"/>
      <c r="FE467" s="61"/>
      <c r="FF467" s="61"/>
      <c r="FG467" s="61"/>
      <c r="FH467" s="61"/>
      <c r="FI467" s="61"/>
    </row>
    <row r="468" spans="158:165" ht="15" customHeight="1" x14ac:dyDescent="0.15">
      <c r="FB468" s="60"/>
      <c r="FC468" s="61"/>
      <c r="FD468" s="61"/>
      <c r="FE468" s="61"/>
      <c r="FF468" s="61"/>
      <c r="FG468" s="61"/>
      <c r="FH468" s="61"/>
      <c r="FI468" s="61"/>
    </row>
    <row r="469" spans="158:165" ht="15" customHeight="1" x14ac:dyDescent="0.15">
      <c r="FB469" s="60"/>
      <c r="FC469" s="61"/>
      <c r="FD469" s="61"/>
      <c r="FE469" s="61"/>
      <c r="FF469" s="61"/>
      <c r="FG469" s="61"/>
      <c r="FH469" s="61"/>
      <c r="FI469" s="61"/>
    </row>
    <row r="470" spans="158:165" ht="15" customHeight="1" x14ac:dyDescent="0.15">
      <c r="FB470" s="60"/>
      <c r="FC470" s="61"/>
      <c r="FD470" s="61"/>
      <c r="FE470" s="61"/>
      <c r="FF470" s="61"/>
      <c r="FG470" s="61"/>
      <c r="FH470" s="61"/>
      <c r="FI470" s="61"/>
    </row>
    <row r="471" spans="158:165" ht="15" customHeight="1" x14ac:dyDescent="0.15">
      <c r="FB471" s="60"/>
      <c r="FC471" s="61"/>
      <c r="FD471" s="61"/>
      <c r="FE471" s="61"/>
      <c r="FF471" s="61"/>
      <c r="FG471" s="61"/>
      <c r="FH471" s="61"/>
      <c r="FI471" s="61"/>
    </row>
    <row r="472" spans="158:165" ht="15" customHeight="1" x14ac:dyDescent="0.15">
      <c r="FB472" s="60"/>
      <c r="FC472" s="61"/>
      <c r="FD472" s="61"/>
      <c r="FE472" s="61"/>
      <c r="FF472" s="61"/>
      <c r="FG472" s="61"/>
      <c r="FH472" s="61"/>
      <c r="FI472" s="61"/>
    </row>
    <row r="473" spans="158:165" ht="15" customHeight="1" x14ac:dyDescent="0.15">
      <c r="FB473" s="60"/>
      <c r="FC473" s="61"/>
      <c r="FD473" s="61"/>
      <c r="FE473" s="61"/>
      <c r="FF473" s="61"/>
      <c r="FG473" s="61"/>
      <c r="FH473" s="61"/>
      <c r="FI473" s="61"/>
    </row>
    <row r="474" spans="158:165" ht="15" customHeight="1" x14ac:dyDescent="0.15">
      <c r="FB474" s="60"/>
      <c r="FC474" s="61"/>
      <c r="FD474" s="61"/>
      <c r="FE474" s="61"/>
      <c r="FF474" s="61"/>
      <c r="FG474" s="61"/>
      <c r="FH474" s="61"/>
      <c r="FI474" s="61"/>
    </row>
    <row r="475" spans="158:165" ht="15" customHeight="1" x14ac:dyDescent="0.15">
      <c r="FB475" s="60"/>
      <c r="FC475" s="61"/>
      <c r="FD475" s="61"/>
      <c r="FE475" s="61"/>
      <c r="FF475" s="61"/>
      <c r="FG475" s="61"/>
      <c r="FH475" s="61"/>
      <c r="FI475" s="61"/>
    </row>
    <row r="476" spans="158:165" ht="15" customHeight="1" x14ac:dyDescent="0.15">
      <c r="FB476" s="60"/>
      <c r="FC476" s="61"/>
      <c r="FD476" s="61"/>
      <c r="FE476" s="61"/>
      <c r="FF476" s="61"/>
      <c r="FG476" s="61"/>
      <c r="FH476" s="61"/>
      <c r="FI476" s="61"/>
    </row>
    <row r="477" spans="158:165" ht="15" customHeight="1" x14ac:dyDescent="0.15">
      <c r="FB477" s="60"/>
      <c r="FC477" s="61"/>
      <c r="FD477" s="61"/>
      <c r="FE477" s="61"/>
      <c r="FF477" s="61"/>
      <c r="FG477" s="61"/>
      <c r="FH477" s="61"/>
      <c r="FI477" s="61"/>
    </row>
    <row r="478" spans="158:165" ht="15" customHeight="1" x14ac:dyDescent="0.15">
      <c r="FB478" s="60"/>
      <c r="FC478" s="61"/>
      <c r="FD478" s="61"/>
      <c r="FE478" s="61"/>
      <c r="FF478" s="61"/>
      <c r="FG478" s="61"/>
      <c r="FH478" s="61"/>
      <c r="FI478" s="61"/>
    </row>
    <row r="479" spans="158:165" ht="15" customHeight="1" x14ac:dyDescent="0.15">
      <c r="FB479" s="60"/>
      <c r="FC479" s="61"/>
      <c r="FD479" s="61"/>
      <c r="FE479" s="61"/>
      <c r="FF479" s="61"/>
      <c r="FG479" s="61"/>
      <c r="FH479" s="61"/>
      <c r="FI479" s="61"/>
    </row>
    <row r="480" spans="158:165" ht="15" customHeight="1" x14ac:dyDescent="0.15">
      <c r="FB480" s="60"/>
      <c r="FC480" s="61"/>
      <c r="FD480" s="61"/>
      <c r="FE480" s="61"/>
      <c r="FF480" s="61"/>
      <c r="FG480" s="61"/>
      <c r="FH480" s="61"/>
      <c r="FI480" s="61"/>
    </row>
    <row r="481" spans="158:165" ht="15" customHeight="1" x14ac:dyDescent="0.15">
      <c r="FB481" s="60"/>
      <c r="FC481" s="61"/>
      <c r="FD481" s="61"/>
      <c r="FE481" s="61"/>
      <c r="FF481" s="61"/>
      <c r="FG481" s="61"/>
      <c r="FH481" s="61"/>
      <c r="FI481" s="61"/>
    </row>
    <row r="482" spans="158:165" ht="15" customHeight="1" x14ac:dyDescent="0.15">
      <c r="FB482" s="60"/>
      <c r="FC482" s="61"/>
      <c r="FD482" s="61"/>
      <c r="FE482" s="61"/>
      <c r="FF482" s="61"/>
      <c r="FG482" s="61"/>
      <c r="FH482" s="61"/>
      <c r="FI482" s="61"/>
    </row>
    <row r="483" spans="158:165" ht="15" customHeight="1" x14ac:dyDescent="0.15">
      <c r="FB483" s="60"/>
      <c r="FC483" s="61"/>
      <c r="FD483" s="61"/>
      <c r="FE483" s="61"/>
      <c r="FF483" s="61"/>
      <c r="FG483" s="61"/>
      <c r="FH483" s="61"/>
      <c r="FI483" s="61"/>
    </row>
    <row r="484" spans="158:165" ht="15" customHeight="1" x14ac:dyDescent="0.15">
      <c r="FB484" s="60"/>
      <c r="FC484" s="61"/>
      <c r="FD484" s="61"/>
      <c r="FE484" s="61"/>
      <c r="FF484" s="61"/>
      <c r="FG484" s="61"/>
      <c r="FH484" s="61"/>
      <c r="FI484" s="61"/>
    </row>
    <row r="485" spans="158:165" ht="15" customHeight="1" x14ac:dyDescent="0.15">
      <c r="FB485" s="60"/>
      <c r="FC485" s="61"/>
      <c r="FD485" s="61"/>
      <c r="FE485" s="61"/>
      <c r="FF485" s="61"/>
      <c r="FG485" s="61"/>
      <c r="FH485" s="61"/>
      <c r="FI485" s="61"/>
    </row>
    <row r="486" spans="158:165" ht="15" customHeight="1" x14ac:dyDescent="0.15">
      <c r="FB486" s="60"/>
      <c r="FC486" s="61"/>
      <c r="FD486" s="61"/>
      <c r="FE486" s="61"/>
      <c r="FF486" s="61"/>
      <c r="FG486" s="61"/>
      <c r="FH486" s="61"/>
      <c r="FI486" s="61"/>
    </row>
    <row r="487" spans="158:165" ht="15" customHeight="1" x14ac:dyDescent="0.15">
      <c r="FB487" s="60"/>
      <c r="FC487" s="61"/>
      <c r="FD487" s="61"/>
      <c r="FE487" s="61"/>
      <c r="FF487" s="61"/>
      <c r="FG487" s="61"/>
      <c r="FH487" s="61"/>
      <c r="FI487" s="61"/>
    </row>
    <row r="488" spans="158:165" ht="15" customHeight="1" x14ac:dyDescent="0.15">
      <c r="FB488" s="60"/>
      <c r="FC488" s="61"/>
      <c r="FD488" s="61"/>
      <c r="FE488" s="61"/>
      <c r="FF488" s="61"/>
      <c r="FG488" s="61"/>
      <c r="FH488" s="61"/>
      <c r="FI488" s="61"/>
    </row>
    <row r="489" spans="158:165" ht="15" customHeight="1" x14ac:dyDescent="0.15">
      <c r="FB489" s="60"/>
      <c r="FC489" s="61"/>
      <c r="FD489" s="61"/>
      <c r="FE489" s="61"/>
      <c r="FF489" s="61"/>
      <c r="FG489" s="61"/>
      <c r="FH489" s="61"/>
      <c r="FI489" s="61"/>
    </row>
    <row r="490" spans="158:165" ht="15" customHeight="1" x14ac:dyDescent="0.15">
      <c r="FB490" s="60"/>
      <c r="FC490" s="61"/>
      <c r="FD490" s="61"/>
      <c r="FE490" s="61"/>
      <c r="FF490" s="61"/>
      <c r="FG490" s="61"/>
      <c r="FH490" s="61"/>
      <c r="FI490" s="61"/>
    </row>
    <row r="491" spans="158:165" ht="15" customHeight="1" x14ac:dyDescent="0.15">
      <c r="FB491" s="60"/>
      <c r="FC491" s="61"/>
      <c r="FD491" s="61"/>
      <c r="FE491" s="61"/>
      <c r="FF491" s="61"/>
      <c r="FG491" s="61"/>
      <c r="FH491" s="61"/>
      <c r="FI491" s="61"/>
    </row>
    <row r="492" spans="158:165" ht="15" customHeight="1" x14ac:dyDescent="0.15">
      <c r="FB492" s="60"/>
      <c r="FC492" s="61"/>
      <c r="FD492" s="61"/>
      <c r="FE492" s="61"/>
      <c r="FF492" s="61"/>
      <c r="FG492" s="61"/>
      <c r="FH492" s="61"/>
      <c r="FI492" s="61"/>
    </row>
    <row r="493" spans="158:165" ht="15" customHeight="1" x14ac:dyDescent="0.15">
      <c r="FB493" s="60"/>
      <c r="FC493" s="61"/>
      <c r="FD493" s="61"/>
      <c r="FE493" s="61"/>
      <c r="FF493" s="61"/>
      <c r="FG493" s="61"/>
      <c r="FH493" s="61"/>
      <c r="FI493" s="61"/>
    </row>
    <row r="494" spans="158:165" ht="15" customHeight="1" x14ac:dyDescent="0.15">
      <c r="FB494" s="60"/>
      <c r="FC494" s="61"/>
      <c r="FD494" s="61"/>
      <c r="FE494" s="61"/>
      <c r="FF494" s="61"/>
      <c r="FG494" s="61"/>
      <c r="FH494" s="61"/>
      <c r="FI494" s="61"/>
    </row>
    <row r="495" spans="158:165" ht="15" customHeight="1" x14ac:dyDescent="0.15">
      <c r="FB495" s="60"/>
      <c r="FC495" s="61"/>
      <c r="FD495" s="61"/>
      <c r="FE495" s="61"/>
      <c r="FF495" s="61"/>
      <c r="FG495" s="61"/>
      <c r="FH495" s="61"/>
      <c r="FI495" s="61"/>
    </row>
    <row r="496" spans="158:165" ht="15" customHeight="1" x14ac:dyDescent="0.15">
      <c r="FB496" s="60"/>
      <c r="FC496" s="61"/>
      <c r="FD496" s="61"/>
      <c r="FE496" s="61"/>
      <c r="FF496" s="61"/>
      <c r="FG496" s="61"/>
      <c r="FH496" s="61"/>
      <c r="FI496" s="61"/>
    </row>
    <row r="497" spans="158:165" ht="15" customHeight="1" x14ac:dyDescent="0.15">
      <c r="FB497" s="60"/>
      <c r="FC497" s="61"/>
      <c r="FD497" s="61"/>
      <c r="FE497" s="61"/>
      <c r="FF497" s="61"/>
      <c r="FG497" s="61"/>
      <c r="FH497" s="61"/>
      <c r="FI497" s="61"/>
    </row>
    <row r="498" spans="158:165" ht="15" customHeight="1" x14ac:dyDescent="0.15">
      <c r="FB498" s="60"/>
      <c r="FC498" s="61"/>
      <c r="FD498" s="61"/>
      <c r="FE498" s="61"/>
      <c r="FF498" s="61"/>
      <c r="FG498" s="61"/>
      <c r="FH498" s="61"/>
      <c r="FI498" s="61"/>
    </row>
    <row r="499" spans="158:165" ht="15" customHeight="1" x14ac:dyDescent="0.15">
      <c r="FB499" s="60"/>
      <c r="FC499" s="61"/>
      <c r="FD499" s="61"/>
      <c r="FE499" s="61"/>
      <c r="FF499" s="61"/>
      <c r="FG499" s="61"/>
      <c r="FH499" s="61"/>
      <c r="FI499" s="61"/>
    </row>
    <row r="500" spans="158:165" ht="15" customHeight="1" x14ac:dyDescent="0.15">
      <c r="FB500" s="60"/>
      <c r="FC500" s="61"/>
      <c r="FD500" s="61"/>
      <c r="FE500" s="61"/>
      <c r="FF500" s="61"/>
      <c r="FG500" s="61"/>
      <c r="FH500" s="61"/>
      <c r="FI500" s="61"/>
    </row>
    <row r="501" spans="158:165" ht="15" customHeight="1" x14ac:dyDescent="0.15">
      <c r="FB501" s="60"/>
      <c r="FC501" s="61"/>
      <c r="FD501" s="61"/>
      <c r="FE501" s="61"/>
      <c r="FF501" s="61"/>
      <c r="FG501" s="61"/>
      <c r="FH501" s="61"/>
      <c r="FI501" s="61"/>
    </row>
    <row r="502" spans="158:165" ht="15" customHeight="1" x14ac:dyDescent="0.15">
      <c r="FB502" s="60"/>
      <c r="FC502" s="61"/>
      <c r="FD502" s="61"/>
      <c r="FE502" s="61"/>
      <c r="FF502" s="61"/>
      <c r="FG502" s="61"/>
      <c r="FH502" s="61"/>
      <c r="FI502" s="61"/>
    </row>
    <row r="503" spans="158:165" ht="15" customHeight="1" x14ac:dyDescent="0.15">
      <c r="FB503" s="60"/>
      <c r="FC503" s="61"/>
      <c r="FD503" s="61"/>
      <c r="FE503" s="61"/>
      <c r="FF503" s="61"/>
      <c r="FG503" s="61"/>
      <c r="FH503" s="61"/>
      <c r="FI503" s="61"/>
    </row>
    <row r="504" spans="158:165" ht="15" customHeight="1" x14ac:dyDescent="0.15">
      <c r="FB504" s="60"/>
      <c r="FC504" s="61"/>
      <c r="FD504" s="61"/>
      <c r="FE504" s="61"/>
      <c r="FF504" s="61"/>
      <c r="FG504" s="61"/>
      <c r="FH504" s="61"/>
      <c r="FI504" s="61"/>
    </row>
    <row r="505" spans="158:165" ht="15" customHeight="1" x14ac:dyDescent="0.15">
      <c r="FB505" s="60"/>
      <c r="FC505" s="61"/>
      <c r="FD505" s="61"/>
      <c r="FE505" s="61"/>
      <c r="FF505" s="61"/>
      <c r="FG505" s="61"/>
      <c r="FH505" s="61"/>
      <c r="FI505" s="61"/>
    </row>
    <row r="506" spans="158:165" ht="15" customHeight="1" x14ac:dyDescent="0.15">
      <c r="FB506" s="60"/>
      <c r="FC506" s="61"/>
      <c r="FD506" s="61"/>
      <c r="FE506" s="61"/>
      <c r="FF506" s="61"/>
      <c r="FG506" s="61"/>
      <c r="FH506" s="61"/>
      <c r="FI506" s="61"/>
    </row>
    <row r="507" spans="158:165" ht="15" customHeight="1" x14ac:dyDescent="0.15">
      <c r="FB507" s="60"/>
      <c r="FC507" s="61"/>
      <c r="FD507" s="61"/>
      <c r="FE507" s="61"/>
      <c r="FF507" s="61"/>
      <c r="FG507" s="61"/>
      <c r="FH507" s="61"/>
      <c r="FI507" s="61"/>
    </row>
    <row r="508" spans="158:165" ht="15" customHeight="1" x14ac:dyDescent="0.15">
      <c r="FB508" s="60"/>
      <c r="FC508" s="61"/>
      <c r="FD508" s="61"/>
      <c r="FE508" s="61"/>
      <c r="FF508" s="61"/>
      <c r="FG508" s="61"/>
      <c r="FH508" s="61"/>
      <c r="FI508" s="61"/>
    </row>
    <row r="509" spans="158:165" ht="15" customHeight="1" x14ac:dyDescent="0.15">
      <c r="FB509" s="60"/>
      <c r="FC509" s="61"/>
      <c r="FD509" s="61"/>
      <c r="FE509" s="61"/>
      <c r="FF509" s="61"/>
      <c r="FG509" s="61"/>
      <c r="FH509" s="61"/>
      <c r="FI509" s="61"/>
    </row>
    <row r="510" spans="158:165" ht="15" customHeight="1" x14ac:dyDescent="0.15">
      <c r="FB510" s="60"/>
      <c r="FC510" s="61"/>
      <c r="FD510" s="61"/>
      <c r="FE510" s="61"/>
      <c r="FF510" s="61"/>
      <c r="FG510" s="61"/>
      <c r="FH510" s="61"/>
      <c r="FI510" s="61"/>
    </row>
    <row r="511" spans="158:165" ht="15" customHeight="1" x14ac:dyDescent="0.15">
      <c r="FB511" s="60"/>
      <c r="FC511" s="61"/>
      <c r="FD511" s="61"/>
      <c r="FE511" s="61"/>
      <c r="FF511" s="61"/>
      <c r="FG511" s="61"/>
      <c r="FH511" s="61"/>
      <c r="FI511" s="61"/>
    </row>
    <row r="512" spans="158:165" ht="15" customHeight="1" x14ac:dyDescent="0.15">
      <c r="FB512" s="60"/>
      <c r="FC512" s="61"/>
      <c r="FD512" s="61"/>
      <c r="FE512" s="61"/>
      <c r="FF512" s="61"/>
      <c r="FG512" s="61"/>
      <c r="FH512" s="61"/>
      <c r="FI512" s="61"/>
    </row>
    <row r="513" spans="158:165" ht="15" customHeight="1" x14ac:dyDescent="0.15">
      <c r="FB513" s="60"/>
      <c r="FC513" s="61"/>
      <c r="FD513" s="61"/>
      <c r="FE513" s="61"/>
      <c r="FF513" s="61"/>
      <c r="FG513" s="61"/>
      <c r="FH513" s="61"/>
      <c r="FI513" s="61"/>
    </row>
    <row r="514" spans="158:165" ht="15" customHeight="1" x14ac:dyDescent="0.15">
      <c r="FB514" s="60"/>
      <c r="FC514" s="61"/>
      <c r="FD514" s="61"/>
      <c r="FE514" s="61"/>
      <c r="FF514" s="61"/>
      <c r="FG514" s="61"/>
      <c r="FH514" s="61"/>
      <c r="FI514" s="61"/>
    </row>
    <row r="515" spans="158:165" ht="15" customHeight="1" x14ac:dyDescent="0.15">
      <c r="FB515" s="60"/>
      <c r="FC515" s="61"/>
      <c r="FD515" s="61"/>
      <c r="FE515" s="61"/>
      <c r="FF515" s="61"/>
      <c r="FG515" s="61"/>
      <c r="FH515" s="61"/>
      <c r="FI515" s="61"/>
    </row>
    <row r="516" spans="158:165" ht="15" customHeight="1" x14ac:dyDescent="0.15">
      <c r="FB516" s="60"/>
      <c r="FC516" s="61"/>
      <c r="FD516" s="61"/>
      <c r="FE516" s="61"/>
      <c r="FF516" s="61"/>
      <c r="FG516" s="61"/>
      <c r="FH516" s="61"/>
      <c r="FI516" s="61"/>
    </row>
    <row r="517" spans="158:165" ht="15" customHeight="1" x14ac:dyDescent="0.15">
      <c r="FB517" s="60"/>
      <c r="FC517" s="61"/>
      <c r="FD517" s="61"/>
      <c r="FE517" s="61"/>
      <c r="FF517" s="61"/>
      <c r="FG517" s="61"/>
      <c r="FH517" s="61"/>
      <c r="FI517" s="61"/>
    </row>
    <row r="518" spans="158:165" ht="15" customHeight="1" x14ac:dyDescent="0.15">
      <c r="FB518" s="60"/>
      <c r="FC518" s="61"/>
      <c r="FD518" s="61"/>
      <c r="FE518" s="61"/>
      <c r="FF518" s="61"/>
      <c r="FG518" s="61"/>
      <c r="FH518" s="61"/>
      <c r="FI518" s="61"/>
    </row>
    <row r="519" spans="158:165" ht="15" customHeight="1" x14ac:dyDescent="0.15">
      <c r="FB519" s="60"/>
      <c r="FC519" s="61"/>
      <c r="FD519" s="61"/>
      <c r="FE519" s="61"/>
      <c r="FF519" s="61"/>
      <c r="FG519" s="61"/>
      <c r="FH519" s="61"/>
      <c r="FI519" s="61"/>
    </row>
    <row r="520" spans="158:165" ht="15" customHeight="1" x14ac:dyDescent="0.15">
      <c r="FB520" s="60"/>
      <c r="FC520" s="61"/>
      <c r="FD520" s="61"/>
      <c r="FE520" s="61"/>
      <c r="FF520" s="61"/>
      <c r="FG520" s="61"/>
      <c r="FH520" s="61"/>
      <c r="FI520" s="61"/>
    </row>
    <row r="521" spans="158:165" ht="15" customHeight="1" x14ac:dyDescent="0.15">
      <c r="FB521" s="60"/>
      <c r="FC521" s="61"/>
      <c r="FD521" s="61"/>
      <c r="FE521" s="61"/>
      <c r="FF521" s="61"/>
      <c r="FG521" s="61"/>
      <c r="FH521" s="61"/>
      <c r="FI521" s="61"/>
    </row>
    <row r="522" spans="158:165" ht="15" customHeight="1" x14ac:dyDescent="0.15">
      <c r="FB522" s="60"/>
      <c r="FC522" s="61"/>
      <c r="FD522" s="61"/>
      <c r="FE522" s="61"/>
      <c r="FF522" s="61"/>
      <c r="FG522" s="61"/>
      <c r="FH522" s="61"/>
      <c r="FI522" s="61"/>
    </row>
    <row r="523" spans="158:165" ht="15" customHeight="1" x14ac:dyDescent="0.15">
      <c r="FB523" s="60"/>
      <c r="FC523" s="61"/>
      <c r="FD523" s="61"/>
      <c r="FE523" s="61"/>
      <c r="FF523" s="61"/>
      <c r="FG523" s="61"/>
      <c r="FH523" s="61"/>
      <c r="FI523" s="61"/>
    </row>
    <row r="524" spans="158:165" ht="15" customHeight="1" x14ac:dyDescent="0.15">
      <c r="FB524" s="60"/>
      <c r="FC524" s="61"/>
      <c r="FD524" s="61"/>
      <c r="FE524" s="61"/>
      <c r="FF524" s="61"/>
      <c r="FG524" s="61"/>
      <c r="FH524" s="61"/>
      <c r="FI524" s="61"/>
    </row>
    <row r="525" spans="158:165" ht="15" customHeight="1" x14ac:dyDescent="0.15">
      <c r="FB525" s="60"/>
      <c r="FC525" s="61"/>
      <c r="FD525" s="61"/>
      <c r="FE525" s="61"/>
      <c r="FF525" s="61"/>
      <c r="FG525" s="61"/>
      <c r="FH525" s="61"/>
      <c r="FI525" s="61"/>
    </row>
    <row r="526" spans="158:165" ht="15" customHeight="1" x14ac:dyDescent="0.15">
      <c r="FB526" s="60"/>
      <c r="FC526" s="61"/>
      <c r="FD526" s="61"/>
      <c r="FE526" s="61"/>
      <c r="FF526" s="61"/>
      <c r="FG526" s="61"/>
      <c r="FH526" s="61"/>
      <c r="FI526" s="61"/>
    </row>
    <row r="527" spans="158:165" ht="15" customHeight="1" x14ac:dyDescent="0.15">
      <c r="FB527" s="60"/>
      <c r="FC527" s="61"/>
      <c r="FD527" s="61"/>
      <c r="FE527" s="61"/>
      <c r="FF527" s="61"/>
      <c r="FG527" s="61"/>
      <c r="FH527" s="61"/>
      <c r="FI527" s="61"/>
    </row>
    <row r="528" spans="158:165" ht="15" customHeight="1" x14ac:dyDescent="0.15">
      <c r="FB528" s="60"/>
      <c r="FC528" s="61"/>
      <c r="FD528" s="61"/>
      <c r="FE528" s="61"/>
      <c r="FF528" s="61"/>
      <c r="FG528" s="61"/>
      <c r="FH528" s="61"/>
      <c r="FI528" s="61"/>
    </row>
    <row r="529" spans="158:165" ht="15" customHeight="1" x14ac:dyDescent="0.15">
      <c r="FB529" s="60"/>
      <c r="FC529" s="61"/>
      <c r="FD529" s="61"/>
      <c r="FE529" s="61"/>
      <c r="FF529" s="61"/>
      <c r="FG529" s="61"/>
      <c r="FH529" s="61"/>
      <c r="FI529" s="61"/>
    </row>
    <row r="530" spans="158:165" ht="15" customHeight="1" x14ac:dyDescent="0.15">
      <c r="FB530" s="60"/>
      <c r="FC530" s="61"/>
      <c r="FD530" s="61"/>
      <c r="FE530" s="61"/>
      <c r="FF530" s="61"/>
      <c r="FG530" s="61"/>
      <c r="FH530" s="61"/>
      <c r="FI530" s="61"/>
    </row>
    <row r="531" spans="158:165" ht="15" customHeight="1" x14ac:dyDescent="0.15">
      <c r="FB531" s="60"/>
      <c r="FC531" s="61"/>
      <c r="FD531" s="61"/>
      <c r="FE531" s="61"/>
      <c r="FF531" s="61"/>
      <c r="FG531" s="61"/>
      <c r="FH531" s="61"/>
      <c r="FI531" s="61"/>
    </row>
    <row r="532" spans="158:165" ht="15" customHeight="1" x14ac:dyDescent="0.15">
      <c r="FB532" s="60"/>
      <c r="FC532" s="61"/>
      <c r="FD532" s="61"/>
      <c r="FE532" s="61"/>
      <c r="FF532" s="61"/>
      <c r="FG532" s="61"/>
      <c r="FH532" s="61"/>
      <c r="FI532" s="61"/>
    </row>
    <row r="533" spans="158:165" ht="15" customHeight="1" x14ac:dyDescent="0.15">
      <c r="FB533" s="60"/>
      <c r="FC533" s="61"/>
      <c r="FD533" s="61"/>
      <c r="FE533" s="61"/>
      <c r="FF533" s="61"/>
      <c r="FG533" s="61"/>
      <c r="FH533" s="61"/>
      <c r="FI533" s="61"/>
    </row>
    <row r="534" spans="158:165" ht="15" customHeight="1" x14ac:dyDescent="0.15">
      <c r="FB534" s="60"/>
      <c r="FC534" s="61"/>
      <c r="FD534" s="61"/>
      <c r="FE534" s="61"/>
      <c r="FF534" s="61"/>
      <c r="FG534" s="61"/>
      <c r="FH534" s="61"/>
      <c r="FI534" s="61"/>
    </row>
    <row r="535" spans="158:165" ht="15" customHeight="1" x14ac:dyDescent="0.15">
      <c r="FB535" s="60"/>
      <c r="FC535" s="61"/>
      <c r="FD535" s="61"/>
      <c r="FE535" s="61"/>
      <c r="FF535" s="61"/>
      <c r="FG535" s="61"/>
      <c r="FH535" s="61"/>
      <c r="FI535" s="61"/>
    </row>
    <row r="536" spans="158:165" ht="15" customHeight="1" x14ac:dyDescent="0.15">
      <c r="FB536" s="60"/>
      <c r="FC536" s="61"/>
      <c r="FD536" s="61"/>
      <c r="FE536" s="61"/>
      <c r="FF536" s="61"/>
      <c r="FG536" s="61"/>
      <c r="FH536" s="61"/>
      <c r="FI536" s="61"/>
    </row>
    <row r="537" spans="158:165" ht="15" customHeight="1" x14ac:dyDescent="0.15">
      <c r="FB537" s="60"/>
      <c r="FC537" s="61"/>
      <c r="FD537" s="61"/>
      <c r="FE537" s="61"/>
      <c r="FF537" s="61"/>
      <c r="FG537" s="61"/>
      <c r="FH537" s="61"/>
      <c r="FI537" s="61"/>
    </row>
    <row r="538" spans="158:165" ht="15" customHeight="1" x14ac:dyDescent="0.15">
      <c r="FB538" s="60"/>
      <c r="FC538" s="61"/>
      <c r="FD538" s="61"/>
      <c r="FE538" s="61"/>
      <c r="FF538" s="61"/>
      <c r="FG538" s="61"/>
      <c r="FH538" s="61"/>
      <c r="FI538" s="61"/>
    </row>
    <row r="539" spans="158:165" ht="15" customHeight="1" x14ac:dyDescent="0.15">
      <c r="FB539" s="60"/>
      <c r="FC539" s="61"/>
      <c r="FD539" s="61"/>
      <c r="FE539" s="61"/>
      <c r="FF539" s="61"/>
      <c r="FG539" s="61"/>
      <c r="FH539" s="61"/>
      <c r="FI539" s="61"/>
    </row>
    <row r="540" spans="158:165" ht="15" customHeight="1" x14ac:dyDescent="0.15">
      <c r="FB540" s="60"/>
      <c r="FC540" s="61"/>
      <c r="FD540" s="61"/>
      <c r="FE540" s="61"/>
      <c r="FF540" s="61"/>
      <c r="FG540" s="61"/>
      <c r="FH540" s="61"/>
      <c r="FI540" s="61"/>
    </row>
    <row r="541" spans="158:165" ht="15" customHeight="1" x14ac:dyDescent="0.15">
      <c r="FB541" s="60"/>
      <c r="FC541" s="61"/>
      <c r="FD541" s="61"/>
      <c r="FE541" s="61"/>
      <c r="FF541" s="61"/>
      <c r="FG541" s="61"/>
      <c r="FH541" s="61"/>
      <c r="FI541" s="61"/>
    </row>
    <row r="542" spans="158:165" ht="15" customHeight="1" x14ac:dyDescent="0.15">
      <c r="FB542" s="60"/>
      <c r="FC542" s="61"/>
      <c r="FD542" s="61"/>
      <c r="FE542" s="61"/>
      <c r="FF542" s="61"/>
      <c r="FG542" s="61"/>
      <c r="FH542" s="61"/>
      <c r="FI542" s="61"/>
    </row>
    <row r="543" spans="158:165" ht="15" customHeight="1" x14ac:dyDescent="0.15">
      <c r="FB543" s="60"/>
      <c r="FC543" s="61"/>
      <c r="FD543" s="61"/>
      <c r="FE543" s="61"/>
      <c r="FF543" s="61"/>
      <c r="FG543" s="61"/>
      <c r="FH543" s="61"/>
      <c r="FI543" s="61"/>
    </row>
    <row r="544" spans="158:165" ht="15" customHeight="1" x14ac:dyDescent="0.15">
      <c r="FB544" s="60"/>
      <c r="FC544" s="61"/>
      <c r="FD544" s="61"/>
      <c r="FE544" s="61"/>
      <c r="FF544" s="61"/>
      <c r="FG544" s="61"/>
      <c r="FH544" s="61"/>
      <c r="FI544" s="61"/>
    </row>
    <row r="545" spans="158:165" ht="15" customHeight="1" x14ac:dyDescent="0.15">
      <c r="FB545" s="60"/>
      <c r="FC545" s="61"/>
      <c r="FD545" s="61"/>
      <c r="FE545" s="61"/>
      <c r="FF545" s="61"/>
      <c r="FG545" s="61"/>
      <c r="FH545" s="61"/>
      <c r="FI545" s="61"/>
    </row>
    <row r="546" spans="158:165" ht="15" customHeight="1" x14ac:dyDescent="0.15">
      <c r="FB546" s="60"/>
      <c r="FC546" s="61"/>
      <c r="FD546" s="61"/>
      <c r="FE546" s="61"/>
      <c r="FF546" s="61"/>
      <c r="FG546" s="61"/>
      <c r="FH546" s="61"/>
      <c r="FI546" s="61"/>
    </row>
    <row r="547" spans="158:165" ht="15" customHeight="1" x14ac:dyDescent="0.15">
      <c r="FB547" s="60"/>
      <c r="FC547" s="61"/>
      <c r="FD547" s="61"/>
      <c r="FE547" s="61"/>
      <c r="FF547" s="61"/>
      <c r="FG547" s="61"/>
      <c r="FH547" s="61"/>
      <c r="FI547" s="61"/>
    </row>
    <row r="548" spans="158:165" ht="15" customHeight="1" x14ac:dyDescent="0.15">
      <c r="FB548" s="60"/>
      <c r="FC548" s="61"/>
      <c r="FD548" s="61"/>
      <c r="FE548" s="61"/>
      <c r="FF548" s="61"/>
      <c r="FG548" s="61"/>
      <c r="FH548" s="61"/>
      <c r="FI548" s="61"/>
    </row>
    <row r="549" spans="158:165" ht="15" customHeight="1" x14ac:dyDescent="0.15">
      <c r="FB549" s="60"/>
      <c r="FC549" s="61"/>
      <c r="FD549" s="61"/>
      <c r="FE549" s="61"/>
      <c r="FF549" s="61"/>
      <c r="FG549" s="61"/>
      <c r="FH549" s="61"/>
      <c r="FI549" s="61"/>
    </row>
    <row r="550" spans="158:165" ht="15" customHeight="1" x14ac:dyDescent="0.15">
      <c r="FB550" s="60"/>
      <c r="FC550" s="61"/>
      <c r="FD550" s="61"/>
      <c r="FE550" s="61"/>
      <c r="FF550" s="61"/>
      <c r="FG550" s="61"/>
      <c r="FH550" s="61"/>
      <c r="FI550" s="61"/>
    </row>
    <row r="551" spans="158:165" ht="15" customHeight="1" x14ac:dyDescent="0.15">
      <c r="FB551" s="60"/>
      <c r="FC551" s="61"/>
      <c r="FD551" s="61"/>
      <c r="FE551" s="61"/>
      <c r="FF551" s="61"/>
      <c r="FG551" s="61"/>
      <c r="FH551" s="61"/>
      <c r="FI551" s="61"/>
    </row>
    <row r="552" spans="158:165" ht="15" customHeight="1" x14ac:dyDescent="0.15">
      <c r="FB552" s="60"/>
      <c r="FC552" s="61"/>
      <c r="FD552" s="61"/>
      <c r="FE552" s="61"/>
      <c r="FF552" s="61"/>
      <c r="FG552" s="61"/>
      <c r="FH552" s="61"/>
      <c r="FI552" s="61"/>
    </row>
    <row r="553" spans="158:165" ht="15" customHeight="1" x14ac:dyDescent="0.15">
      <c r="FB553" s="60"/>
      <c r="FC553" s="61"/>
      <c r="FD553" s="61"/>
      <c r="FE553" s="61"/>
      <c r="FF553" s="61"/>
      <c r="FG553" s="61"/>
      <c r="FH553" s="61"/>
      <c r="FI553" s="61"/>
    </row>
    <row r="554" spans="158:165" ht="15" customHeight="1" x14ac:dyDescent="0.15">
      <c r="FB554" s="60"/>
      <c r="FC554" s="61"/>
      <c r="FD554" s="61"/>
      <c r="FE554" s="61"/>
      <c r="FF554" s="61"/>
      <c r="FG554" s="61"/>
      <c r="FH554" s="61"/>
      <c r="FI554" s="61"/>
    </row>
    <row r="555" spans="158:165" ht="15" customHeight="1" x14ac:dyDescent="0.15">
      <c r="FB555" s="60"/>
      <c r="FC555" s="61"/>
      <c r="FD555" s="61"/>
      <c r="FE555" s="61"/>
      <c r="FF555" s="61"/>
      <c r="FG555" s="61"/>
      <c r="FH555" s="61"/>
      <c r="FI555" s="61"/>
    </row>
    <row r="556" spans="158:165" ht="15" customHeight="1" x14ac:dyDescent="0.15">
      <c r="FB556" s="60"/>
      <c r="FC556" s="61"/>
      <c r="FD556" s="61"/>
      <c r="FE556" s="61"/>
      <c r="FF556" s="61"/>
      <c r="FG556" s="61"/>
      <c r="FH556" s="61"/>
      <c r="FI556" s="61"/>
    </row>
    <row r="557" spans="158:165" ht="15" customHeight="1" x14ac:dyDescent="0.15">
      <c r="FB557" s="60"/>
      <c r="FC557" s="61"/>
      <c r="FD557" s="61"/>
      <c r="FE557" s="61"/>
      <c r="FF557" s="61"/>
      <c r="FG557" s="61"/>
      <c r="FH557" s="61"/>
      <c r="FI557" s="61"/>
    </row>
    <row r="558" spans="158:165" ht="15" customHeight="1" x14ac:dyDescent="0.15">
      <c r="FB558" s="60"/>
      <c r="FC558" s="61"/>
      <c r="FD558" s="61"/>
      <c r="FE558" s="61"/>
      <c r="FF558" s="61"/>
      <c r="FG558" s="61"/>
      <c r="FH558" s="61"/>
      <c r="FI558" s="61"/>
    </row>
    <row r="559" spans="158:165" ht="15" customHeight="1" x14ac:dyDescent="0.15">
      <c r="FB559" s="60"/>
      <c r="FC559" s="61"/>
      <c r="FD559" s="61"/>
      <c r="FE559" s="61"/>
      <c r="FF559" s="61"/>
      <c r="FG559" s="61"/>
      <c r="FH559" s="61"/>
      <c r="FI559" s="61"/>
    </row>
    <row r="560" spans="158:165" ht="15" customHeight="1" x14ac:dyDescent="0.15">
      <c r="FB560" s="60"/>
      <c r="FC560" s="61"/>
      <c r="FD560" s="61"/>
      <c r="FE560" s="61"/>
      <c r="FF560" s="61"/>
      <c r="FG560" s="61"/>
      <c r="FH560" s="61"/>
      <c r="FI560" s="61"/>
    </row>
    <row r="561" spans="158:165" ht="15" customHeight="1" x14ac:dyDescent="0.15">
      <c r="FB561" s="60"/>
      <c r="FC561" s="61"/>
      <c r="FD561" s="61"/>
      <c r="FE561" s="61"/>
      <c r="FF561" s="61"/>
      <c r="FG561" s="61"/>
      <c r="FH561" s="61"/>
      <c r="FI561" s="61"/>
    </row>
    <row r="562" spans="158:165" ht="15" customHeight="1" x14ac:dyDescent="0.15">
      <c r="FB562" s="60"/>
      <c r="FC562" s="61"/>
      <c r="FD562" s="61"/>
      <c r="FE562" s="61"/>
      <c r="FF562" s="61"/>
      <c r="FG562" s="61"/>
      <c r="FH562" s="61"/>
      <c r="FI562" s="61"/>
    </row>
    <row r="563" spans="158:165" ht="15" customHeight="1" x14ac:dyDescent="0.15">
      <c r="FB563" s="60"/>
      <c r="FC563" s="61"/>
      <c r="FD563" s="61"/>
      <c r="FE563" s="61"/>
      <c r="FF563" s="61"/>
      <c r="FG563" s="61"/>
      <c r="FH563" s="61"/>
      <c r="FI563" s="61"/>
    </row>
    <row r="564" spans="158:165" ht="15" customHeight="1" x14ac:dyDescent="0.15">
      <c r="FB564" s="60"/>
      <c r="FC564" s="61"/>
      <c r="FD564" s="61"/>
      <c r="FE564" s="61"/>
      <c r="FF564" s="61"/>
      <c r="FG564" s="61"/>
      <c r="FH564" s="61"/>
      <c r="FI564" s="61"/>
    </row>
    <row r="565" spans="158:165" ht="15" customHeight="1" x14ac:dyDescent="0.15">
      <c r="FB565" s="60"/>
      <c r="FC565" s="61"/>
      <c r="FD565" s="61"/>
      <c r="FE565" s="61"/>
      <c r="FF565" s="61"/>
      <c r="FG565" s="61"/>
      <c r="FH565" s="61"/>
      <c r="FI565" s="61"/>
    </row>
    <row r="566" spans="158:165" ht="15" customHeight="1" x14ac:dyDescent="0.15">
      <c r="FB566" s="60"/>
      <c r="FC566" s="61"/>
      <c r="FD566" s="61"/>
      <c r="FE566" s="61"/>
      <c r="FF566" s="61"/>
      <c r="FG566" s="61"/>
      <c r="FH566" s="61"/>
      <c r="FI566" s="61"/>
    </row>
    <row r="567" spans="158:165" ht="15" customHeight="1" x14ac:dyDescent="0.15">
      <c r="FB567" s="60"/>
      <c r="FC567" s="61"/>
      <c r="FD567" s="61"/>
      <c r="FE567" s="61"/>
      <c r="FF567" s="61"/>
      <c r="FG567" s="61"/>
      <c r="FH567" s="61"/>
      <c r="FI567" s="61"/>
    </row>
    <row r="568" spans="158:165" ht="15" customHeight="1" x14ac:dyDescent="0.15">
      <c r="FB568" s="60"/>
      <c r="FC568" s="61"/>
      <c r="FD568" s="61"/>
      <c r="FE568" s="61"/>
      <c r="FF568" s="61"/>
      <c r="FG568" s="61"/>
      <c r="FH568" s="61"/>
      <c r="FI568" s="61"/>
    </row>
    <row r="569" spans="158:165" ht="15" customHeight="1" x14ac:dyDescent="0.15">
      <c r="FB569" s="60"/>
      <c r="FC569" s="61"/>
      <c r="FD569" s="61"/>
      <c r="FE569" s="61"/>
      <c r="FF569" s="61"/>
      <c r="FG569" s="61"/>
      <c r="FH569" s="61"/>
      <c r="FI569" s="61"/>
    </row>
    <row r="570" spans="158:165" ht="15" customHeight="1" x14ac:dyDescent="0.15">
      <c r="FB570" s="60"/>
      <c r="FC570" s="61"/>
      <c r="FD570" s="61"/>
      <c r="FE570" s="61"/>
      <c r="FF570" s="61"/>
      <c r="FG570" s="61"/>
      <c r="FH570" s="61"/>
      <c r="FI570" s="61"/>
    </row>
    <row r="571" spans="158:165" ht="15" customHeight="1" x14ac:dyDescent="0.15">
      <c r="FB571" s="60"/>
      <c r="FC571" s="61"/>
      <c r="FD571" s="61"/>
      <c r="FE571" s="61"/>
      <c r="FF571" s="61"/>
      <c r="FG571" s="61"/>
      <c r="FH571" s="61"/>
      <c r="FI571" s="61"/>
    </row>
    <row r="572" spans="158:165" ht="15" customHeight="1" x14ac:dyDescent="0.15">
      <c r="FB572" s="60"/>
      <c r="FC572" s="61"/>
      <c r="FD572" s="61"/>
      <c r="FE572" s="61"/>
      <c r="FF572" s="61"/>
      <c r="FG572" s="61"/>
      <c r="FH572" s="61"/>
      <c r="FI572" s="61"/>
    </row>
    <row r="573" spans="158:165" ht="15" customHeight="1" x14ac:dyDescent="0.15">
      <c r="FB573" s="60"/>
      <c r="FC573" s="61"/>
      <c r="FD573" s="61"/>
      <c r="FE573" s="61"/>
      <c r="FF573" s="61"/>
      <c r="FG573" s="61"/>
      <c r="FH573" s="61"/>
      <c r="FI573" s="61"/>
    </row>
    <row r="574" spans="158:165" ht="15" customHeight="1" x14ac:dyDescent="0.15">
      <c r="FB574" s="60"/>
      <c r="FC574" s="61"/>
      <c r="FD574" s="61"/>
      <c r="FE574" s="61"/>
      <c r="FF574" s="61"/>
      <c r="FG574" s="61"/>
      <c r="FH574" s="61"/>
      <c r="FI574" s="61"/>
    </row>
    <row r="575" spans="158:165" ht="15" customHeight="1" x14ac:dyDescent="0.15">
      <c r="FB575" s="60"/>
      <c r="FC575" s="61"/>
      <c r="FD575" s="61"/>
      <c r="FE575" s="61"/>
      <c r="FF575" s="61"/>
      <c r="FG575" s="61"/>
      <c r="FH575" s="61"/>
      <c r="FI575" s="61"/>
    </row>
    <row r="576" spans="158:165" ht="15" customHeight="1" x14ac:dyDescent="0.15">
      <c r="FB576" s="60"/>
      <c r="FC576" s="61"/>
      <c r="FD576" s="61"/>
      <c r="FE576" s="61"/>
      <c r="FF576" s="61"/>
      <c r="FG576" s="61"/>
      <c r="FH576" s="61"/>
      <c r="FI576" s="61"/>
    </row>
    <row r="577" spans="158:165" ht="15" customHeight="1" x14ac:dyDescent="0.15">
      <c r="FB577" s="60"/>
      <c r="FC577" s="61"/>
      <c r="FD577" s="61"/>
      <c r="FE577" s="61"/>
      <c r="FF577" s="61"/>
      <c r="FG577" s="61"/>
      <c r="FH577" s="61"/>
      <c r="FI577" s="61"/>
    </row>
    <row r="578" spans="158:165" ht="15" customHeight="1" x14ac:dyDescent="0.15">
      <c r="FB578" s="60"/>
      <c r="FC578" s="61"/>
      <c r="FD578" s="61"/>
      <c r="FE578" s="61"/>
      <c r="FF578" s="61"/>
      <c r="FG578" s="61"/>
      <c r="FH578" s="61"/>
      <c r="FI578" s="61"/>
    </row>
    <row r="579" spans="158:165" ht="15" customHeight="1" x14ac:dyDescent="0.15">
      <c r="FB579" s="60"/>
      <c r="FC579" s="61"/>
      <c r="FD579" s="61"/>
      <c r="FE579" s="61"/>
      <c r="FF579" s="61"/>
      <c r="FG579" s="61"/>
      <c r="FH579" s="61"/>
      <c r="FI579" s="61"/>
    </row>
    <row r="580" spans="158:165" ht="15" customHeight="1" x14ac:dyDescent="0.15">
      <c r="FB580" s="60"/>
      <c r="FC580" s="61"/>
      <c r="FD580" s="61"/>
      <c r="FE580" s="61"/>
      <c r="FF580" s="61"/>
      <c r="FG580" s="61"/>
      <c r="FH580" s="61"/>
      <c r="FI580" s="61"/>
    </row>
    <row r="581" spans="158:165" ht="15" customHeight="1" x14ac:dyDescent="0.15">
      <c r="FB581" s="60"/>
      <c r="FC581" s="61"/>
      <c r="FD581" s="61"/>
      <c r="FE581" s="61"/>
      <c r="FF581" s="61"/>
      <c r="FG581" s="61"/>
      <c r="FH581" s="61"/>
      <c r="FI581" s="61"/>
    </row>
    <row r="582" spans="158:165" ht="15" customHeight="1" x14ac:dyDescent="0.15">
      <c r="FB582" s="60"/>
      <c r="FC582" s="61"/>
      <c r="FD582" s="61"/>
      <c r="FE582" s="61"/>
      <c r="FF582" s="61"/>
      <c r="FG582" s="61"/>
      <c r="FH582" s="61"/>
      <c r="FI582" s="61"/>
    </row>
    <row r="583" spans="158:165" ht="15" customHeight="1" x14ac:dyDescent="0.15">
      <c r="FB583" s="60"/>
      <c r="FC583" s="61"/>
      <c r="FD583" s="61"/>
      <c r="FE583" s="61"/>
      <c r="FF583" s="61"/>
      <c r="FG583" s="61"/>
      <c r="FH583" s="61"/>
      <c r="FI583" s="61"/>
    </row>
    <row r="584" spans="158:165" ht="15" customHeight="1" x14ac:dyDescent="0.15">
      <c r="FB584" s="60"/>
      <c r="FC584" s="61"/>
      <c r="FD584" s="61"/>
      <c r="FE584" s="61"/>
      <c r="FF584" s="61"/>
      <c r="FG584" s="61"/>
      <c r="FH584" s="61"/>
      <c r="FI584" s="61"/>
    </row>
    <row r="585" spans="158:165" ht="15" customHeight="1" x14ac:dyDescent="0.15">
      <c r="FB585" s="60"/>
      <c r="FC585" s="61"/>
      <c r="FD585" s="61"/>
      <c r="FE585" s="61"/>
      <c r="FF585" s="61"/>
      <c r="FG585" s="61"/>
      <c r="FH585" s="61"/>
      <c r="FI585" s="61"/>
    </row>
    <row r="586" spans="158:165" ht="15" customHeight="1" x14ac:dyDescent="0.15">
      <c r="FB586" s="60"/>
      <c r="FC586" s="61"/>
      <c r="FD586" s="61"/>
      <c r="FE586" s="61"/>
      <c r="FF586" s="61"/>
      <c r="FG586" s="61"/>
      <c r="FH586" s="61"/>
      <c r="FI586" s="61"/>
    </row>
    <row r="587" spans="158:165" ht="15" customHeight="1" x14ac:dyDescent="0.15">
      <c r="FB587" s="60"/>
      <c r="FC587" s="61"/>
      <c r="FD587" s="61"/>
      <c r="FE587" s="61"/>
      <c r="FF587" s="61"/>
      <c r="FG587" s="61"/>
      <c r="FH587" s="61"/>
      <c r="FI587" s="61"/>
    </row>
    <row r="588" spans="158:165" ht="15" customHeight="1" x14ac:dyDescent="0.15">
      <c r="FB588" s="60"/>
      <c r="FC588" s="61"/>
      <c r="FD588" s="61"/>
      <c r="FE588" s="61"/>
      <c r="FF588" s="61"/>
      <c r="FG588" s="61"/>
      <c r="FH588" s="61"/>
      <c r="FI588" s="61"/>
    </row>
    <row r="589" spans="158:165" ht="15" customHeight="1" x14ac:dyDescent="0.15">
      <c r="FB589" s="60"/>
      <c r="FC589" s="61"/>
      <c r="FD589" s="61"/>
      <c r="FE589" s="61"/>
      <c r="FF589" s="61"/>
      <c r="FG589" s="61"/>
      <c r="FH589" s="61"/>
      <c r="FI589" s="61"/>
    </row>
    <row r="590" spans="158:165" ht="15" customHeight="1" x14ac:dyDescent="0.15">
      <c r="FB590" s="60"/>
      <c r="FC590" s="61"/>
      <c r="FD590" s="61"/>
      <c r="FE590" s="61"/>
      <c r="FF590" s="61"/>
      <c r="FG590" s="61"/>
      <c r="FH590" s="61"/>
      <c r="FI590" s="61"/>
    </row>
    <row r="591" spans="158:165" ht="15" customHeight="1" x14ac:dyDescent="0.15">
      <c r="FB591" s="60"/>
      <c r="FC591" s="61"/>
      <c r="FD591" s="61"/>
      <c r="FE591" s="61"/>
      <c r="FF591" s="61"/>
      <c r="FG591" s="61"/>
      <c r="FH591" s="61"/>
      <c r="FI591" s="61"/>
    </row>
    <row r="592" spans="158:165" ht="15" customHeight="1" x14ac:dyDescent="0.15">
      <c r="FB592" s="60"/>
      <c r="FC592" s="61"/>
      <c r="FD592" s="61"/>
      <c r="FE592" s="61"/>
      <c r="FF592" s="61"/>
      <c r="FG592" s="61"/>
      <c r="FH592" s="61"/>
      <c r="FI592" s="61"/>
    </row>
    <row r="593" spans="158:165" ht="15" customHeight="1" x14ac:dyDescent="0.15">
      <c r="FB593" s="60"/>
      <c r="FC593" s="61"/>
      <c r="FD593" s="61"/>
      <c r="FE593" s="61"/>
      <c r="FF593" s="61"/>
      <c r="FG593" s="61"/>
      <c r="FH593" s="61"/>
      <c r="FI593" s="61"/>
    </row>
    <row r="594" spans="158:165" ht="15" customHeight="1" x14ac:dyDescent="0.15">
      <c r="FB594" s="60"/>
      <c r="FC594" s="61"/>
      <c r="FD594" s="61"/>
      <c r="FE594" s="61"/>
      <c r="FF594" s="61"/>
      <c r="FG594" s="61"/>
      <c r="FH594" s="61"/>
      <c r="FI594" s="61"/>
    </row>
    <row r="595" spans="158:165" ht="15" customHeight="1" x14ac:dyDescent="0.15">
      <c r="FB595" s="60"/>
      <c r="FC595" s="61"/>
      <c r="FD595" s="61"/>
      <c r="FE595" s="61"/>
      <c r="FF595" s="61"/>
      <c r="FG595" s="61"/>
      <c r="FH595" s="61"/>
      <c r="FI595" s="61"/>
    </row>
    <row r="596" spans="158:165" ht="15" customHeight="1" x14ac:dyDescent="0.15">
      <c r="FB596" s="60"/>
      <c r="FC596" s="61"/>
      <c r="FD596" s="61"/>
      <c r="FE596" s="61"/>
      <c r="FF596" s="61"/>
      <c r="FG596" s="61"/>
      <c r="FH596" s="61"/>
      <c r="FI596" s="61"/>
    </row>
    <row r="597" spans="158:165" ht="15" customHeight="1" x14ac:dyDescent="0.15">
      <c r="FB597" s="60"/>
      <c r="FC597" s="61"/>
      <c r="FD597" s="61"/>
      <c r="FE597" s="61"/>
      <c r="FF597" s="61"/>
      <c r="FG597" s="61"/>
      <c r="FH597" s="61"/>
      <c r="FI597" s="61"/>
    </row>
    <row r="598" spans="158:165" ht="15" customHeight="1" x14ac:dyDescent="0.15">
      <c r="FB598" s="60"/>
      <c r="FC598" s="61"/>
      <c r="FD598" s="61"/>
      <c r="FE598" s="61"/>
      <c r="FF598" s="61"/>
      <c r="FG598" s="61"/>
      <c r="FH598" s="61"/>
      <c r="FI598" s="61"/>
    </row>
    <row r="599" spans="158:165" ht="15" customHeight="1" x14ac:dyDescent="0.15">
      <c r="FB599" s="60"/>
      <c r="FC599" s="61"/>
      <c r="FD599" s="61"/>
      <c r="FE599" s="61"/>
      <c r="FF599" s="61"/>
      <c r="FG599" s="61"/>
      <c r="FH599" s="61"/>
      <c r="FI599" s="61"/>
    </row>
    <row r="600" spans="158:165" ht="15" customHeight="1" x14ac:dyDescent="0.15">
      <c r="FB600" s="60"/>
      <c r="FC600" s="61"/>
      <c r="FD600" s="61"/>
      <c r="FE600" s="61"/>
      <c r="FF600" s="61"/>
      <c r="FG600" s="61"/>
      <c r="FH600" s="61"/>
      <c r="FI600" s="61"/>
    </row>
    <row r="601" spans="158:165" ht="15" customHeight="1" x14ac:dyDescent="0.15">
      <c r="FB601" s="60"/>
      <c r="FC601" s="61"/>
      <c r="FD601" s="61"/>
      <c r="FE601" s="61"/>
      <c r="FF601" s="61"/>
      <c r="FG601" s="61"/>
      <c r="FH601" s="61"/>
      <c r="FI601" s="61"/>
    </row>
    <row r="602" spans="158:165" ht="15" customHeight="1" x14ac:dyDescent="0.15">
      <c r="FB602" s="60"/>
      <c r="FC602" s="61"/>
      <c r="FD602" s="61"/>
      <c r="FE602" s="61"/>
      <c r="FF602" s="61"/>
      <c r="FG602" s="61"/>
      <c r="FH602" s="61"/>
      <c r="FI602" s="61"/>
    </row>
    <row r="603" spans="158:165" ht="15" customHeight="1" x14ac:dyDescent="0.15">
      <c r="FB603" s="60"/>
      <c r="FC603" s="61"/>
      <c r="FD603" s="61"/>
      <c r="FE603" s="61"/>
      <c r="FF603" s="61"/>
      <c r="FG603" s="61"/>
      <c r="FH603" s="61"/>
      <c r="FI603" s="61"/>
    </row>
    <row r="604" spans="158:165" ht="15" customHeight="1" x14ac:dyDescent="0.15">
      <c r="FB604" s="60"/>
      <c r="FC604" s="61"/>
      <c r="FD604" s="61"/>
      <c r="FE604" s="61"/>
      <c r="FF604" s="61"/>
      <c r="FG604" s="61"/>
      <c r="FH604" s="61"/>
      <c r="FI604" s="61"/>
    </row>
    <row r="605" spans="158:165" ht="15" customHeight="1" x14ac:dyDescent="0.15">
      <c r="FB605" s="60"/>
      <c r="FC605" s="61"/>
      <c r="FD605" s="61"/>
      <c r="FE605" s="61"/>
      <c r="FF605" s="61"/>
      <c r="FG605" s="61"/>
      <c r="FH605" s="61"/>
      <c r="FI605" s="61"/>
    </row>
    <row r="606" spans="158:165" ht="15" customHeight="1" x14ac:dyDescent="0.15">
      <c r="FB606" s="60"/>
      <c r="FC606" s="61"/>
      <c r="FD606" s="61"/>
      <c r="FE606" s="61"/>
      <c r="FF606" s="61"/>
      <c r="FG606" s="61"/>
      <c r="FH606" s="61"/>
      <c r="FI606" s="61"/>
    </row>
    <row r="607" spans="158:165" ht="15" customHeight="1" x14ac:dyDescent="0.15">
      <c r="FB607" s="60"/>
      <c r="FC607" s="61"/>
      <c r="FD607" s="61"/>
      <c r="FE607" s="61"/>
      <c r="FF607" s="61"/>
      <c r="FG607" s="61"/>
      <c r="FH607" s="61"/>
      <c r="FI607" s="61"/>
    </row>
    <row r="608" spans="158:165" ht="15" customHeight="1" x14ac:dyDescent="0.15">
      <c r="FB608" s="60"/>
      <c r="FC608" s="61"/>
      <c r="FD608" s="61"/>
      <c r="FE608" s="61"/>
      <c r="FF608" s="61"/>
      <c r="FG608" s="61"/>
      <c r="FH608" s="61"/>
      <c r="FI608" s="61"/>
    </row>
    <row r="609" spans="158:165" ht="15" customHeight="1" x14ac:dyDescent="0.15">
      <c r="FB609" s="60"/>
      <c r="FC609" s="61"/>
      <c r="FD609" s="61"/>
      <c r="FE609" s="61"/>
      <c r="FF609" s="61"/>
      <c r="FG609" s="61"/>
      <c r="FH609" s="61"/>
      <c r="FI609" s="61"/>
    </row>
    <row r="610" spans="158:165" ht="15" customHeight="1" x14ac:dyDescent="0.15">
      <c r="FB610" s="60"/>
      <c r="FC610" s="61"/>
      <c r="FD610" s="61"/>
      <c r="FE610" s="61"/>
      <c r="FF610" s="61"/>
      <c r="FG610" s="61"/>
      <c r="FH610" s="61"/>
      <c r="FI610" s="61"/>
    </row>
    <row r="611" spans="158:165" ht="15" customHeight="1" x14ac:dyDescent="0.15">
      <c r="FB611" s="60"/>
      <c r="FC611" s="61"/>
      <c r="FD611" s="61"/>
      <c r="FE611" s="61"/>
      <c r="FF611" s="61"/>
      <c r="FG611" s="61"/>
      <c r="FH611" s="61"/>
      <c r="FI611" s="61"/>
    </row>
    <row r="612" spans="158:165" ht="15" customHeight="1" x14ac:dyDescent="0.15">
      <c r="FB612" s="60"/>
      <c r="FC612" s="61"/>
      <c r="FD612" s="61"/>
      <c r="FE612" s="61"/>
      <c r="FF612" s="61"/>
      <c r="FG612" s="61"/>
      <c r="FH612" s="61"/>
      <c r="FI612" s="61"/>
    </row>
    <row r="613" spans="158:165" ht="15" customHeight="1" x14ac:dyDescent="0.15">
      <c r="FB613" s="60"/>
      <c r="FC613" s="61"/>
      <c r="FD613" s="61"/>
      <c r="FE613" s="61"/>
      <c r="FF613" s="61"/>
      <c r="FG613" s="61"/>
      <c r="FH613" s="61"/>
      <c r="FI613" s="61"/>
    </row>
    <row r="614" spans="158:165" ht="15" customHeight="1" x14ac:dyDescent="0.15">
      <c r="FB614" s="60"/>
      <c r="FC614" s="61"/>
      <c r="FD614" s="61"/>
      <c r="FE614" s="61"/>
      <c r="FF614" s="61"/>
      <c r="FG614" s="61"/>
      <c r="FH614" s="61"/>
      <c r="FI614" s="61"/>
    </row>
    <row r="615" spans="158:165" ht="15" customHeight="1" x14ac:dyDescent="0.15">
      <c r="FB615" s="60"/>
      <c r="FC615" s="61"/>
      <c r="FD615" s="61"/>
      <c r="FE615" s="61"/>
      <c r="FF615" s="61"/>
      <c r="FG615" s="61"/>
      <c r="FH615" s="61"/>
      <c r="FI615" s="61"/>
    </row>
    <row r="616" spans="158:165" ht="15" customHeight="1" x14ac:dyDescent="0.15">
      <c r="FB616" s="60"/>
      <c r="FC616" s="61"/>
      <c r="FD616" s="61"/>
      <c r="FE616" s="61"/>
      <c r="FF616" s="61"/>
      <c r="FG616" s="61"/>
      <c r="FH616" s="61"/>
      <c r="FI616" s="61"/>
    </row>
    <row r="617" spans="158:165" ht="15" customHeight="1" x14ac:dyDescent="0.15">
      <c r="FB617" s="60"/>
      <c r="FC617" s="61"/>
      <c r="FD617" s="61"/>
      <c r="FE617" s="61"/>
      <c r="FF617" s="61"/>
      <c r="FG617" s="61"/>
      <c r="FH617" s="61"/>
      <c r="FI617" s="61"/>
    </row>
    <row r="618" spans="158:165" ht="15" customHeight="1" x14ac:dyDescent="0.15">
      <c r="FB618" s="60"/>
      <c r="FC618" s="61"/>
      <c r="FD618" s="61"/>
      <c r="FE618" s="61"/>
      <c r="FF618" s="61"/>
      <c r="FG618" s="61"/>
      <c r="FH618" s="61"/>
      <c r="FI618" s="61"/>
    </row>
    <row r="619" spans="158:165" ht="15" customHeight="1" x14ac:dyDescent="0.15">
      <c r="FB619" s="60"/>
      <c r="FC619" s="61"/>
      <c r="FD619" s="61"/>
      <c r="FE619" s="61"/>
      <c r="FF619" s="61"/>
      <c r="FG619" s="61"/>
      <c r="FH619" s="61"/>
      <c r="FI619" s="61"/>
    </row>
    <row r="620" spans="158:165" ht="15" customHeight="1" x14ac:dyDescent="0.15">
      <c r="FB620" s="60"/>
      <c r="FC620" s="61"/>
      <c r="FD620" s="61"/>
      <c r="FE620" s="61"/>
      <c r="FF620" s="61"/>
      <c r="FG620" s="61"/>
      <c r="FH620" s="61"/>
      <c r="FI620" s="61"/>
    </row>
    <row r="621" spans="158:165" ht="15" customHeight="1" x14ac:dyDescent="0.15">
      <c r="FB621" s="60"/>
      <c r="FC621" s="61"/>
      <c r="FD621" s="61"/>
      <c r="FE621" s="61"/>
      <c r="FF621" s="61"/>
      <c r="FG621" s="61"/>
      <c r="FH621" s="61"/>
      <c r="FI621" s="61"/>
    </row>
    <row r="622" spans="158:165" ht="15" customHeight="1" x14ac:dyDescent="0.15">
      <c r="FB622" s="60"/>
      <c r="FC622" s="61"/>
      <c r="FD622" s="61"/>
      <c r="FE622" s="61"/>
      <c r="FF622" s="61"/>
      <c r="FG622" s="61"/>
      <c r="FH622" s="61"/>
      <c r="FI622" s="61"/>
    </row>
    <row r="623" spans="158:165" ht="15" customHeight="1" x14ac:dyDescent="0.15">
      <c r="FB623" s="60"/>
      <c r="FC623" s="61"/>
      <c r="FD623" s="61"/>
      <c r="FE623" s="61"/>
      <c r="FF623" s="61"/>
      <c r="FG623" s="61"/>
      <c r="FH623" s="61"/>
      <c r="FI623" s="61"/>
    </row>
    <row r="624" spans="158:165" ht="15" customHeight="1" x14ac:dyDescent="0.15">
      <c r="FB624" s="60"/>
      <c r="FC624" s="61"/>
      <c r="FD624" s="61"/>
      <c r="FE624" s="61"/>
      <c r="FF624" s="61"/>
      <c r="FG624" s="61"/>
      <c r="FH624" s="61"/>
      <c r="FI624" s="61"/>
    </row>
    <row r="625" spans="158:165" ht="15" customHeight="1" x14ac:dyDescent="0.15">
      <c r="FB625" s="60"/>
      <c r="FC625" s="61"/>
      <c r="FD625" s="61"/>
      <c r="FE625" s="61"/>
      <c r="FF625" s="61"/>
      <c r="FG625" s="61"/>
      <c r="FH625" s="61"/>
      <c r="FI625" s="61"/>
    </row>
    <row r="626" spans="158:165" ht="15" customHeight="1" x14ac:dyDescent="0.15">
      <c r="FB626" s="60"/>
      <c r="FC626" s="61"/>
      <c r="FD626" s="61"/>
      <c r="FE626" s="61"/>
      <c r="FF626" s="61"/>
      <c r="FG626" s="61"/>
      <c r="FH626" s="61"/>
      <c r="FI626" s="61"/>
    </row>
    <row r="627" spans="158:165" ht="15" customHeight="1" x14ac:dyDescent="0.15">
      <c r="FB627" s="60"/>
      <c r="FC627" s="61"/>
      <c r="FD627" s="61"/>
      <c r="FE627" s="61"/>
      <c r="FF627" s="61"/>
      <c r="FG627" s="61"/>
      <c r="FH627" s="61"/>
      <c r="FI627" s="61"/>
    </row>
    <row r="628" spans="158:165" ht="15" customHeight="1" x14ac:dyDescent="0.15">
      <c r="FB628" s="60"/>
      <c r="FC628" s="61"/>
      <c r="FD628" s="61"/>
      <c r="FE628" s="61"/>
      <c r="FF628" s="61"/>
      <c r="FG628" s="61"/>
      <c r="FH628" s="61"/>
      <c r="FI628" s="61"/>
    </row>
    <row r="629" spans="158:165" ht="15" customHeight="1" x14ac:dyDescent="0.15">
      <c r="FB629" s="60"/>
      <c r="FC629" s="61"/>
      <c r="FD629" s="61"/>
      <c r="FE629" s="61"/>
      <c r="FF629" s="61"/>
      <c r="FG629" s="61"/>
      <c r="FH629" s="61"/>
      <c r="FI629" s="61"/>
    </row>
    <row r="630" spans="158:165" ht="15" customHeight="1" x14ac:dyDescent="0.15">
      <c r="FB630" s="60"/>
      <c r="FC630" s="61"/>
      <c r="FD630" s="61"/>
      <c r="FE630" s="61"/>
      <c r="FF630" s="61"/>
      <c r="FG630" s="61"/>
      <c r="FH630" s="61"/>
      <c r="FI630" s="61"/>
    </row>
    <row r="631" spans="158:165" ht="15" customHeight="1" x14ac:dyDescent="0.15">
      <c r="FB631" s="60"/>
      <c r="FC631" s="61"/>
      <c r="FD631" s="61"/>
      <c r="FE631" s="61"/>
      <c r="FF631" s="61"/>
      <c r="FG631" s="61"/>
      <c r="FH631" s="61"/>
      <c r="FI631" s="61"/>
    </row>
    <row r="632" spans="158:165" ht="15" customHeight="1" x14ac:dyDescent="0.15">
      <c r="FB632" s="60"/>
      <c r="FC632" s="61"/>
      <c r="FD632" s="61"/>
      <c r="FE632" s="61"/>
      <c r="FF632" s="61"/>
      <c r="FG632" s="61"/>
      <c r="FH632" s="61"/>
      <c r="FI632" s="61"/>
    </row>
    <row r="633" spans="158:165" ht="15" customHeight="1" x14ac:dyDescent="0.15">
      <c r="FB633" s="60"/>
      <c r="FC633" s="61"/>
      <c r="FD633" s="61"/>
      <c r="FE633" s="61"/>
      <c r="FF633" s="61"/>
      <c r="FG633" s="61"/>
      <c r="FH633" s="61"/>
      <c r="FI633" s="61"/>
    </row>
    <row r="634" spans="158:165" ht="15" customHeight="1" x14ac:dyDescent="0.15">
      <c r="FB634" s="60"/>
      <c r="FC634" s="61"/>
      <c r="FD634" s="61"/>
      <c r="FE634" s="61"/>
      <c r="FF634" s="61"/>
      <c r="FG634" s="61"/>
      <c r="FH634" s="61"/>
      <c r="FI634" s="61"/>
    </row>
    <row r="635" spans="158:165" ht="15" customHeight="1" x14ac:dyDescent="0.15">
      <c r="FB635" s="60"/>
      <c r="FC635" s="61"/>
      <c r="FD635" s="61"/>
      <c r="FE635" s="61"/>
      <c r="FF635" s="61"/>
      <c r="FG635" s="61"/>
      <c r="FH635" s="61"/>
      <c r="FI635" s="61"/>
    </row>
    <row r="636" spans="158:165" ht="15" customHeight="1" x14ac:dyDescent="0.15">
      <c r="FB636" s="60"/>
      <c r="FC636" s="61"/>
      <c r="FD636" s="61"/>
      <c r="FE636" s="61"/>
      <c r="FF636" s="61"/>
      <c r="FG636" s="61"/>
      <c r="FH636" s="61"/>
      <c r="FI636" s="61"/>
    </row>
    <row r="637" spans="158:165" ht="15" customHeight="1" x14ac:dyDescent="0.15">
      <c r="FB637" s="60"/>
      <c r="FC637" s="61"/>
      <c r="FD637" s="61"/>
      <c r="FE637" s="61"/>
      <c r="FF637" s="61"/>
      <c r="FG637" s="61"/>
      <c r="FH637" s="61"/>
      <c r="FI637" s="61"/>
    </row>
    <row r="638" spans="158:165" ht="15" customHeight="1" x14ac:dyDescent="0.15">
      <c r="FB638" s="60"/>
      <c r="FC638" s="61"/>
      <c r="FD638" s="61"/>
      <c r="FE638" s="61"/>
      <c r="FF638" s="61"/>
      <c r="FG638" s="61"/>
      <c r="FH638" s="61"/>
      <c r="FI638" s="61"/>
    </row>
    <row r="639" spans="158:165" ht="15" customHeight="1" x14ac:dyDescent="0.15">
      <c r="FB639" s="60"/>
      <c r="FC639" s="61"/>
      <c r="FD639" s="61"/>
      <c r="FE639" s="61"/>
      <c r="FF639" s="61"/>
      <c r="FG639" s="61"/>
      <c r="FH639" s="61"/>
      <c r="FI639" s="61"/>
    </row>
    <row r="640" spans="158:165" ht="15" customHeight="1" x14ac:dyDescent="0.15">
      <c r="FB640" s="60"/>
      <c r="FC640" s="61"/>
      <c r="FD640" s="61"/>
      <c r="FE640" s="61"/>
      <c r="FF640" s="61"/>
      <c r="FG640" s="61"/>
      <c r="FH640" s="61"/>
      <c r="FI640" s="61"/>
    </row>
    <row r="641" spans="158:165" ht="15" customHeight="1" x14ac:dyDescent="0.15">
      <c r="FB641" s="60"/>
      <c r="FC641" s="61"/>
      <c r="FD641" s="61"/>
      <c r="FE641" s="61"/>
      <c r="FF641" s="61"/>
      <c r="FG641" s="61"/>
      <c r="FH641" s="61"/>
      <c r="FI641" s="61"/>
    </row>
    <row r="642" spans="158:165" ht="15" customHeight="1" x14ac:dyDescent="0.15">
      <c r="FB642" s="60"/>
      <c r="FC642" s="60"/>
      <c r="FD642" s="60"/>
      <c r="FE642" s="60"/>
      <c r="FF642" s="60"/>
      <c r="FG642" s="60"/>
      <c r="FH642" s="60"/>
      <c r="FI642" s="60"/>
    </row>
  </sheetData>
  <mergeCells count="229">
    <mergeCell ref="D5:R5"/>
    <mergeCell ref="F6:Q6"/>
    <mergeCell ref="AI6:AK6"/>
    <mergeCell ref="AM6:AN6"/>
    <mergeCell ref="AP6:AQ6"/>
    <mergeCell ref="D7:S8"/>
    <mergeCell ref="T7:V8"/>
    <mergeCell ref="M2:O2"/>
    <mergeCell ref="P2:R2"/>
    <mergeCell ref="AA2:AJ3"/>
    <mergeCell ref="E3:H3"/>
    <mergeCell ref="AN3:AR3"/>
    <mergeCell ref="D4:U4"/>
    <mergeCell ref="J17:L17"/>
    <mergeCell ref="N17:O17"/>
    <mergeCell ref="Q17:R17"/>
    <mergeCell ref="AF17:AL17"/>
    <mergeCell ref="AB19:AF22"/>
    <mergeCell ref="AG19:AK22"/>
    <mergeCell ref="AL19:AP22"/>
    <mergeCell ref="H11:S11"/>
    <mergeCell ref="H13:T13"/>
    <mergeCell ref="AB13:AD13"/>
    <mergeCell ref="AE13:AT13"/>
    <mergeCell ref="AB15:AD15"/>
    <mergeCell ref="AE15:AT15"/>
    <mergeCell ref="AF24:AL25"/>
    <mergeCell ref="AM24:AS25"/>
    <mergeCell ref="B26:S26"/>
    <mergeCell ref="T26:W26"/>
    <mergeCell ref="X26:Z26"/>
    <mergeCell ref="AA26:AE26"/>
    <mergeCell ref="AF26:AL26"/>
    <mergeCell ref="AM26:AS26"/>
    <mergeCell ref="D20:I21"/>
    <mergeCell ref="J20:U21"/>
    <mergeCell ref="B22:U22"/>
    <mergeCell ref="B24:S25"/>
    <mergeCell ref="T24:Z25"/>
    <mergeCell ref="AA24:AE25"/>
    <mergeCell ref="B28:S28"/>
    <mergeCell ref="T28:W28"/>
    <mergeCell ref="X28:Z28"/>
    <mergeCell ref="AA28:AE28"/>
    <mergeCell ref="AF28:AL28"/>
    <mergeCell ref="AM28:AS28"/>
    <mergeCell ref="B27:S27"/>
    <mergeCell ref="T27:W27"/>
    <mergeCell ref="X27:Z27"/>
    <mergeCell ref="AA27:AE27"/>
    <mergeCell ref="AF27:AL27"/>
    <mergeCell ref="AM27:AS27"/>
    <mergeCell ref="B30:S30"/>
    <mergeCell ref="T30:W30"/>
    <mergeCell ref="X30:Z30"/>
    <mergeCell ref="AA30:AE30"/>
    <mergeCell ref="AF30:AL30"/>
    <mergeCell ref="AM30:AS30"/>
    <mergeCell ref="B29:S29"/>
    <mergeCell ref="T29:W29"/>
    <mergeCell ref="X29:Z29"/>
    <mergeCell ref="AA29:AE29"/>
    <mergeCell ref="AF29:AL29"/>
    <mergeCell ref="AM29:AS29"/>
    <mergeCell ref="B32:S32"/>
    <mergeCell ref="T32:W32"/>
    <mergeCell ref="X32:Z32"/>
    <mergeCell ref="AA32:AE32"/>
    <mergeCell ref="AF32:AL32"/>
    <mergeCell ref="AM32:AS32"/>
    <mergeCell ref="B31:S31"/>
    <mergeCell ref="T31:W31"/>
    <mergeCell ref="X31:Z31"/>
    <mergeCell ref="AA31:AE31"/>
    <mergeCell ref="AF31:AL31"/>
    <mergeCell ref="AM31:AS31"/>
    <mergeCell ref="B34:S34"/>
    <mergeCell ref="T34:W34"/>
    <mergeCell ref="X34:Z34"/>
    <mergeCell ref="AA34:AE34"/>
    <mergeCell ref="AF34:AL34"/>
    <mergeCell ref="AM34:AS34"/>
    <mergeCell ref="B33:S33"/>
    <mergeCell ref="T33:W33"/>
    <mergeCell ref="X33:Z33"/>
    <mergeCell ref="AA33:AE33"/>
    <mergeCell ref="AF33:AL33"/>
    <mergeCell ref="AM33:AS33"/>
    <mergeCell ref="B36:S36"/>
    <mergeCell ref="T36:W36"/>
    <mergeCell ref="X36:Z36"/>
    <mergeCell ref="AA36:AE36"/>
    <mergeCell ref="AF36:AL36"/>
    <mergeCell ref="AM36:AS36"/>
    <mergeCell ref="B35:S35"/>
    <mergeCell ref="T35:W35"/>
    <mergeCell ref="X35:Z35"/>
    <mergeCell ref="AA35:AE35"/>
    <mergeCell ref="AF35:AL35"/>
    <mergeCell ref="AM35:AS35"/>
    <mergeCell ref="B38:G38"/>
    <mergeCell ref="H38:S38"/>
    <mergeCell ref="T38:Z38"/>
    <mergeCell ref="AA38:AL38"/>
    <mergeCell ref="AM38:AS38"/>
    <mergeCell ref="B39:G39"/>
    <mergeCell ref="H39:AL39"/>
    <mergeCell ref="AM39:AS39"/>
    <mergeCell ref="B37:S37"/>
    <mergeCell ref="T37:W37"/>
    <mergeCell ref="X37:Z37"/>
    <mergeCell ref="AA37:AE37"/>
    <mergeCell ref="AF37:AL37"/>
    <mergeCell ref="AM37:AS37"/>
    <mergeCell ref="N45:O45"/>
    <mergeCell ref="P45:V45"/>
    <mergeCell ref="AB45:AC45"/>
    <mergeCell ref="N46:O46"/>
    <mergeCell ref="P46:V46"/>
    <mergeCell ref="N47:O47"/>
    <mergeCell ref="P47:V47"/>
    <mergeCell ref="AA47:AE47"/>
    <mergeCell ref="B40:D40"/>
    <mergeCell ref="E40:AS40"/>
    <mergeCell ref="B41:AS41"/>
    <mergeCell ref="B42:AS42"/>
    <mergeCell ref="N44:V44"/>
    <mergeCell ref="AB44:AD44"/>
    <mergeCell ref="N50:O50"/>
    <mergeCell ref="P50:V50"/>
    <mergeCell ref="N51:O51"/>
    <mergeCell ref="P51:V51"/>
    <mergeCell ref="AA51:AI51"/>
    <mergeCell ref="AJ51:AP51"/>
    <mergeCell ref="N48:O48"/>
    <mergeCell ref="P48:V48"/>
    <mergeCell ref="AB48:AD48"/>
    <mergeCell ref="N49:O49"/>
    <mergeCell ref="P49:V49"/>
    <mergeCell ref="AB49:AD49"/>
    <mergeCell ref="N52:O52"/>
    <mergeCell ref="P52:V52"/>
    <mergeCell ref="AB52:AI52"/>
    <mergeCell ref="AJ52:AP52"/>
    <mergeCell ref="AW52:BH52"/>
    <mergeCell ref="N53:O53"/>
    <mergeCell ref="P53:V53"/>
    <mergeCell ref="AB53:AI53"/>
    <mergeCell ref="AJ53:AP53"/>
    <mergeCell ref="AW53:BH53"/>
    <mergeCell ref="N56:O56"/>
    <mergeCell ref="P56:V56"/>
    <mergeCell ref="AB56:AI56"/>
    <mergeCell ref="AJ56:AP56"/>
    <mergeCell ref="AW56:BH56"/>
    <mergeCell ref="AW57:BH57"/>
    <mergeCell ref="N54:O54"/>
    <mergeCell ref="P54:V54"/>
    <mergeCell ref="AB54:AI54"/>
    <mergeCell ref="AJ54:AP54"/>
    <mergeCell ref="AW54:BH54"/>
    <mergeCell ref="N55:O55"/>
    <mergeCell ref="P55:V55"/>
    <mergeCell ref="AB55:AI55"/>
    <mergeCell ref="AJ55:AP55"/>
    <mergeCell ref="AW55:BH55"/>
    <mergeCell ref="CI104:CJ104"/>
    <mergeCell ref="CK104:CQ104"/>
    <mergeCell ref="CW104:CX104"/>
    <mergeCell ref="DM104:DR104"/>
    <mergeCell ref="CI105:CJ105"/>
    <mergeCell ref="CK105:CQ105"/>
    <mergeCell ref="N60:Q60"/>
    <mergeCell ref="R60:AP60"/>
    <mergeCell ref="AR60:AS60"/>
    <mergeCell ref="CI103:CQ103"/>
    <mergeCell ref="CW103:CY103"/>
    <mergeCell ref="DM103:DR103"/>
    <mergeCell ref="CI108:CJ108"/>
    <mergeCell ref="CK108:CQ108"/>
    <mergeCell ref="CW108:CY108"/>
    <mergeCell ref="DM108:DR108"/>
    <mergeCell ref="CI109:CJ109"/>
    <mergeCell ref="CK109:CQ109"/>
    <mergeCell ref="DM109:DR109"/>
    <mergeCell ref="CI106:CJ106"/>
    <mergeCell ref="CK106:CQ106"/>
    <mergeCell ref="CV106:CZ106"/>
    <mergeCell ref="DM106:DR106"/>
    <mergeCell ref="CI107:CJ107"/>
    <mergeCell ref="CK107:CQ107"/>
    <mergeCell ref="CW107:CY107"/>
    <mergeCell ref="DM107:DR107"/>
    <mergeCell ref="CI110:CJ110"/>
    <mergeCell ref="CK110:CQ110"/>
    <mergeCell ref="CV110:DD110"/>
    <mergeCell ref="DE110:DK110"/>
    <mergeCell ref="DR110:EC110"/>
    <mergeCell ref="CI111:CJ111"/>
    <mergeCell ref="CK111:CQ111"/>
    <mergeCell ref="CW111:DD111"/>
    <mergeCell ref="DE111:DK111"/>
    <mergeCell ref="DR111:EC111"/>
    <mergeCell ref="CI112:CJ112"/>
    <mergeCell ref="CK112:CQ112"/>
    <mergeCell ref="CW112:DD112"/>
    <mergeCell ref="DE112:DK112"/>
    <mergeCell ref="DR112:EC112"/>
    <mergeCell ref="CI113:CJ113"/>
    <mergeCell ref="CK113:CQ113"/>
    <mergeCell ref="CW113:DD113"/>
    <mergeCell ref="DE113:DK113"/>
    <mergeCell ref="DR113:EC113"/>
    <mergeCell ref="CI119:CL119"/>
    <mergeCell ref="CM119:DK119"/>
    <mergeCell ref="DM119:DN119"/>
    <mergeCell ref="DO119:DU119"/>
    <mergeCell ref="CI120:CL120"/>
    <mergeCell ref="CM120:DK120"/>
    <mergeCell ref="CI114:CJ114"/>
    <mergeCell ref="CK114:CQ114"/>
    <mergeCell ref="CW114:DD114"/>
    <mergeCell ref="DE114:DK114"/>
    <mergeCell ref="DR114:EC114"/>
    <mergeCell ref="CI115:CJ115"/>
    <mergeCell ref="CK115:CQ115"/>
    <mergeCell ref="CW115:DD115"/>
    <mergeCell ref="DE115:DK115"/>
    <mergeCell ref="DR115:EC115"/>
  </mergeCells>
  <phoneticPr fontId="4"/>
  <dataValidations count="23">
    <dataValidation imeMode="off" allowBlank="1" showInputMessage="1" showErrorMessage="1" prompt="年を入力  西暦表示の場合、平成を消してください" sqref="AI6:AK6" xr:uid="{CDF6537E-7E7B-47FB-814E-3AB96345C3D6}"/>
    <dataValidation imeMode="off" allowBlank="1" showInputMessage="1" showErrorMessage="1" prompt="月を入力" sqref="AM6:AN6 N17:O17" xr:uid="{B7F2705C-14BF-4097-B4AB-1625C24001E8}"/>
    <dataValidation imeMode="off" allowBlank="1" showInputMessage="1" showErrorMessage="1" prompt="日を入力" sqref="AP6:AQ6 Q17:R17" xr:uid="{8D35D6A3-DAB2-4B8F-B470-B40F7B181126}"/>
    <dataValidation imeMode="off" allowBlank="1" showInputMessage="1" showErrorMessage="1" prompt="お客様の郵便番号を入力" sqref="E3:H3" xr:uid="{E6A32C98-8A52-4EC9-81CE-886BF24B590C}"/>
    <dataValidation imeMode="hiragana" allowBlank="1" showInputMessage="1" showErrorMessage="1" prompt="お客様の住所を入力" sqref="D4" xr:uid="{98EB17E4-9360-4BD3-A874-E18E71631804}"/>
    <dataValidation imeMode="hiragana" allowBlank="1" showInputMessage="1" showErrorMessage="1" prompt="お客様の住所でビル名番地など入力" sqref="D5:R5" xr:uid="{771F1214-C363-4714-98A2-A2E9CB03BB1D}"/>
    <dataValidation imeMode="hiragana" allowBlank="1" showInputMessage="1" showErrorMessage="1" prompt="お客様名を入力" sqref="D7:S8" xr:uid="{5B500181-B4FE-4BD6-80D8-0FCE894DAE90}"/>
    <dataValidation allowBlank="1" showInputMessage="1" showErrorMessage="1" prompt="見積書NOを入力" sqref="AN3:AR3" xr:uid="{FC8BD7C5-5759-406A-90B4-148236FC72B8}"/>
    <dataValidation imeMode="hiragana" allowBlank="1" showInputMessage="1" showErrorMessage="1" sqref="AB9:AS9 B41:AS42 E40:AS40" xr:uid="{4D1A049F-8B6C-4963-B651-DD693604058D}"/>
    <dataValidation imeMode="off" allowBlank="1" showInputMessage="1" showErrorMessage="1" prompt="年を入力" sqref="J17:L17" xr:uid="{EDFA6B26-60BD-4CC2-8143-A9E22BC41FFA}"/>
    <dataValidation imeMode="hiragana" allowBlank="1" showInputMessage="1" showErrorMessage="1" prompt="受渡場所を入力_x000a_例：貴社指定場所" sqref="H13:T13" xr:uid="{6105C8BA-BC32-4205-9E61-2C1A000682ED}"/>
    <dataValidation imeMode="hiragana" allowBlank="1" showInputMessage="1" showErrorMessage="1" prompt="担当者を入力" sqref="AF17:AL17" xr:uid="{3BEE2994-CAA7-43A1-895D-B656BC324427}"/>
    <dataValidation imeMode="hiragana" allowBlank="1" showInputMessage="1" showErrorMessage="1" prompt="品名を入力" sqref="B26:S37" xr:uid="{C836B0AC-CDA6-443B-BB1B-ABC7DB6AE6E6}"/>
    <dataValidation imeMode="off" allowBlank="1" showInputMessage="1" showErrorMessage="1" prompt="数量を入力" sqref="T26:W37" xr:uid="{8F2ECA76-E1A8-42D7-88C2-2A375C168247}"/>
    <dataValidation imeMode="off" allowBlank="1" showInputMessage="1" showErrorMessage="1" prompt="単価を入力" sqref="AA26:AE37" xr:uid="{E8FC2316-B885-4626-AF07-8F0DE9E3F857}"/>
    <dataValidation imeMode="hiragana" allowBlank="1" showInputMessage="1" showErrorMessage="1" prompt="備考があれば入力" sqref="AN35:AS37 AM26:AM37" xr:uid="{7AA0E230-8CEF-4888-9ACA-E3E656A5879A}"/>
    <dataValidation type="list" allowBlank="1" showInputMessage="1" showErrorMessage="1" sqref="AA2:AJ3" xr:uid="{023B6602-5DAD-4F32-AC7D-815EF560E96F}">
      <formula1>$DD$104:$DD$108</formula1>
    </dataValidation>
    <dataValidation type="list" imeMode="hiragana" allowBlank="1" showInputMessage="1" showErrorMessage="1" prompt="ボタンを押し単位を入力" sqref="X26:Z37" xr:uid="{E5400AAB-23E9-4DC2-95A7-5902604EE80D}">
      <formula1>$CS$104:$CS$116</formula1>
    </dataValidation>
    <dataValidation type="list" allowBlank="1" showInputMessage="1" showErrorMessage="1" sqref="T7:V8" xr:uid="{B36B982C-DF98-4435-84D7-7D0763671603}">
      <formula1>$CE$109:$CE$111</formula1>
    </dataValidation>
    <dataValidation type="list" allowBlank="1" showInputMessage="1" showErrorMessage="1" sqref="DM104:DR104" xr:uid="{FD95E8D4-E5AB-415D-BA35-EB2606EBD85E}">
      <formula1>$EM$102:$EM$103</formula1>
    </dataValidation>
    <dataValidation allowBlank="1" showInputMessage="1" showErrorMessage="1" promptTitle="シート数を入力" prompt="明細書が出ていない状態でシート枚数を表示" sqref="CE106" xr:uid="{C0708C62-DA2B-4AE1-9514-A3303AB9EB03}"/>
    <dataValidation allowBlank="1" showInputMessage="1" showErrorMessage="1" promptTitle="明細書01の状態" prompt="明細書01が表示されているときは 0_x000a_明細書01が非表示のときは 1" sqref="CE107" xr:uid="{244E3400-60DC-4FAB-8BD5-B25E9A119006}"/>
    <dataValidation imeMode="hiragana" allowBlank="1" showInputMessage="1" showErrorMessage="1" prompt="取引方法を入力_x000a_例：従来通り" sqref="I15:T15" xr:uid="{6A95E8AC-27EC-4BC5-B1F5-701597BF9CC0}"/>
  </dataValidations>
  <pageMargins left="0.43307086614173229" right="0.47244094488188981" top="0.39370078740157483" bottom="0.47244094488188981" header="0.39370078740157483" footer="0.31496062992125984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r:id="rId4" name="表示1">
              <controlPr defaultSize="0" print="0" autoFill="0" autoPict="0" macro="[0]!ThisWorkbook.表示11">
                <anchor moveWithCells="1" sizeWithCells="1">
                  <from>
                    <xdr:col>22</xdr:col>
                    <xdr:colOff>133350</xdr:colOff>
                    <xdr:row>0</xdr:row>
                    <xdr:rowOff>76200</xdr:rowOff>
                  </from>
                  <to>
                    <xdr:col>27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2" r:id="rId5" name="表示2">
              <controlPr defaultSize="0" print="0" autoFill="0" autoPict="0" macro="[0]!ThisWorkbook.表示12">
                <anchor moveWithCells="1" sizeWithCells="1">
                  <from>
                    <xdr:col>27</xdr:col>
                    <xdr:colOff>114300</xdr:colOff>
                    <xdr:row>0</xdr:row>
                    <xdr:rowOff>76200</xdr:rowOff>
                  </from>
                  <to>
                    <xdr:col>31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3" r:id="rId6" name="呼出">
              <controlPr defaultSize="0" print="0" autoFill="0" autoPict="0" macro="[0]!ThisWorkbook.呼出">
                <anchor moveWithCells="1" sizeWithCells="1">
                  <from>
                    <xdr:col>1</xdr:col>
                    <xdr:colOff>57150</xdr:colOff>
                    <xdr:row>0</xdr:row>
                    <xdr:rowOff>390525</xdr:rowOff>
                  </from>
                  <to>
                    <xdr:col>4</xdr:col>
                    <xdr:colOff>200025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4" r:id="rId7" name="保存">
              <controlPr defaultSize="0" print="0" autoFill="0" autoPict="0" macro="[0]!ThisWorkbook.保存">
                <anchor moveWithCells="1" sizeWithCells="1">
                  <from>
                    <xdr:col>4</xdr:col>
                    <xdr:colOff>266700</xdr:colOff>
                    <xdr:row>0</xdr:row>
                    <xdr:rowOff>390525</xdr:rowOff>
                  </from>
                  <to>
                    <xdr:col>8</xdr:col>
                    <xdr:colOff>123825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5" r:id="rId8" name="終了">
              <controlPr defaultSize="0" print="0" autoFill="0" autoPict="0" macro="[0]!ThisWorkbook.終了">
                <anchor moveWithCells="1" sizeWithCells="1">
                  <from>
                    <xdr:col>41</xdr:col>
                    <xdr:colOff>19050</xdr:colOff>
                    <xdr:row>0</xdr:row>
                    <xdr:rowOff>390525</xdr:rowOff>
                  </from>
                  <to>
                    <xdr:col>44</xdr:col>
                    <xdr:colOff>142875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6" r:id="rId9" name="印刷">
              <controlPr defaultSize="0" print="0" autoFill="0" autoPict="0" macro="[0]!ThisWorkbook.印刷">
                <anchor moveWithCells="1" sizeWithCells="1">
                  <from>
                    <xdr:col>9</xdr:col>
                    <xdr:colOff>28575</xdr:colOff>
                    <xdr:row>0</xdr:row>
                    <xdr:rowOff>76200</xdr:rowOff>
                  </from>
                  <to>
                    <xdr:col>13</xdr:col>
                    <xdr:colOff>114300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7" r:id="rId10" name="入力">
              <controlPr defaultSize="0" print="0" autoFill="0" autoPict="0" macro="[0]!ThisWorkbook.入力">
                <anchor moveWithCells="1" sizeWithCells="1">
                  <from>
                    <xdr:col>1</xdr:col>
                    <xdr:colOff>57150</xdr:colOff>
                    <xdr:row>0</xdr:row>
                    <xdr:rowOff>76200</xdr:rowOff>
                  </from>
                  <to>
                    <xdr:col>4</xdr:col>
                    <xdr:colOff>200025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8" r:id="rId11" name="削除">
              <controlPr defaultSize="0" print="0" autoFill="0" autoPict="0" macro="[0]!ThisWorkbook.削除">
                <anchor moveWithCells="1" sizeWithCells="1">
                  <from>
                    <xdr:col>18</xdr:col>
                    <xdr:colOff>85725</xdr:colOff>
                    <xdr:row>0</xdr:row>
                    <xdr:rowOff>76200</xdr:rowOff>
                  </from>
                  <to>
                    <xdr:col>22</xdr:col>
                    <xdr:colOff>66675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9" r:id="rId12" name="合計無">
              <controlPr defaultSize="0" print="0" autoFill="0" autoPict="0" macro="[0]!ThisWorkbook.合計無">
                <anchor moveWithCells="1" sizeWithCells="1">
                  <from>
                    <xdr:col>31</xdr:col>
                    <xdr:colOff>152400</xdr:colOff>
                    <xdr:row>0</xdr:row>
                    <xdr:rowOff>76200</xdr:rowOff>
                  </from>
                  <to>
                    <xdr:col>35</xdr:col>
                    <xdr:colOff>47625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0" r:id="rId13" name="ヘルプ">
              <controlPr defaultSize="0" print="0" autoFill="0" autoPict="0" macro="[0]!ThisWorkbook.ヘルプ">
                <anchor moveWithCells="1" sizeWithCells="1">
                  <from>
                    <xdr:col>41</xdr:col>
                    <xdr:colOff>19050</xdr:colOff>
                    <xdr:row>0</xdr:row>
                    <xdr:rowOff>76200</xdr:rowOff>
                  </from>
                  <to>
                    <xdr:col>44</xdr:col>
                    <xdr:colOff>142875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1" r:id="rId14" name="税無">
              <controlPr defaultSize="0" print="0" autoFill="0" autoPict="0" macro="[0]!ThisWorkbook.税無">
                <anchor moveWithCells="1" sizeWithCells="1">
                  <from>
                    <xdr:col>31</xdr:col>
                    <xdr:colOff>152400</xdr:colOff>
                    <xdr:row>0</xdr:row>
                    <xdr:rowOff>400050</xdr:rowOff>
                  </from>
                  <to>
                    <xdr:col>35</xdr:col>
                    <xdr:colOff>47625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2" r:id="rId15" name="画像">
              <controlPr defaultSize="0" print="0" autoFill="0" autoPict="0" macro="[0]!ThisWorkbook.画像">
                <anchor moveWithCells="1" sizeWithCells="1">
                  <from>
                    <xdr:col>9</xdr:col>
                    <xdr:colOff>28575</xdr:colOff>
                    <xdr:row>0</xdr:row>
                    <xdr:rowOff>390525</xdr:rowOff>
                  </from>
                  <to>
                    <xdr:col>13</xdr:col>
                    <xdr:colOff>114300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3" r:id="rId16" name="画像PW">
              <controlPr defaultSize="0" print="0" autoFill="0" autoPict="0" macro="[0]!ThisWorkbook.画像PW">
                <anchor moveWithCells="1" sizeWithCells="1">
                  <from>
                    <xdr:col>14</xdr:col>
                    <xdr:colOff>28575</xdr:colOff>
                    <xdr:row>0</xdr:row>
                    <xdr:rowOff>390525</xdr:rowOff>
                  </from>
                  <to>
                    <xdr:col>18</xdr:col>
                    <xdr:colOff>9525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4" r:id="rId17" name="明細入力">
              <controlPr defaultSize="0" print="0" autoFill="0" autoPict="0" macro="[0]!ThisWorkbook.明細入力">
                <anchor moveWithCells="1" sizeWithCells="1">
                  <from>
                    <xdr:col>4</xdr:col>
                    <xdr:colOff>266700</xdr:colOff>
                    <xdr:row>0</xdr:row>
                    <xdr:rowOff>76200</xdr:rowOff>
                  </from>
                  <to>
                    <xdr:col>8</xdr:col>
                    <xdr:colOff>123825</xdr:colOff>
                    <xdr:row>0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5" r:id="rId18" name="明細書">
              <controlPr defaultSize="0" print="0" autoFill="0" autoPict="0" macro="[0]!ThisWorkbook.明細追加">
                <anchor moveWithCells="1" sizeWithCells="1">
                  <from>
                    <xdr:col>22</xdr:col>
                    <xdr:colOff>133350</xdr:colOff>
                    <xdr:row>0</xdr:row>
                    <xdr:rowOff>390525</xdr:rowOff>
                  </from>
                  <to>
                    <xdr:col>27</xdr:col>
                    <xdr:colOff>47625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6" r:id="rId19" name="客呼">
              <controlPr defaultSize="0" print="0" autoFill="0" autoPict="0" macro="[0]!ThisWorkbook.得意先呼出">
                <anchor moveWithCells="1" sizeWithCells="1">
                  <from>
                    <xdr:col>0</xdr:col>
                    <xdr:colOff>66675</xdr:colOff>
                    <xdr:row>5</xdr:row>
                    <xdr:rowOff>180975</xdr:rowOff>
                  </from>
                  <to>
                    <xdr:col>0</xdr:col>
                    <xdr:colOff>476250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7" r:id="rId20" name="Button 17">
              <controlPr defaultSize="0" print="0" autoFill="0" autoPict="0" macro="[0]!ThisWorkbook.マスタ呼出">
                <anchor moveWithCells="1" sizeWithCells="1">
                  <from>
                    <xdr:col>0</xdr:col>
                    <xdr:colOff>66675</xdr:colOff>
                    <xdr:row>4</xdr:row>
                    <xdr:rowOff>76200</xdr:rowOff>
                  </from>
                  <to>
                    <xdr:col>0</xdr:col>
                    <xdr:colOff>476250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8" r:id="rId21" name="担当呼出">
              <controlPr defaultSize="0" print="0" autoFill="0" autoPict="0" macro="[0]!ThisWorkbook.担当者呼出">
                <anchor moveWithCells="1" sizeWithCells="1">
                  <from>
                    <xdr:col>0</xdr:col>
                    <xdr:colOff>66675</xdr:colOff>
                    <xdr:row>7</xdr:row>
                    <xdr:rowOff>95250</xdr:rowOff>
                  </from>
                  <to>
                    <xdr:col>0</xdr:col>
                    <xdr:colOff>476250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39" r:id="rId22" name="品名呼出0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25</xdr:row>
                    <xdr:rowOff>95250</xdr:rowOff>
                  </from>
                  <to>
                    <xdr:col>0</xdr:col>
                    <xdr:colOff>476250</xdr:colOff>
                    <xdr:row>25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0" r:id="rId23" name="品名呼出0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26</xdr:row>
                    <xdr:rowOff>85725</xdr:rowOff>
                  </from>
                  <to>
                    <xdr:col>0</xdr:col>
                    <xdr:colOff>476250</xdr:colOff>
                    <xdr:row>26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1" r:id="rId24" name="品名呼出03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27</xdr:row>
                    <xdr:rowOff>95250</xdr:rowOff>
                  </from>
                  <to>
                    <xdr:col>0</xdr:col>
                    <xdr:colOff>476250</xdr:colOff>
                    <xdr:row>27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2" r:id="rId25" name="品名呼出04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28</xdr:row>
                    <xdr:rowOff>95250</xdr:rowOff>
                  </from>
                  <to>
                    <xdr:col>0</xdr:col>
                    <xdr:colOff>476250</xdr:colOff>
                    <xdr:row>28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3" r:id="rId26" name="品名呼出05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29</xdr:row>
                    <xdr:rowOff>95250</xdr:rowOff>
                  </from>
                  <to>
                    <xdr:col>0</xdr:col>
                    <xdr:colOff>476250</xdr:colOff>
                    <xdr:row>29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4" r:id="rId27" name="品名呼出06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30</xdr:row>
                    <xdr:rowOff>95250</xdr:rowOff>
                  </from>
                  <to>
                    <xdr:col>0</xdr:col>
                    <xdr:colOff>476250</xdr:colOff>
                    <xdr:row>30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5" r:id="rId28" name="品名呼出07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31</xdr:row>
                    <xdr:rowOff>95250</xdr:rowOff>
                  </from>
                  <to>
                    <xdr:col>0</xdr:col>
                    <xdr:colOff>476250</xdr:colOff>
                    <xdr:row>31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6" r:id="rId29" name="品名呼出08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32</xdr:row>
                    <xdr:rowOff>95250</xdr:rowOff>
                  </from>
                  <to>
                    <xdr:col>0</xdr:col>
                    <xdr:colOff>476250</xdr:colOff>
                    <xdr:row>32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7" r:id="rId30" name="品名呼出09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33</xdr:row>
                    <xdr:rowOff>95250</xdr:rowOff>
                  </from>
                  <to>
                    <xdr:col>0</xdr:col>
                    <xdr:colOff>476250</xdr:colOff>
                    <xdr:row>33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8" r:id="rId31" name="品名呼出10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34</xdr:row>
                    <xdr:rowOff>95250</xdr:rowOff>
                  </from>
                  <to>
                    <xdr:col>0</xdr:col>
                    <xdr:colOff>476250</xdr:colOff>
                    <xdr:row>34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49" r:id="rId32" name="品名呼出11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35</xdr:row>
                    <xdr:rowOff>95250</xdr:rowOff>
                  </from>
                  <to>
                    <xdr:col>0</xdr:col>
                    <xdr:colOff>476250</xdr:colOff>
                    <xdr:row>35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0" r:id="rId33" name="品名呼出12">
              <controlPr defaultSize="0" print="0" autoFill="0" autoPict="0" macro="[0]!ThisWorkbook.品名呼出1">
                <anchor moveWithCells="1" sizeWithCells="1">
                  <from>
                    <xdr:col>0</xdr:col>
                    <xdr:colOff>66675</xdr:colOff>
                    <xdr:row>36</xdr:row>
                    <xdr:rowOff>95250</xdr:rowOff>
                  </from>
                  <to>
                    <xdr:col>0</xdr:col>
                    <xdr:colOff>476250</xdr:colOff>
                    <xdr:row>36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1" r:id="rId34" name="更新">
              <controlPr defaultSize="0" print="0" autoFill="0" autoPict="0" macro="[0]!ThisWorkbook.更新">
                <anchor moveWithCells="1" sizeWithCells="1">
                  <from>
                    <xdr:col>0</xdr:col>
                    <xdr:colOff>66675</xdr:colOff>
                    <xdr:row>2</xdr:row>
                    <xdr:rowOff>161925</xdr:rowOff>
                  </from>
                  <to>
                    <xdr:col>0</xdr:col>
                    <xdr:colOff>476250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2" r:id="rId35" name="プレビュー">
              <controlPr defaultSize="0" print="0" autoFill="0" autoPict="0" macro="[0]!ThisWorkbook.プレビュー">
                <anchor moveWithCells="1" sizeWithCells="1">
                  <from>
                    <xdr:col>14</xdr:col>
                    <xdr:colOff>28575</xdr:colOff>
                    <xdr:row>0</xdr:row>
                    <xdr:rowOff>76200</xdr:rowOff>
                  </from>
                  <to>
                    <xdr:col>18</xdr:col>
                    <xdr:colOff>9525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3" r:id="rId36" name="環境設定">
              <controlPr defaultSize="0" print="0" autoFill="0" autoPict="0" macro="[0]!ThisWorkbook.設定">
                <anchor moveWithCells="1" sizeWithCells="1">
                  <from>
                    <xdr:col>27</xdr:col>
                    <xdr:colOff>114300</xdr:colOff>
                    <xdr:row>0</xdr:row>
                    <xdr:rowOff>400050</xdr:rowOff>
                  </from>
                  <to>
                    <xdr:col>31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4" r:id="rId37" name="詳細無">
              <controlPr defaultSize="0" print="0" autoFill="0" autoPict="0" macro="[0]!ThisWorkbook.戻る">
                <anchor moveWithCells="1" sizeWithCells="1">
                  <from>
                    <xdr:col>78</xdr:col>
                    <xdr:colOff>76200</xdr:colOff>
                    <xdr:row>98</xdr:row>
                    <xdr:rowOff>66675</xdr:rowOff>
                  </from>
                  <to>
                    <xdr:col>82</xdr:col>
                    <xdr:colOff>57150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5" r:id="rId38" name="電卓">
              <controlPr defaultSize="0" print="0" autoFill="0" autoPict="0" macro="[0]!calc">
                <anchor moveWithCells="1" sizeWithCells="1">
                  <from>
                    <xdr:col>18</xdr:col>
                    <xdr:colOff>85725</xdr:colOff>
                    <xdr:row>0</xdr:row>
                    <xdr:rowOff>390525</xdr:rowOff>
                  </from>
                  <to>
                    <xdr:col>22</xdr:col>
                    <xdr:colOff>66675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6" r:id="rId39" name="データ更新">
              <controlPr defaultSize="0" print="0" autoFill="0" autoPict="0" macro="[0]!ThisWorkbook.getdata">
                <anchor moveWithCells="1" sizeWithCells="1">
                  <from>
                    <xdr:col>151</xdr:col>
                    <xdr:colOff>123825</xdr:colOff>
                    <xdr:row>400</xdr:row>
                    <xdr:rowOff>104775</xdr:rowOff>
                  </from>
                  <to>
                    <xdr:col>156</xdr:col>
                    <xdr:colOff>38100</xdr:colOff>
                    <xdr:row>401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7" r:id="rId40" name="並替">
              <controlPr defaultSize="0" print="0" autoFill="0" autoPict="0" macro="[0]!ThisWorkbook.並替">
                <anchor moveWithCells="1" sizeWithCells="1">
                  <from>
                    <xdr:col>36</xdr:col>
                    <xdr:colOff>19050</xdr:colOff>
                    <xdr:row>0</xdr:row>
                    <xdr:rowOff>76200</xdr:rowOff>
                  </from>
                  <to>
                    <xdr:col>40</xdr:col>
                    <xdr:colOff>76200</xdr:colOff>
                    <xdr:row>0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8" r:id="rId41" name="戻る2">
              <controlPr defaultSize="0" print="0" autoFill="0" autoPict="0" macro="[0]!ThisWorkbook.戻る">
                <anchor moveWithCells="1" sizeWithCells="1">
                  <from>
                    <xdr:col>151</xdr:col>
                    <xdr:colOff>123825</xdr:colOff>
                    <xdr:row>403</xdr:row>
                    <xdr:rowOff>104775</xdr:rowOff>
                  </from>
                  <to>
                    <xdr:col>156</xdr:col>
                    <xdr:colOff>38100</xdr:colOff>
                    <xdr:row>404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59" r:id="rId42" name="環境設定2">
              <controlPr defaultSize="0" print="0" autoFill="0" autoPict="0" macro="[0]!ThisWorkbook.設定">
                <anchor moveWithCells="1" sizeWithCells="1">
                  <from>
                    <xdr:col>151</xdr:col>
                    <xdr:colOff>123825</xdr:colOff>
                    <xdr:row>402</xdr:row>
                    <xdr:rowOff>19050</xdr:rowOff>
                  </from>
                  <to>
                    <xdr:col>156</xdr:col>
                    <xdr:colOff>38100</xdr:colOff>
                    <xdr:row>403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0" r:id="rId43" name="再選択">
              <controlPr defaultSize="0" print="0" autoFill="0" autoPict="0" macro="[0]!ThisWorkbook.並替2">
                <anchor moveWithCells="1" sizeWithCells="1">
                  <from>
                    <xdr:col>151</xdr:col>
                    <xdr:colOff>123825</xdr:colOff>
                    <xdr:row>399</xdr:row>
                    <xdr:rowOff>0</xdr:rowOff>
                  </from>
                  <to>
                    <xdr:col>156</xdr:col>
                    <xdr:colOff>38100</xdr:colOff>
                    <xdr:row>400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1" r:id="rId44" name="ﾃﾞｰﾀ処理">
              <controlPr defaultSize="0" print="0" autoFill="0" autoPict="0" macro="[0]!ThisWorkbook.データ処理">
                <anchor moveWithCells="1" sizeWithCells="1">
                  <from>
                    <xdr:col>36</xdr:col>
                    <xdr:colOff>19050</xdr:colOff>
                    <xdr:row>0</xdr:row>
                    <xdr:rowOff>400050</xdr:rowOff>
                  </from>
                  <to>
                    <xdr:col>40</xdr:col>
                    <xdr:colOff>76200</xdr:colOff>
                    <xdr:row>0</xdr:row>
                    <xdr:rowOff>619125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2" r:id="rId45" name="Button 42">
              <controlPr defaultSize="0" print="0" autoFill="0" autoPict="0" macro="[0]!ThisWorkbook.自社">
                <anchor moveWithCells="1" sizeWithCells="1">
                  <from>
                    <xdr:col>82</xdr:col>
                    <xdr:colOff>142875</xdr:colOff>
                    <xdr:row>98</xdr:row>
                    <xdr:rowOff>66675</xdr:rowOff>
                  </from>
                  <to>
                    <xdr:col>88</xdr:col>
                    <xdr:colOff>133350</xdr:colOff>
                    <xdr:row>99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3" r:id="rId46" name="参照1">
              <controlPr defaultSize="0" print="0" autoFill="0" autoPict="0" macro="[0]!ThisWorkbook.参照1">
                <anchor moveWithCells="1" sizeWithCells="1">
                  <from>
                    <xdr:col>115</xdr:col>
                    <xdr:colOff>57150</xdr:colOff>
                    <xdr:row>118</xdr:row>
                    <xdr:rowOff>9525</xdr:rowOff>
                  </from>
                  <to>
                    <xdr:col>115</xdr:col>
                    <xdr:colOff>447675</xdr:colOff>
                    <xdr:row>118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4" r:id="rId47" name="参照2">
              <controlPr defaultSize="0" print="0" autoFill="0" autoPict="0" macro="[0]!ThisWorkbook.参照2">
                <anchor moveWithCells="1" sizeWithCells="1">
                  <from>
                    <xdr:col>115</xdr:col>
                    <xdr:colOff>57150</xdr:colOff>
                    <xdr:row>119</xdr:row>
                    <xdr:rowOff>19050</xdr:rowOff>
                  </from>
                  <to>
                    <xdr:col>115</xdr:col>
                    <xdr:colOff>447675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5" r:id="rId48" name="Button 45">
              <controlPr defaultSize="0" print="0" autoFill="0" autoPict="0" macro="[0]!ライセンスキー入力">
                <anchor moveWithCells="1" sizeWithCells="1">
                  <from>
                    <xdr:col>89</xdr:col>
                    <xdr:colOff>57150</xdr:colOff>
                    <xdr:row>98</xdr:row>
                    <xdr:rowOff>57150</xdr:rowOff>
                  </from>
                  <to>
                    <xdr:col>91</xdr:col>
                    <xdr:colOff>142875</xdr:colOff>
                    <xdr:row>99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66" r:id="rId49" name="Button 46">
              <controlPr defaultSize="0" print="0" autoFill="0" autoPict="0" macro="[0]!Sheet1.macdadress">
                <anchor moveWithCells="1" sizeWithCells="1">
                  <from>
                    <xdr:col>92</xdr:col>
                    <xdr:colOff>66675</xdr:colOff>
                    <xdr:row>98</xdr:row>
                    <xdr:rowOff>57150</xdr:rowOff>
                  </from>
                  <to>
                    <xdr:col>97</xdr:col>
                    <xdr:colOff>85725</xdr:colOff>
                    <xdr:row>99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出張デモ1</vt:lpstr>
      <vt:lpstr>出張デモ2</vt:lpstr>
      <vt:lpstr>広島大阪</vt:lpstr>
      <vt:lpstr>岩手</vt:lpstr>
      <vt:lpstr>岩手盛岡市</vt:lpstr>
      <vt:lpstr>金沢</vt:lpstr>
      <vt:lpstr>高崎</vt:lpstr>
      <vt:lpstr>軽井沢</vt:lpstr>
      <vt:lpstr>茨城</vt:lpstr>
      <vt:lpstr>福島県郡山市</vt:lpstr>
      <vt:lpstr>安全教育</vt:lpstr>
      <vt:lpstr>発電機</vt:lpstr>
      <vt:lpstr>安全教育!Print_Area</vt:lpstr>
      <vt:lpstr>茨城!Print_Area</vt:lpstr>
      <vt:lpstr>岩手!Print_Area</vt:lpstr>
      <vt:lpstr>岩手盛岡市!Print_Area</vt:lpstr>
      <vt:lpstr>金沢!Print_Area</vt:lpstr>
      <vt:lpstr>軽井沢!Print_Area</vt:lpstr>
      <vt:lpstr>広島大阪!Print_Area</vt:lpstr>
      <vt:lpstr>高崎!Print_Area</vt:lpstr>
      <vt:lpstr>出張デモ1!Print_Area</vt:lpstr>
      <vt:lpstr>出張デモ2!Print_Area</vt:lpstr>
      <vt:lpstr>発電機!Print_Area</vt:lpstr>
      <vt:lpstr>福島県郡山市!Print_Area</vt:lpstr>
    </vt:vector>
  </TitlesOfParts>
  <Company>有限会社アイ・ビー・エス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稲葉　秀夫</dc:creator>
  <cp:lastModifiedBy>a58</cp:lastModifiedBy>
  <cp:lastPrinted>2026-02-27T02:46:21Z</cp:lastPrinted>
  <dcterms:created xsi:type="dcterms:W3CDTF">2001-10-18T00:35:45Z</dcterms:created>
  <dcterms:modified xsi:type="dcterms:W3CDTF">2026-03-23T02:54:49Z</dcterms:modified>
</cp:coreProperties>
</file>