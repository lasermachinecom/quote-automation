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drawings/drawing4.xml" ContentType="application/vnd.openxmlformats-officedocument.drawing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drawings/drawing5.xml" ContentType="application/vnd.openxmlformats-officedocument.drawing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drawings/drawing6.xml" ContentType="application/vnd.openxmlformats-officedocument.drawing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A08B2F4B-1D5E-4259-8133-4722EF979713}" xr6:coauthVersionLast="47" xr6:coauthVersionMax="47" xr10:uidLastSave="{00000000-0000-0000-0000-000000000000}"/>
  <bookViews>
    <workbookView xWindow="25290" yWindow="240" windowWidth="31680" windowHeight="20325" tabRatio="657" activeTab="5" xr2:uid="{00000000-000D-0000-FFFF-FFFF00000000}"/>
  </bookViews>
  <sheets>
    <sheet name="出張デモ1" sheetId="1" r:id="rId1"/>
    <sheet name="出張デモ2" sheetId="6" r:id="rId2"/>
    <sheet name="出張デモ3" sheetId="7" r:id="rId3"/>
    <sheet name="出張デモ3 (2)" sheetId="8" r:id="rId4"/>
    <sheet name="出張デモ3 (3)" sheetId="9" r:id="rId5"/>
    <sheet name="納品半田市" sheetId="10" r:id="rId6"/>
  </sheets>
  <definedNames>
    <definedName name="_xlnm.Print_Area" localSheetId="0">出張デモ1!$B$2:$AT$42</definedName>
    <definedName name="_xlnm.Print_Area" localSheetId="1">出張デモ2!$B$2:$AT$42</definedName>
    <definedName name="_xlnm.Print_Area" localSheetId="2">出張デモ3!$B$2:$AT$42</definedName>
    <definedName name="_xlnm.Print_Area" localSheetId="3">'出張デモ3 (2)'!$B$2:$AT$42</definedName>
    <definedName name="_xlnm.Print_Area" localSheetId="4">'出張デモ3 (3)'!$B$2:$AT$42</definedName>
    <definedName name="_xlnm.Print_Area" localSheetId="5">納品半田市!$B$2:$AT$42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181" i="10" l="1"/>
  <c r="FH181" i="10"/>
  <c r="FG181" i="10"/>
  <c r="FF181" i="10"/>
  <c r="FE181" i="10"/>
  <c r="FD181" i="10"/>
  <c r="FI180" i="10"/>
  <c r="FH180" i="10"/>
  <c r="FG180" i="10"/>
  <c r="FF180" i="10"/>
  <c r="FE180" i="10"/>
  <c r="FD180" i="10"/>
  <c r="FI179" i="10"/>
  <c r="FH179" i="10"/>
  <c r="FG179" i="10"/>
  <c r="FF179" i="10"/>
  <c r="FE179" i="10"/>
  <c r="FD179" i="10"/>
  <c r="FI178" i="10"/>
  <c r="FH178" i="10"/>
  <c r="FG178" i="10"/>
  <c r="FF178" i="10"/>
  <c r="FE178" i="10"/>
  <c r="FD178" i="10"/>
  <c r="FI177" i="10"/>
  <c r="FH177" i="10"/>
  <c r="FG177" i="10"/>
  <c r="FF177" i="10"/>
  <c r="FE177" i="10"/>
  <c r="FD177" i="10"/>
  <c r="FI176" i="10"/>
  <c r="FH176" i="10"/>
  <c r="FG176" i="10"/>
  <c r="FF176" i="10"/>
  <c r="FE176" i="10"/>
  <c r="FD176" i="10"/>
  <c r="FI175" i="10"/>
  <c r="FH175" i="10"/>
  <c r="FG175" i="10"/>
  <c r="FF175" i="10"/>
  <c r="FE175" i="10"/>
  <c r="FD175" i="10"/>
  <c r="FI174" i="10"/>
  <c r="FH174" i="10"/>
  <c r="FG174" i="10"/>
  <c r="FF174" i="10"/>
  <c r="FE174" i="10"/>
  <c r="FD174" i="10"/>
  <c r="FI173" i="10"/>
  <c r="FH173" i="10"/>
  <c r="FG173" i="10"/>
  <c r="FF173" i="10"/>
  <c r="FE173" i="10"/>
  <c r="FD173" i="10"/>
  <c r="FI172" i="10"/>
  <c r="FH172" i="10"/>
  <c r="FG172" i="10"/>
  <c r="FF172" i="10"/>
  <c r="FE172" i="10"/>
  <c r="FD172" i="10"/>
  <c r="FI171" i="10"/>
  <c r="FH171" i="10"/>
  <c r="FG171" i="10"/>
  <c r="FF171" i="10"/>
  <c r="FE171" i="10"/>
  <c r="FD171" i="10"/>
  <c r="FI170" i="10"/>
  <c r="FH170" i="10"/>
  <c r="FG170" i="10"/>
  <c r="FF170" i="10"/>
  <c r="FE170" i="10"/>
  <c r="FD170" i="10"/>
  <c r="FI169" i="10"/>
  <c r="FH169" i="10"/>
  <c r="FG169" i="10"/>
  <c r="FF169" i="10"/>
  <c r="FE169" i="10"/>
  <c r="FD169" i="10"/>
  <c r="FI168" i="10"/>
  <c r="FH168" i="10"/>
  <c r="FG168" i="10"/>
  <c r="FF168" i="10"/>
  <c r="FE168" i="10"/>
  <c r="FD168" i="10"/>
  <c r="FI167" i="10"/>
  <c r="FH167" i="10"/>
  <c r="FG167" i="10"/>
  <c r="FF167" i="10"/>
  <c r="FE167" i="10"/>
  <c r="FD167" i="10"/>
  <c r="FI166" i="10"/>
  <c r="FH166" i="10"/>
  <c r="FG166" i="10"/>
  <c r="FF166" i="10"/>
  <c r="FE166" i="10"/>
  <c r="FD166" i="10"/>
  <c r="FI165" i="10"/>
  <c r="FH165" i="10"/>
  <c r="FG165" i="10"/>
  <c r="FF165" i="10"/>
  <c r="FE165" i="10"/>
  <c r="FD165" i="10"/>
  <c r="FI164" i="10"/>
  <c r="FH164" i="10"/>
  <c r="FG164" i="10"/>
  <c r="FF164" i="10"/>
  <c r="FE164" i="10"/>
  <c r="FD164" i="10"/>
  <c r="FI163" i="10"/>
  <c r="FH163" i="10"/>
  <c r="FG163" i="10"/>
  <c r="FF163" i="10"/>
  <c r="FE163" i="10"/>
  <c r="FD163" i="10"/>
  <c r="FI162" i="10"/>
  <c r="FH162" i="10"/>
  <c r="FG162" i="10"/>
  <c r="FF162" i="10"/>
  <c r="FE162" i="10"/>
  <c r="FD162" i="10"/>
  <c r="FI161" i="10"/>
  <c r="FH161" i="10"/>
  <c r="FG161" i="10"/>
  <c r="FF161" i="10"/>
  <c r="FE161" i="10"/>
  <c r="FD161" i="10"/>
  <c r="FI160" i="10"/>
  <c r="FH160" i="10"/>
  <c r="FG160" i="10"/>
  <c r="FF160" i="10"/>
  <c r="FE160" i="10"/>
  <c r="FD160" i="10"/>
  <c r="FI159" i="10"/>
  <c r="FH159" i="10"/>
  <c r="FG159" i="10"/>
  <c r="FF159" i="10"/>
  <c r="FE159" i="10"/>
  <c r="FD159" i="10"/>
  <c r="FI158" i="10"/>
  <c r="FH158" i="10"/>
  <c r="FG158" i="10"/>
  <c r="FF158" i="10"/>
  <c r="FE158" i="10"/>
  <c r="FD158" i="10"/>
  <c r="FI157" i="10"/>
  <c r="FH157" i="10"/>
  <c r="FG157" i="10"/>
  <c r="FF157" i="10"/>
  <c r="FE157" i="10"/>
  <c r="FD157" i="10"/>
  <c r="FI156" i="10"/>
  <c r="FH156" i="10"/>
  <c r="FG156" i="10"/>
  <c r="FF156" i="10"/>
  <c r="FE156" i="10"/>
  <c r="FD156" i="10"/>
  <c r="FI155" i="10"/>
  <c r="FH155" i="10"/>
  <c r="FG155" i="10"/>
  <c r="FF155" i="10"/>
  <c r="FE155" i="10"/>
  <c r="FD155" i="10"/>
  <c r="FI154" i="10"/>
  <c r="FH154" i="10"/>
  <c r="FG154" i="10"/>
  <c r="FF154" i="10"/>
  <c r="FE154" i="10"/>
  <c r="FD154" i="10"/>
  <c r="FI153" i="10"/>
  <c r="FH153" i="10"/>
  <c r="FG153" i="10"/>
  <c r="FF153" i="10"/>
  <c r="FE153" i="10"/>
  <c r="FD153" i="10"/>
  <c r="FI152" i="10"/>
  <c r="FH152" i="10"/>
  <c r="FG152" i="10"/>
  <c r="FF152" i="10"/>
  <c r="FE152" i="10"/>
  <c r="FD152" i="10"/>
  <c r="FI151" i="10"/>
  <c r="FH151" i="10"/>
  <c r="FG151" i="10"/>
  <c r="FF151" i="10"/>
  <c r="FE151" i="10"/>
  <c r="FD151" i="10"/>
  <c r="FI150" i="10"/>
  <c r="FH150" i="10"/>
  <c r="FG150" i="10"/>
  <c r="FF150" i="10"/>
  <c r="FE150" i="10"/>
  <c r="FD150" i="10"/>
  <c r="FI149" i="10"/>
  <c r="FH149" i="10"/>
  <c r="FG149" i="10"/>
  <c r="FF149" i="10"/>
  <c r="FE149" i="10"/>
  <c r="FD149" i="10"/>
  <c r="FI148" i="10"/>
  <c r="FH148" i="10"/>
  <c r="FG148" i="10"/>
  <c r="FF148" i="10"/>
  <c r="FE148" i="10"/>
  <c r="FD148" i="10"/>
  <c r="FI147" i="10"/>
  <c r="FH147" i="10"/>
  <c r="FG147" i="10"/>
  <c r="FF147" i="10"/>
  <c r="FE147" i="10"/>
  <c r="FD147" i="10"/>
  <c r="FI146" i="10"/>
  <c r="FH146" i="10"/>
  <c r="FG146" i="10"/>
  <c r="FF146" i="10"/>
  <c r="FE146" i="10"/>
  <c r="FD146" i="10"/>
  <c r="FI145" i="10"/>
  <c r="FH145" i="10"/>
  <c r="FG145" i="10"/>
  <c r="FF145" i="10"/>
  <c r="FE145" i="10"/>
  <c r="FD145" i="10"/>
  <c r="FI144" i="10"/>
  <c r="FH144" i="10"/>
  <c r="FG144" i="10"/>
  <c r="FF144" i="10"/>
  <c r="FE144" i="10"/>
  <c r="FD144" i="10"/>
  <c r="FI143" i="10"/>
  <c r="FH143" i="10"/>
  <c r="FG143" i="10"/>
  <c r="FF143" i="10"/>
  <c r="FE143" i="10"/>
  <c r="FD143" i="10"/>
  <c r="FI142" i="10"/>
  <c r="FH142" i="10"/>
  <c r="FG142" i="10"/>
  <c r="FF142" i="10"/>
  <c r="FE142" i="10"/>
  <c r="FD142" i="10"/>
  <c r="FI141" i="10"/>
  <c r="FH141" i="10"/>
  <c r="FG141" i="10"/>
  <c r="FF141" i="10"/>
  <c r="FE141" i="10"/>
  <c r="FD141" i="10"/>
  <c r="FI140" i="10"/>
  <c r="FH140" i="10"/>
  <c r="FG140" i="10"/>
  <c r="FF140" i="10"/>
  <c r="FE140" i="10"/>
  <c r="FD140" i="10"/>
  <c r="FI139" i="10"/>
  <c r="FH139" i="10"/>
  <c r="FG139" i="10"/>
  <c r="FF139" i="10"/>
  <c r="FE139" i="10"/>
  <c r="FD139" i="10"/>
  <c r="FI138" i="10"/>
  <c r="FH138" i="10"/>
  <c r="FG138" i="10"/>
  <c r="FF138" i="10"/>
  <c r="FE138" i="10"/>
  <c r="FD138" i="10"/>
  <c r="FI137" i="10"/>
  <c r="FH137" i="10"/>
  <c r="FG137" i="10"/>
  <c r="FF137" i="10"/>
  <c r="FE137" i="10"/>
  <c r="FD137" i="10"/>
  <c r="FI136" i="10"/>
  <c r="FH136" i="10"/>
  <c r="FG136" i="10"/>
  <c r="FF136" i="10"/>
  <c r="FE136" i="10"/>
  <c r="FD136" i="10"/>
  <c r="FI135" i="10"/>
  <c r="FH135" i="10"/>
  <c r="FG135" i="10"/>
  <c r="FF135" i="10"/>
  <c r="FE135" i="10"/>
  <c r="FD135" i="10"/>
  <c r="FI134" i="10"/>
  <c r="FH134" i="10"/>
  <c r="FG134" i="10"/>
  <c r="FF134" i="10"/>
  <c r="FE134" i="10"/>
  <c r="FD134" i="10"/>
  <c r="FI133" i="10"/>
  <c r="FH133" i="10"/>
  <c r="FG133" i="10"/>
  <c r="FF133" i="10"/>
  <c r="FE133" i="10"/>
  <c r="FD133" i="10"/>
  <c r="FI132" i="10"/>
  <c r="FH132" i="10"/>
  <c r="FG132" i="10"/>
  <c r="FF132" i="10"/>
  <c r="FE132" i="10"/>
  <c r="FD132" i="10"/>
  <c r="FI131" i="10"/>
  <c r="FH131" i="10"/>
  <c r="FG131" i="10"/>
  <c r="FF131" i="10"/>
  <c r="FE131" i="10"/>
  <c r="FD131" i="10"/>
  <c r="FI130" i="10"/>
  <c r="FH130" i="10"/>
  <c r="FG130" i="10"/>
  <c r="FF130" i="10"/>
  <c r="FE130" i="10"/>
  <c r="FD130" i="10"/>
  <c r="FI129" i="10"/>
  <c r="FH129" i="10"/>
  <c r="FG129" i="10"/>
  <c r="FF129" i="10"/>
  <c r="FE129" i="10"/>
  <c r="FD129" i="10"/>
  <c r="FI128" i="10"/>
  <c r="FH128" i="10"/>
  <c r="FG128" i="10"/>
  <c r="FF128" i="10"/>
  <c r="FE128" i="10"/>
  <c r="FD128" i="10"/>
  <c r="FI127" i="10"/>
  <c r="FH127" i="10"/>
  <c r="FG127" i="10"/>
  <c r="FF127" i="10"/>
  <c r="FE127" i="10"/>
  <c r="FD127" i="10"/>
  <c r="FI126" i="10"/>
  <c r="FH126" i="10"/>
  <c r="FG126" i="10"/>
  <c r="FF126" i="10"/>
  <c r="FE126" i="10"/>
  <c r="FD126" i="10"/>
  <c r="FI125" i="10"/>
  <c r="FH125" i="10"/>
  <c r="FG125" i="10"/>
  <c r="FF125" i="10"/>
  <c r="FE125" i="10"/>
  <c r="FD125" i="10"/>
  <c r="FI124" i="10"/>
  <c r="FH124" i="10"/>
  <c r="FG124" i="10"/>
  <c r="FF124" i="10"/>
  <c r="FE124" i="10"/>
  <c r="FD124" i="10"/>
  <c r="FI123" i="10"/>
  <c r="FH123" i="10"/>
  <c r="FG123" i="10"/>
  <c r="FF123" i="10"/>
  <c r="FE123" i="10"/>
  <c r="FD123" i="10"/>
  <c r="FI122" i="10"/>
  <c r="FH122" i="10"/>
  <c r="FG122" i="10"/>
  <c r="FF122" i="10"/>
  <c r="FE122" i="10"/>
  <c r="FD122" i="10"/>
  <c r="FI121" i="10"/>
  <c r="FH121" i="10"/>
  <c r="FG121" i="10"/>
  <c r="FF121" i="10"/>
  <c r="FE121" i="10"/>
  <c r="FD121" i="10"/>
  <c r="FI120" i="10"/>
  <c r="FH120" i="10"/>
  <c r="FG120" i="10"/>
  <c r="FF120" i="10"/>
  <c r="FE120" i="10"/>
  <c r="FD120" i="10"/>
  <c r="FI119" i="10"/>
  <c r="FH119" i="10"/>
  <c r="FG119" i="10"/>
  <c r="FF119" i="10"/>
  <c r="FE119" i="10"/>
  <c r="FD119" i="10"/>
  <c r="FI118" i="10"/>
  <c r="FH118" i="10"/>
  <c r="FG118" i="10"/>
  <c r="FF118" i="10"/>
  <c r="FE118" i="10"/>
  <c r="FD118" i="10"/>
  <c r="FI117" i="10"/>
  <c r="FH117" i="10"/>
  <c r="FG117" i="10"/>
  <c r="FF117" i="10"/>
  <c r="FE117" i="10"/>
  <c r="FD117" i="10"/>
  <c r="FI116" i="10"/>
  <c r="FH116" i="10"/>
  <c r="FG116" i="10"/>
  <c r="FF116" i="10"/>
  <c r="FE116" i="10"/>
  <c r="FD116" i="10"/>
  <c r="FI115" i="10"/>
  <c r="FH115" i="10"/>
  <c r="FG115" i="10"/>
  <c r="FF115" i="10"/>
  <c r="FE115" i="10"/>
  <c r="FD115" i="10"/>
  <c r="FI114" i="10"/>
  <c r="FH114" i="10"/>
  <c r="FG114" i="10"/>
  <c r="FF114" i="10"/>
  <c r="FE114" i="10"/>
  <c r="FD114" i="10"/>
  <c r="FI113" i="10"/>
  <c r="FH113" i="10"/>
  <c r="FG113" i="10"/>
  <c r="FF113" i="10"/>
  <c r="FE113" i="10"/>
  <c r="FD113" i="10"/>
  <c r="FI112" i="10"/>
  <c r="FH112" i="10"/>
  <c r="FG112" i="10"/>
  <c r="FF112" i="10"/>
  <c r="FE112" i="10"/>
  <c r="FD112" i="10"/>
  <c r="FI111" i="10"/>
  <c r="FH111" i="10"/>
  <c r="FG111" i="10"/>
  <c r="FF111" i="10"/>
  <c r="FE111" i="10"/>
  <c r="FD111" i="10"/>
  <c r="FI110" i="10"/>
  <c r="FG110" i="10"/>
  <c r="FF110" i="10"/>
  <c r="FE110" i="10"/>
  <c r="FD110" i="10"/>
  <c r="FI109" i="10"/>
  <c r="FG109" i="10"/>
  <c r="FF109" i="10"/>
  <c r="FE109" i="10"/>
  <c r="FD109" i="10"/>
  <c r="FI108" i="10"/>
  <c r="FG108" i="10"/>
  <c r="FF108" i="10"/>
  <c r="FE108" i="10"/>
  <c r="FD108" i="10"/>
  <c r="FI107" i="10"/>
  <c r="FG107" i="10"/>
  <c r="FF107" i="10"/>
  <c r="FE107" i="10"/>
  <c r="FD107" i="10"/>
  <c r="CK107" i="10"/>
  <c r="FI106" i="10"/>
  <c r="FG106" i="10"/>
  <c r="FF106" i="10"/>
  <c r="FE106" i="10"/>
  <c r="FD106" i="10"/>
  <c r="CK106" i="10"/>
  <c r="FI105" i="10"/>
  <c r="FH105" i="10"/>
  <c r="FG105" i="10"/>
  <c r="FF105" i="10"/>
  <c r="FE105" i="10"/>
  <c r="FD105" i="10"/>
  <c r="CK105" i="10"/>
  <c r="CE105" i="10"/>
  <c r="FI104" i="10"/>
  <c r="FG104" i="10"/>
  <c r="FF104" i="10"/>
  <c r="FE104" i="10"/>
  <c r="FD104" i="10"/>
  <c r="FI103" i="10"/>
  <c r="FG103" i="10"/>
  <c r="FF103" i="10"/>
  <c r="FE103" i="10"/>
  <c r="FD103" i="10"/>
  <c r="FI102" i="10"/>
  <c r="FH102" i="10"/>
  <c r="FG102" i="10"/>
  <c r="FF102" i="10"/>
  <c r="FE102" i="10"/>
  <c r="FD102" i="10"/>
  <c r="FI101" i="10"/>
  <c r="FG101" i="10"/>
  <c r="FF101" i="10"/>
  <c r="FE101" i="10"/>
  <c r="FD101" i="10"/>
  <c r="AF37" i="10"/>
  <c r="AF36" i="10"/>
  <c r="AF35" i="10"/>
  <c r="FH110" i="10" s="1"/>
  <c r="AF34" i="10"/>
  <c r="FH109" i="10" s="1"/>
  <c r="AF33" i="10"/>
  <c r="FH108" i="10" s="1"/>
  <c r="AF32" i="10"/>
  <c r="FH107" i="10" s="1"/>
  <c r="AF31" i="10"/>
  <c r="FH106" i="10" s="1"/>
  <c r="AF30" i="10"/>
  <c r="AF29" i="10"/>
  <c r="FH104" i="10" s="1"/>
  <c r="AF28" i="10"/>
  <c r="FH103" i="10" s="1"/>
  <c r="AF27" i="10"/>
  <c r="AF26" i="10"/>
  <c r="FH101" i="10" s="1"/>
  <c r="FI181" i="9"/>
  <c r="FH181" i="9"/>
  <c r="FG181" i="9"/>
  <c r="FF181" i="9"/>
  <c r="FE181" i="9"/>
  <c r="FD181" i="9"/>
  <c r="FI180" i="9"/>
  <c r="FH180" i="9"/>
  <c r="FG180" i="9"/>
  <c r="FF180" i="9"/>
  <c r="FE180" i="9"/>
  <c r="FD180" i="9"/>
  <c r="FI179" i="9"/>
  <c r="FH179" i="9"/>
  <c r="FG179" i="9"/>
  <c r="FF179" i="9"/>
  <c r="FE179" i="9"/>
  <c r="FD179" i="9"/>
  <c r="FI178" i="9"/>
  <c r="FH178" i="9"/>
  <c r="FG178" i="9"/>
  <c r="FF178" i="9"/>
  <c r="FE178" i="9"/>
  <c r="FD178" i="9"/>
  <c r="FI177" i="9"/>
  <c r="FH177" i="9"/>
  <c r="FG177" i="9"/>
  <c r="FF177" i="9"/>
  <c r="FE177" i="9"/>
  <c r="FD177" i="9"/>
  <c r="FI176" i="9"/>
  <c r="FH176" i="9"/>
  <c r="FG176" i="9"/>
  <c r="FF176" i="9"/>
  <c r="FE176" i="9"/>
  <c r="FD176" i="9"/>
  <c r="FI175" i="9"/>
  <c r="FH175" i="9"/>
  <c r="FG175" i="9"/>
  <c r="FF175" i="9"/>
  <c r="FE175" i="9"/>
  <c r="FD175" i="9"/>
  <c r="FI174" i="9"/>
  <c r="FH174" i="9"/>
  <c r="FG174" i="9"/>
  <c r="FF174" i="9"/>
  <c r="FE174" i="9"/>
  <c r="FD174" i="9"/>
  <c r="FI173" i="9"/>
  <c r="FH173" i="9"/>
  <c r="FG173" i="9"/>
  <c r="FF173" i="9"/>
  <c r="FE173" i="9"/>
  <c r="FD173" i="9"/>
  <c r="FI172" i="9"/>
  <c r="FH172" i="9"/>
  <c r="FG172" i="9"/>
  <c r="FF172" i="9"/>
  <c r="FE172" i="9"/>
  <c r="FD172" i="9"/>
  <c r="FI171" i="9"/>
  <c r="FH171" i="9"/>
  <c r="FG171" i="9"/>
  <c r="FF171" i="9"/>
  <c r="FE171" i="9"/>
  <c r="FD171" i="9"/>
  <c r="FI170" i="9"/>
  <c r="FH170" i="9"/>
  <c r="FG170" i="9"/>
  <c r="FF170" i="9"/>
  <c r="FE170" i="9"/>
  <c r="FD170" i="9"/>
  <c r="FI169" i="9"/>
  <c r="FH169" i="9"/>
  <c r="FG169" i="9"/>
  <c r="FF169" i="9"/>
  <c r="FE169" i="9"/>
  <c r="FD169" i="9"/>
  <c r="FI168" i="9"/>
  <c r="FH168" i="9"/>
  <c r="FG168" i="9"/>
  <c r="FF168" i="9"/>
  <c r="FE168" i="9"/>
  <c r="FD168" i="9"/>
  <c r="FI167" i="9"/>
  <c r="FH167" i="9"/>
  <c r="FG167" i="9"/>
  <c r="FF167" i="9"/>
  <c r="FE167" i="9"/>
  <c r="FD167" i="9"/>
  <c r="FI166" i="9"/>
  <c r="FH166" i="9"/>
  <c r="FG166" i="9"/>
  <c r="FF166" i="9"/>
  <c r="FE166" i="9"/>
  <c r="FD166" i="9"/>
  <c r="FI165" i="9"/>
  <c r="FH165" i="9"/>
  <c r="FG165" i="9"/>
  <c r="FF165" i="9"/>
  <c r="FE165" i="9"/>
  <c r="FD165" i="9"/>
  <c r="FI164" i="9"/>
  <c r="FH164" i="9"/>
  <c r="FG164" i="9"/>
  <c r="FF164" i="9"/>
  <c r="FE164" i="9"/>
  <c r="FD164" i="9"/>
  <c r="FI163" i="9"/>
  <c r="FH163" i="9"/>
  <c r="FG163" i="9"/>
  <c r="FF163" i="9"/>
  <c r="FE163" i="9"/>
  <c r="FD163" i="9"/>
  <c r="FI162" i="9"/>
  <c r="FH162" i="9"/>
  <c r="FG162" i="9"/>
  <c r="FF162" i="9"/>
  <c r="FE162" i="9"/>
  <c r="FD162" i="9"/>
  <c r="FI161" i="9"/>
  <c r="FH161" i="9"/>
  <c r="FG161" i="9"/>
  <c r="FF161" i="9"/>
  <c r="FE161" i="9"/>
  <c r="FD161" i="9"/>
  <c r="FI160" i="9"/>
  <c r="FH160" i="9"/>
  <c r="FG160" i="9"/>
  <c r="FF160" i="9"/>
  <c r="FE160" i="9"/>
  <c r="FD160" i="9"/>
  <c r="FI159" i="9"/>
  <c r="FH159" i="9"/>
  <c r="FG159" i="9"/>
  <c r="FF159" i="9"/>
  <c r="FE159" i="9"/>
  <c r="FD159" i="9"/>
  <c r="FI158" i="9"/>
  <c r="FH158" i="9"/>
  <c r="FG158" i="9"/>
  <c r="FF158" i="9"/>
  <c r="FE158" i="9"/>
  <c r="FD158" i="9"/>
  <c r="FI157" i="9"/>
  <c r="FH157" i="9"/>
  <c r="FG157" i="9"/>
  <c r="FF157" i="9"/>
  <c r="FE157" i="9"/>
  <c r="FD157" i="9"/>
  <c r="FI156" i="9"/>
  <c r="FH156" i="9"/>
  <c r="FG156" i="9"/>
  <c r="FF156" i="9"/>
  <c r="FE156" i="9"/>
  <c r="FD156" i="9"/>
  <c r="FI155" i="9"/>
  <c r="FH155" i="9"/>
  <c r="FG155" i="9"/>
  <c r="FF155" i="9"/>
  <c r="FE155" i="9"/>
  <c r="FD155" i="9"/>
  <c r="FI154" i="9"/>
  <c r="FH154" i="9"/>
  <c r="FG154" i="9"/>
  <c r="FF154" i="9"/>
  <c r="FE154" i="9"/>
  <c r="FD154" i="9"/>
  <c r="FI153" i="9"/>
  <c r="FH153" i="9"/>
  <c r="FG153" i="9"/>
  <c r="FF153" i="9"/>
  <c r="FE153" i="9"/>
  <c r="FD153" i="9"/>
  <c r="FI152" i="9"/>
  <c r="FH152" i="9"/>
  <c r="FG152" i="9"/>
  <c r="FF152" i="9"/>
  <c r="FE152" i="9"/>
  <c r="FD152" i="9"/>
  <c r="FI151" i="9"/>
  <c r="FH151" i="9"/>
  <c r="FG151" i="9"/>
  <c r="FF151" i="9"/>
  <c r="FE151" i="9"/>
  <c r="FD151" i="9"/>
  <c r="FI150" i="9"/>
  <c r="FH150" i="9"/>
  <c r="FG150" i="9"/>
  <c r="FF150" i="9"/>
  <c r="FE150" i="9"/>
  <c r="FD150" i="9"/>
  <c r="FI149" i="9"/>
  <c r="FH149" i="9"/>
  <c r="FG149" i="9"/>
  <c r="FF149" i="9"/>
  <c r="FE149" i="9"/>
  <c r="FD149" i="9"/>
  <c r="FI148" i="9"/>
  <c r="FH148" i="9"/>
  <c r="FG148" i="9"/>
  <c r="FF148" i="9"/>
  <c r="FE148" i="9"/>
  <c r="FD148" i="9"/>
  <c r="FI147" i="9"/>
  <c r="FH147" i="9"/>
  <c r="FG147" i="9"/>
  <c r="FF147" i="9"/>
  <c r="FE147" i="9"/>
  <c r="FD147" i="9"/>
  <c r="FI146" i="9"/>
  <c r="FH146" i="9"/>
  <c r="FG146" i="9"/>
  <c r="FF146" i="9"/>
  <c r="FE146" i="9"/>
  <c r="FD146" i="9"/>
  <c r="FI145" i="9"/>
  <c r="FH145" i="9"/>
  <c r="FG145" i="9"/>
  <c r="FF145" i="9"/>
  <c r="FE145" i="9"/>
  <c r="FD145" i="9"/>
  <c r="FI144" i="9"/>
  <c r="FH144" i="9"/>
  <c r="FG144" i="9"/>
  <c r="FF144" i="9"/>
  <c r="FE144" i="9"/>
  <c r="FD144" i="9"/>
  <c r="FI143" i="9"/>
  <c r="FH143" i="9"/>
  <c r="FG143" i="9"/>
  <c r="FF143" i="9"/>
  <c r="FE143" i="9"/>
  <c r="FD143" i="9"/>
  <c r="FI142" i="9"/>
  <c r="FH142" i="9"/>
  <c r="FG142" i="9"/>
  <c r="FF142" i="9"/>
  <c r="FE142" i="9"/>
  <c r="FD142" i="9"/>
  <c r="FI141" i="9"/>
  <c r="FH141" i="9"/>
  <c r="FG141" i="9"/>
  <c r="FF141" i="9"/>
  <c r="FE141" i="9"/>
  <c r="FD141" i="9"/>
  <c r="FI140" i="9"/>
  <c r="FH140" i="9"/>
  <c r="FG140" i="9"/>
  <c r="FF140" i="9"/>
  <c r="FE140" i="9"/>
  <c r="FD140" i="9"/>
  <c r="FI139" i="9"/>
  <c r="FH139" i="9"/>
  <c r="FG139" i="9"/>
  <c r="FF139" i="9"/>
  <c r="FE139" i="9"/>
  <c r="FD139" i="9"/>
  <c r="FI138" i="9"/>
  <c r="FH138" i="9"/>
  <c r="FG138" i="9"/>
  <c r="FF138" i="9"/>
  <c r="FE138" i="9"/>
  <c r="FD138" i="9"/>
  <c r="FI137" i="9"/>
  <c r="FH137" i="9"/>
  <c r="FG137" i="9"/>
  <c r="FF137" i="9"/>
  <c r="FE137" i="9"/>
  <c r="FD137" i="9"/>
  <c r="FI136" i="9"/>
  <c r="FH136" i="9"/>
  <c r="FG136" i="9"/>
  <c r="FF136" i="9"/>
  <c r="FE136" i="9"/>
  <c r="FD136" i="9"/>
  <c r="FI135" i="9"/>
  <c r="FH135" i="9"/>
  <c r="FG135" i="9"/>
  <c r="FF135" i="9"/>
  <c r="FE135" i="9"/>
  <c r="FD135" i="9"/>
  <c r="FI134" i="9"/>
  <c r="FH134" i="9"/>
  <c r="FG134" i="9"/>
  <c r="FF134" i="9"/>
  <c r="FE134" i="9"/>
  <c r="FD134" i="9"/>
  <c r="FI133" i="9"/>
  <c r="FH133" i="9"/>
  <c r="FG133" i="9"/>
  <c r="FF133" i="9"/>
  <c r="FE133" i="9"/>
  <c r="FD133" i="9"/>
  <c r="FI132" i="9"/>
  <c r="FH132" i="9"/>
  <c r="FG132" i="9"/>
  <c r="FF132" i="9"/>
  <c r="FE132" i="9"/>
  <c r="FD132" i="9"/>
  <c r="FI131" i="9"/>
  <c r="FH131" i="9"/>
  <c r="FG131" i="9"/>
  <c r="FF131" i="9"/>
  <c r="FE131" i="9"/>
  <c r="FD131" i="9"/>
  <c r="FI130" i="9"/>
  <c r="FH130" i="9"/>
  <c r="FG130" i="9"/>
  <c r="FF130" i="9"/>
  <c r="FE130" i="9"/>
  <c r="FD130" i="9"/>
  <c r="FI129" i="9"/>
  <c r="FH129" i="9"/>
  <c r="FG129" i="9"/>
  <c r="FF129" i="9"/>
  <c r="FE129" i="9"/>
  <c r="FD129" i="9"/>
  <c r="FI128" i="9"/>
  <c r="FH128" i="9"/>
  <c r="FG128" i="9"/>
  <c r="FF128" i="9"/>
  <c r="FE128" i="9"/>
  <c r="FD128" i="9"/>
  <c r="FI127" i="9"/>
  <c r="FH127" i="9"/>
  <c r="FG127" i="9"/>
  <c r="FF127" i="9"/>
  <c r="FE127" i="9"/>
  <c r="FD127" i="9"/>
  <c r="FI126" i="9"/>
  <c r="FH126" i="9"/>
  <c r="FG126" i="9"/>
  <c r="FF126" i="9"/>
  <c r="FE126" i="9"/>
  <c r="FD126" i="9"/>
  <c r="FI125" i="9"/>
  <c r="FH125" i="9"/>
  <c r="FG125" i="9"/>
  <c r="FF125" i="9"/>
  <c r="FE125" i="9"/>
  <c r="FD125" i="9"/>
  <c r="FI124" i="9"/>
  <c r="FH124" i="9"/>
  <c r="FG124" i="9"/>
  <c r="FF124" i="9"/>
  <c r="FE124" i="9"/>
  <c r="FD124" i="9"/>
  <c r="FI123" i="9"/>
  <c r="FH123" i="9"/>
  <c r="FG123" i="9"/>
  <c r="FF123" i="9"/>
  <c r="FE123" i="9"/>
  <c r="FD123" i="9"/>
  <c r="FI122" i="9"/>
  <c r="FH122" i="9"/>
  <c r="FG122" i="9"/>
  <c r="FF122" i="9"/>
  <c r="FE122" i="9"/>
  <c r="FD122" i="9"/>
  <c r="FI121" i="9"/>
  <c r="FH121" i="9"/>
  <c r="FG121" i="9"/>
  <c r="FF121" i="9"/>
  <c r="FE121" i="9"/>
  <c r="FD121" i="9"/>
  <c r="FI120" i="9"/>
  <c r="FH120" i="9"/>
  <c r="FG120" i="9"/>
  <c r="FF120" i="9"/>
  <c r="FE120" i="9"/>
  <c r="FD120" i="9"/>
  <c r="FI119" i="9"/>
  <c r="FH119" i="9"/>
  <c r="FG119" i="9"/>
  <c r="FF119" i="9"/>
  <c r="FE119" i="9"/>
  <c r="FD119" i="9"/>
  <c r="FI118" i="9"/>
  <c r="FH118" i="9"/>
  <c r="FG118" i="9"/>
  <c r="FF118" i="9"/>
  <c r="FE118" i="9"/>
  <c r="FD118" i="9"/>
  <c r="FI117" i="9"/>
  <c r="FH117" i="9"/>
  <c r="FG117" i="9"/>
  <c r="FF117" i="9"/>
  <c r="FE117" i="9"/>
  <c r="FD117" i="9"/>
  <c r="FI116" i="9"/>
  <c r="FH116" i="9"/>
  <c r="FG116" i="9"/>
  <c r="FF116" i="9"/>
  <c r="FE116" i="9"/>
  <c r="FD116" i="9"/>
  <c r="FI115" i="9"/>
  <c r="FH115" i="9"/>
  <c r="FG115" i="9"/>
  <c r="FF115" i="9"/>
  <c r="FE115" i="9"/>
  <c r="FD115" i="9"/>
  <c r="FI114" i="9"/>
  <c r="FH114" i="9"/>
  <c r="FG114" i="9"/>
  <c r="FF114" i="9"/>
  <c r="FE114" i="9"/>
  <c r="FD114" i="9"/>
  <c r="FI113" i="9"/>
  <c r="FH113" i="9"/>
  <c r="FG113" i="9"/>
  <c r="FF113" i="9"/>
  <c r="FE113" i="9"/>
  <c r="FD113" i="9"/>
  <c r="FI112" i="9"/>
  <c r="FG112" i="9"/>
  <c r="FF112" i="9"/>
  <c r="FE112" i="9"/>
  <c r="FD112" i="9"/>
  <c r="FI111" i="9"/>
  <c r="FG111" i="9"/>
  <c r="FF111" i="9"/>
  <c r="FE111" i="9"/>
  <c r="FD111" i="9"/>
  <c r="FI110" i="9"/>
  <c r="FG110" i="9"/>
  <c r="FF110" i="9"/>
  <c r="FE110" i="9"/>
  <c r="FD110" i="9"/>
  <c r="FI109" i="9"/>
  <c r="FG109" i="9"/>
  <c r="FF109" i="9"/>
  <c r="FE109" i="9"/>
  <c r="FD109" i="9"/>
  <c r="FI108" i="9"/>
  <c r="FG108" i="9"/>
  <c r="FF108" i="9"/>
  <c r="FE108" i="9"/>
  <c r="FD108" i="9"/>
  <c r="FI107" i="9"/>
  <c r="FG107" i="9"/>
  <c r="FF107" i="9"/>
  <c r="FE107" i="9"/>
  <c r="FD107" i="9"/>
  <c r="CK107" i="9"/>
  <c r="FI106" i="9"/>
  <c r="FH106" i="9"/>
  <c r="FG106" i="9"/>
  <c r="FF106" i="9"/>
  <c r="FE106" i="9"/>
  <c r="FD106" i="9"/>
  <c r="CK106" i="9"/>
  <c r="FI105" i="9"/>
  <c r="FH105" i="9"/>
  <c r="FG105" i="9"/>
  <c r="FF105" i="9"/>
  <c r="FE105" i="9"/>
  <c r="FD105" i="9"/>
  <c r="CK105" i="9"/>
  <c r="CE105" i="9"/>
  <c r="FI104" i="9"/>
  <c r="FH104" i="9"/>
  <c r="FG104" i="9"/>
  <c r="FF104" i="9"/>
  <c r="FE104" i="9"/>
  <c r="FD104" i="9"/>
  <c r="FI103" i="9"/>
  <c r="FH103" i="9"/>
  <c r="FG103" i="9"/>
  <c r="FF103" i="9"/>
  <c r="FE103" i="9"/>
  <c r="FD103" i="9"/>
  <c r="FI102" i="9"/>
  <c r="FH102" i="9"/>
  <c r="FG102" i="9"/>
  <c r="FF102" i="9"/>
  <c r="FE102" i="9"/>
  <c r="FD102" i="9"/>
  <c r="FI101" i="9"/>
  <c r="FG101" i="9"/>
  <c r="FF101" i="9"/>
  <c r="FE101" i="9"/>
  <c r="FD101" i="9"/>
  <c r="AF37" i="9"/>
  <c r="FH112" i="9" s="1"/>
  <c r="AF36" i="9"/>
  <c r="FH111" i="9" s="1"/>
  <c r="AF35" i="9"/>
  <c r="FH110" i="9" s="1"/>
  <c r="AF34" i="9"/>
  <c r="FH109" i="9" s="1"/>
  <c r="AF33" i="9"/>
  <c r="FH108" i="9" s="1"/>
  <c r="AF32" i="9"/>
  <c r="FH107" i="9" s="1"/>
  <c r="AF31" i="9"/>
  <c r="AF30" i="9"/>
  <c r="AF29" i="9"/>
  <c r="AF28" i="9"/>
  <c r="AF27" i="9"/>
  <c r="AA38" i="9" s="1"/>
  <c r="AF26" i="9"/>
  <c r="FH101" i="9" s="1"/>
  <c r="FI181" i="8"/>
  <c r="FH181" i="8"/>
  <c r="FG181" i="8"/>
  <c r="FF181" i="8"/>
  <c r="FE181" i="8"/>
  <c r="FD181" i="8"/>
  <c r="FI180" i="8"/>
  <c r="FH180" i="8"/>
  <c r="FG180" i="8"/>
  <c r="FF180" i="8"/>
  <c r="FE180" i="8"/>
  <c r="FD180" i="8"/>
  <c r="FI179" i="8"/>
  <c r="FH179" i="8"/>
  <c r="FG179" i="8"/>
  <c r="FF179" i="8"/>
  <c r="FE179" i="8"/>
  <c r="FD179" i="8"/>
  <c r="FI178" i="8"/>
  <c r="FH178" i="8"/>
  <c r="FG178" i="8"/>
  <c r="FF178" i="8"/>
  <c r="FE178" i="8"/>
  <c r="FD178" i="8"/>
  <c r="FI177" i="8"/>
  <c r="FH177" i="8"/>
  <c r="FG177" i="8"/>
  <c r="FF177" i="8"/>
  <c r="FE177" i="8"/>
  <c r="FD177" i="8"/>
  <c r="FI176" i="8"/>
  <c r="FH176" i="8"/>
  <c r="FG176" i="8"/>
  <c r="FF176" i="8"/>
  <c r="FE176" i="8"/>
  <c r="FD176" i="8"/>
  <c r="FI175" i="8"/>
  <c r="FH175" i="8"/>
  <c r="FG175" i="8"/>
  <c r="FF175" i="8"/>
  <c r="FE175" i="8"/>
  <c r="FD175" i="8"/>
  <c r="FI174" i="8"/>
  <c r="FH174" i="8"/>
  <c r="FG174" i="8"/>
  <c r="FF174" i="8"/>
  <c r="FE174" i="8"/>
  <c r="FD174" i="8"/>
  <c r="FI173" i="8"/>
  <c r="FH173" i="8"/>
  <c r="FG173" i="8"/>
  <c r="FF173" i="8"/>
  <c r="FE173" i="8"/>
  <c r="FD173" i="8"/>
  <c r="FI172" i="8"/>
  <c r="FH172" i="8"/>
  <c r="FG172" i="8"/>
  <c r="FF172" i="8"/>
  <c r="FE172" i="8"/>
  <c r="FD172" i="8"/>
  <c r="FI171" i="8"/>
  <c r="FH171" i="8"/>
  <c r="FG171" i="8"/>
  <c r="FF171" i="8"/>
  <c r="FE171" i="8"/>
  <c r="FD171" i="8"/>
  <c r="FI170" i="8"/>
  <c r="FH170" i="8"/>
  <c r="FG170" i="8"/>
  <c r="FF170" i="8"/>
  <c r="FE170" i="8"/>
  <c r="FD170" i="8"/>
  <c r="FI169" i="8"/>
  <c r="FH169" i="8"/>
  <c r="FG169" i="8"/>
  <c r="FF169" i="8"/>
  <c r="FE169" i="8"/>
  <c r="FD169" i="8"/>
  <c r="FI168" i="8"/>
  <c r="FH168" i="8"/>
  <c r="FG168" i="8"/>
  <c r="FF168" i="8"/>
  <c r="FE168" i="8"/>
  <c r="FD168" i="8"/>
  <c r="FI167" i="8"/>
  <c r="FH167" i="8"/>
  <c r="FG167" i="8"/>
  <c r="FF167" i="8"/>
  <c r="FE167" i="8"/>
  <c r="FD167" i="8"/>
  <c r="FI166" i="8"/>
  <c r="FH166" i="8"/>
  <c r="FG166" i="8"/>
  <c r="FF166" i="8"/>
  <c r="FE166" i="8"/>
  <c r="FD166" i="8"/>
  <c r="FI165" i="8"/>
  <c r="FH165" i="8"/>
  <c r="FG165" i="8"/>
  <c r="FF165" i="8"/>
  <c r="FE165" i="8"/>
  <c r="FD165" i="8"/>
  <c r="FI164" i="8"/>
  <c r="FH164" i="8"/>
  <c r="FG164" i="8"/>
  <c r="FF164" i="8"/>
  <c r="FE164" i="8"/>
  <c r="FD164" i="8"/>
  <c r="FI163" i="8"/>
  <c r="FH163" i="8"/>
  <c r="FG163" i="8"/>
  <c r="FF163" i="8"/>
  <c r="FE163" i="8"/>
  <c r="FD163" i="8"/>
  <c r="FI162" i="8"/>
  <c r="FH162" i="8"/>
  <c r="FG162" i="8"/>
  <c r="FF162" i="8"/>
  <c r="FE162" i="8"/>
  <c r="FD162" i="8"/>
  <c r="FI161" i="8"/>
  <c r="FH161" i="8"/>
  <c r="FG161" i="8"/>
  <c r="FF161" i="8"/>
  <c r="FE161" i="8"/>
  <c r="FD161" i="8"/>
  <c r="FI160" i="8"/>
  <c r="FH160" i="8"/>
  <c r="FG160" i="8"/>
  <c r="FF160" i="8"/>
  <c r="FE160" i="8"/>
  <c r="FD160" i="8"/>
  <c r="FI159" i="8"/>
  <c r="FH159" i="8"/>
  <c r="FG159" i="8"/>
  <c r="FF159" i="8"/>
  <c r="FE159" i="8"/>
  <c r="FD159" i="8"/>
  <c r="FI158" i="8"/>
  <c r="FH158" i="8"/>
  <c r="FG158" i="8"/>
  <c r="FF158" i="8"/>
  <c r="FE158" i="8"/>
  <c r="FD158" i="8"/>
  <c r="FI157" i="8"/>
  <c r="FH157" i="8"/>
  <c r="FG157" i="8"/>
  <c r="FF157" i="8"/>
  <c r="FE157" i="8"/>
  <c r="FD157" i="8"/>
  <c r="FI156" i="8"/>
  <c r="FH156" i="8"/>
  <c r="FG156" i="8"/>
  <c r="FF156" i="8"/>
  <c r="FE156" i="8"/>
  <c r="FD156" i="8"/>
  <c r="FI155" i="8"/>
  <c r="FH155" i="8"/>
  <c r="FG155" i="8"/>
  <c r="FF155" i="8"/>
  <c r="FE155" i="8"/>
  <c r="FD155" i="8"/>
  <c r="FI154" i="8"/>
  <c r="FH154" i="8"/>
  <c r="FG154" i="8"/>
  <c r="FF154" i="8"/>
  <c r="FE154" i="8"/>
  <c r="FD154" i="8"/>
  <c r="FI153" i="8"/>
  <c r="FH153" i="8"/>
  <c r="FG153" i="8"/>
  <c r="FF153" i="8"/>
  <c r="FE153" i="8"/>
  <c r="FD153" i="8"/>
  <c r="FI152" i="8"/>
  <c r="FH152" i="8"/>
  <c r="FG152" i="8"/>
  <c r="FF152" i="8"/>
  <c r="FE152" i="8"/>
  <c r="FD152" i="8"/>
  <c r="FI151" i="8"/>
  <c r="FH151" i="8"/>
  <c r="FG151" i="8"/>
  <c r="FF151" i="8"/>
  <c r="FE151" i="8"/>
  <c r="FD151" i="8"/>
  <c r="FI150" i="8"/>
  <c r="FH150" i="8"/>
  <c r="FG150" i="8"/>
  <c r="FF150" i="8"/>
  <c r="FE150" i="8"/>
  <c r="FD150" i="8"/>
  <c r="FI149" i="8"/>
  <c r="FH149" i="8"/>
  <c r="FG149" i="8"/>
  <c r="FF149" i="8"/>
  <c r="FE149" i="8"/>
  <c r="FD149" i="8"/>
  <c r="FI148" i="8"/>
  <c r="FH148" i="8"/>
  <c r="FG148" i="8"/>
  <c r="FF148" i="8"/>
  <c r="FE148" i="8"/>
  <c r="FD148" i="8"/>
  <c r="FI147" i="8"/>
  <c r="FH147" i="8"/>
  <c r="FG147" i="8"/>
  <c r="FF147" i="8"/>
  <c r="FE147" i="8"/>
  <c r="FD147" i="8"/>
  <c r="FI146" i="8"/>
  <c r="FH146" i="8"/>
  <c r="FG146" i="8"/>
  <c r="FF146" i="8"/>
  <c r="FE146" i="8"/>
  <c r="FD146" i="8"/>
  <c r="FI145" i="8"/>
  <c r="FH145" i="8"/>
  <c r="FG145" i="8"/>
  <c r="FF145" i="8"/>
  <c r="FE145" i="8"/>
  <c r="FD145" i="8"/>
  <c r="FI144" i="8"/>
  <c r="FH144" i="8"/>
  <c r="FG144" i="8"/>
  <c r="FF144" i="8"/>
  <c r="FE144" i="8"/>
  <c r="FD144" i="8"/>
  <c r="FI143" i="8"/>
  <c r="FH143" i="8"/>
  <c r="FG143" i="8"/>
  <c r="FF143" i="8"/>
  <c r="FE143" i="8"/>
  <c r="FD143" i="8"/>
  <c r="FI142" i="8"/>
  <c r="FH142" i="8"/>
  <c r="FG142" i="8"/>
  <c r="FF142" i="8"/>
  <c r="FE142" i="8"/>
  <c r="FD142" i="8"/>
  <c r="FI141" i="8"/>
  <c r="FH141" i="8"/>
  <c r="FG141" i="8"/>
  <c r="FF141" i="8"/>
  <c r="FE141" i="8"/>
  <c r="FD141" i="8"/>
  <c r="FI140" i="8"/>
  <c r="FH140" i="8"/>
  <c r="FG140" i="8"/>
  <c r="FF140" i="8"/>
  <c r="FE140" i="8"/>
  <c r="FD140" i="8"/>
  <c r="FI139" i="8"/>
  <c r="FH139" i="8"/>
  <c r="FG139" i="8"/>
  <c r="FF139" i="8"/>
  <c r="FE139" i="8"/>
  <c r="FD139" i="8"/>
  <c r="FI138" i="8"/>
  <c r="FH138" i="8"/>
  <c r="FG138" i="8"/>
  <c r="FF138" i="8"/>
  <c r="FE138" i="8"/>
  <c r="FD138" i="8"/>
  <c r="FI137" i="8"/>
  <c r="FH137" i="8"/>
  <c r="FG137" i="8"/>
  <c r="FF137" i="8"/>
  <c r="FE137" i="8"/>
  <c r="FD137" i="8"/>
  <c r="FI136" i="8"/>
  <c r="FH136" i="8"/>
  <c r="FG136" i="8"/>
  <c r="FF136" i="8"/>
  <c r="FE136" i="8"/>
  <c r="FD136" i="8"/>
  <c r="FI135" i="8"/>
  <c r="FH135" i="8"/>
  <c r="FG135" i="8"/>
  <c r="FF135" i="8"/>
  <c r="FE135" i="8"/>
  <c r="FD135" i="8"/>
  <c r="FI134" i="8"/>
  <c r="FH134" i="8"/>
  <c r="FG134" i="8"/>
  <c r="FF134" i="8"/>
  <c r="FE134" i="8"/>
  <c r="FD134" i="8"/>
  <c r="FI133" i="8"/>
  <c r="FH133" i="8"/>
  <c r="FG133" i="8"/>
  <c r="FF133" i="8"/>
  <c r="FE133" i="8"/>
  <c r="FD133" i="8"/>
  <c r="FI132" i="8"/>
  <c r="FH132" i="8"/>
  <c r="FG132" i="8"/>
  <c r="FF132" i="8"/>
  <c r="FE132" i="8"/>
  <c r="FD132" i="8"/>
  <c r="FI131" i="8"/>
  <c r="FH131" i="8"/>
  <c r="FG131" i="8"/>
  <c r="FF131" i="8"/>
  <c r="FE131" i="8"/>
  <c r="FD131" i="8"/>
  <c r="FI130" i="8"/>
  <c r="FH130" i="8"/>
  <c r="FG130" i="8"/>
  <c r="FF130" i="8"/>
  <c r="FE130" i="8"/>
  <c r="FD130" i="8"/>
  <c r="FI129" i="8"/>
  <c r="FH129" i="8"/>
  <c r="FG129" i="8"/>
  <c r="FF129" i="8"/>
  <c r="FE129" i="8"/>
  <c r="FD129" i="8"/>
  <c r="FI128" i="8"/>
  <c r="FH128" i="8"/>
  <c r="FG128" i="8"/>
  <c r="FF128" i="8"/>
  <c r="FE128" i="8"/>
  <c r="FD128" i="8"/>
  <c r="FI127" i="8"/>
  <c r="FH127" i="8"/>
  <c r="FG127" i="8"/>
  <c r="FF127" i="8"/>
  <c r="FE127" i="8"/>
  <c r="FD127" i="8"/>
  <c r="FI126" i="8"/>
  <c r="FH126" i="8"/>
  <c r="FG126" i="8"/>
  <c r="FF126" i="8"/>
  <c r="FE126" i="8"/>
  <c r="FD126" i="8"/>
  <c r="FI125" i="8"/>
  <c r="FH125" i="8"/>
  <c r="FG125" i="8"/>
  <c r="FF125" i="8"/>
  <c r="FE125" i="8"/>
  <c r="FD125" i="8"/>
  <c r="FI124" i="8"/>
  <c r="FH124" i="8"/>
  <c r="FG124" i="8"/>
  <c r="FF124" i="8"/>
  <c r="FE124" i="8"/>
  <c r="FD124" i="8"/>
  <c r="FI123" i="8"/>
  <c r="FH123" i="8"/>
  <c r="FG123" i="8"/>
  <c r="FF123" i="8"/>
  <c r="FE123" i="8"/>
  <c r="FD123" i="8"/>
  <c r="FI122" i="8"/>
  <c r="FH122" i="8"/>
  <c r="FG122" i="8"/>
  <c r="FF122" i="8"/>
  <c r="FE122" i="8"/>
  <c r="FD122" i="8"/>
  <c r="FI121" i="8"/>
  <c r="FH121" i="8"/>
  <c r="FG121" i="8"/>
  <c r="FF121" i="8"/>
  <c r="FE121" i="8"/>
  <c r="FD121" i="8"/>
  <c r="FI120" i="8"/>
  <c r="FH120" i="8"/>
  <c r="FG120" i="8"/>
  <c r="FF120" i="8"/>
  <c r="FE120" i="8"/>
  <c r="FD120" i="8"/>
  <c r="FI119" i="8"/>
  <c r="FH119" i="8"/>
  <c r="FG119" i="8"/>
  <c r="FF119" i="8"/>
  <c r="FE119" i="8"/>
  <c r="FD119" i="8"/>
  <c r="FI118" i="8"/>
  <c r="FH118" i="8"/>
  <c r="FG118" i="8"/>
  <c r="FF118" i="8"/>
  <c r="FE118" i="8"/>
  <c r="FD118" i="8"/>
  <c r="FI117" i="8"/>
  <c r="FH117" i="8"/>
  <c r="FG117" i="8"/>
  <c r="FF117" i="8"/>
  <c r="FE117" i="8"/>
  <c r="FD117" i="8"/>
  <c r="FI116" i="8"/>
  <c r="FH116" i="8"/>
  <c r="FG116" i="8"/>
  <c r="FF116" i="8"/>
  <c r="FE116" i="8"/>
  <c r="FD116" i="8"/>
  <c r="FI115" i="8"/>
  <c r="FH115" i="8"/>
  <c r="FG115" i="8"/>
  <c r="FF115" i="8"/>
  <c r="FE115" i="8"/>
  <c r="FD115" i="8"/>
  <c r="FI114" i="8"/>
  <c r="FH114" i="8"/>
  <c r="FG114" i="8"/>
  <c r="FF114" i="8"/>
  <c r="FE114" i="8"/>
  <c r="FD114" i="8"/>
  <c r="FI113" i="8"/>
  <c r="FH113" i="8"/>
  <c r="FG113" i="8"/>
  <c r="FF113" i="8"/>
  <c r="FE113" i="8"/>
  <c r="FD113" i="8"/>
  <c r="FI112" i="8"/>
  <c r="FG112" i="8"/>
  <c r="FF112" i="8"/>
  <c r="FE112" i="8"/>
  <c r="FD112" i="8"/>
  <c r="FI111" i="8"/>
  <c r="FH111" i="8"/>
  <c r="FG111" i="8"/>
  <c r="FF111" i="8"/>
  <c r="FE111" i="8"/>
  <c r="FD111" i="8"/>
  <c r="FI110" i="8"/>
  <c r="FG110" i="8"/>
  <c r="FF110" i="8"/>
  <c r="FE110" i="8"/>
  <c r="FD110" i="8"/>
  <c r="FI109" i="8"/>
  <c r="FG109" i="8"/>
  <c r="FF109" i="8"/>
  <c r="FE109" i="8"/>
  <c r="FD109" i="8"/>
  <c r="FI108" i="8"/>
  <c r="FG108" i="8"/>
  <c r="FF108" i="8"/>
  <c r="FE108" i="8"/>
  <c r="FD108" i="8"/>
  <c r="FI107" i="8"/>
  <c r="FG107" i="8"/>
  <c r="FF107" i="8"/>
  <c r="FE107" i="8"/>
  <c r="FD107" i="8"/>
  <c r="CK107" i="8"/>
  <c r="FI106" i="8"/>
  <c r="FG106" i="8"/>
  <c r="FF106" i="8"/>
  <c r="FE106" i="8"/>
  <c r="FD106" i="8"/>
  <c r="CK106" i="8"/>
  <c r="FI105" i="8"/>
  <c r="FG105" i="8"/>
  <c r="FF105" i="8"/>
  <c r="FE105" i="8"/>
  <c r="FD105" i="8"/>
  <c r="CK105" i="8"/>
  <c r="CE105" i="8"/>
  <c r="FI104" i="8"/>
  <c r="FG104" i="8"/>
  <c r="FF104" i="8"/>
  <c r="FE104" i="8"/>
  <c r="FD104" i="8"/>
  <c r="FI103" i="8"/>
  <c r="FG103" i="8"/>
  <c r="FF103" i="8"/>
  <c r="FE103" i="8"/>
  <c r="FD103" i="8"/>
  <c r="FI102" i="8"/>
  <c r="FG102" i="8"/>
  <c r="FF102" i="8"/>
  <c r="FE102" i="8"/>
  <c r="FD102" i="8"/>
  <c r="FI101" i="8"/>
  <c r="FG101" i="8"/>
  <c r="FF101" i="8"/>
  <c r="FE101" i="8"/>
  <c r="FD101" i="8"/>
  <c r="AF37" i="8"/>
  <c r="FH112" i="8" s="1"/>
  <c r="AF36" i="8"/>
  <c r="AF35" i="8"/>
  <c r="FH110" i="8" s="1"/>
  <c r="AF34" i="8"/>
  <c r="FH109" i="8" s="1"/>
  <c r="AF33" i="8"/>
  <c r="FH108" i="8" s="1"/>
  <c r="AF32" i="8"/>
  <c r="FH107" i="8" s="1"/>
  <c r="AF31" i="8"/>
  <c r="FH106" i="8" s="1"/>
  <c r="AF30" i="8"/>
  <c r="FH105" i="8" s="1"/>
  <c r="AF29" i="8"/>
  <c r="FH104" i="8" s="1"/>
  <c r="AF28" i="8"/>
  <c r="FH103" i="8" s="1"/>
  <c r="AF27" i="8"/>
  <c r="FH102" i="8" s="1"/>
  <c r="AF26" i="8"/>
  <c r="FH101" i="8" s="1"/>
  <c r="FI181" i="7"/>
  <c r="FH181" i="7"/>
  <c r="FG181" i="7"/>
  <c r="FF181" i="7"/>
  <c r="FE181" i="7"/>
  <c r="FD181" i="7"/>
  <c r="FI180" i="7"/>
  <c r="FH180" i="7"/>
  <c r="FG180" i="7"/>
  <c r="FF180" i="7"/>
  <c r="FE180" i="7"/>
  <c r="FD180" i="7"/>
  <c r="FI179" i="7"/>
  <c r="FH179" i="7"/>
  <c r="FG179" i="7"/>
  <c r="FF179" i="7"/>
  <c r="FE179" i="7"/>
  <c r="FD179" i="7"/>
  <c r="FI178" i="7"/>
  <c r="FH178" i="7"/>
  <c r="FG178" i="7"/>
  <c r="FF178" i="7"/>
  <c r="FE178" i="7"/>
  <c r="FD178" i="7"/>
  <c r="FI177" i="7"/>
  <c r="FH177" i="7"/>
  <c r="FG177" i="7"/>
  <c r="FF177" i="7"/>
  <c r="FE177" i="7"/>
  <c r="FD177" i="7"/>
  <c r="FI176" i="7"/>
  <c r="FH176" i="7"/>
  <c r="FG176" i="7"/>
  <c r="FF176" i="7"/>
  <c r="FE176" i="7"/>
  <c r="FD176" i="7"/>
  <c r="FI175" i="7"/>
  <c r="FH175" i="7"/>
  <c r="FG175" i="7"/>
  <c r="FF175" i="7"/>
  <c r="FE175" i="7"/>
  <c r="FD175" i="7"/>
  <c r="FI174" i="7"/>
  <c r="FH174" i="7"/>
  <c r="FG174" i="7"/>
  <c r="FF174" i="7"/>
  <c r="FE174" i="7"/>
  <c r="FD174" i="7"/>
  <c r="FI173" i="7"/>
  <c r="FH173" i="7"/>
  <c r="FG173" i="7"/>
  <c r="FF173" i="7"/>
  <c r="FE173" i="7"/>
  <c r="FD173" i="7"/>
  <c r="FI172" i="7"/>
  <c r="FH172" i="7"/>
  <c r="FG172" i="7"/>
  <c r="FF172" i="7"/>
  <c r="FE172" i="7"/>
  <c r="FD172" i="7"/>
  <c r="FI171" i="7"/>
  <c r="FH171" i="7"/>
  <c r="FG171" i="7"/>
  <c r="FF171" i="7"/>
  <c r="FE171" i="7"/>
  <c r="FD171" i="7"/>
  <c r="FI170" i="7"/>
  <c r="FH170" i="7"/>
  <c r="FG170" i="7"/>
  <c r="FF170" i="7"/>
  <c r="FE170" i="7"/>
  <c r="FD170" i="7"/>
  <c r="FI169" i="7"/>
  <c r="FH169" i="7"/>
  <c r="FG169" i="7"/>
  <c r="FF169" i="7"/>
  <c r="FE169" i="7"/>
  <c r="FD169" i="7"/>
  <c r="FI168" i="7"/>
  <c r="FH168" i="7"/>
  <c r="FG168" i="7"/>
  <c r="FF168" i="7"/>
  <c r="FE168" i="7"/>
  <c r="FD168" i="7"/>
  <c r="FI167" i="7"/>
  <c r="FH167" i="7"/>
  <c r="FG167" i="7"/>
  <c r="FF167" i="7"/>
  <c r="FE167" i="7"/>
  <c r="FD167" i="7"/>
  <c r="FI166" i="7"/>
  <c r="FH166" i="7"/>
  <c r="FG166" i="7"/>
  <c r="FF166" i="7"/>
  <c r="FE166" i="7"/>
  <c r="FD166" i="7"/>
  <c r="FI165" i="7"/>
  <c r="FH165" i="7"/>
  <c r="FG165" i="7"/>
  <c r="FF165" i="7"/>
  <c r="FE165" i="7"/>
  <c r="FD165" i="7"/>
  <c r="FI164" i="7"/>
  <c r="FH164" i="7"/>
  <c r="FG164" i="7"/>
  <c r="FF164" i="7"/>
  <c r="FE164" i="7"/>
  <c r="FD164" i="7"/>
  <c r="FI163" i="7"/>
  <c r="FH163" i="7"/>
  <c r="FG163" i="7"/>
  <c r="FF163" i="7"/>
  <c r="FE163" i="7"/>
  <c r="FD163" i="7"/>
  <c r="FI162" i="7"/>
  <c r="FH162" i="7"/>
  <c r="FG162" i="7"/>
  <c r="FF162" i="7"/>
  <c r="FE162" i="7"/>
  <c r="FD162" i="7"/>
  <c r="FI161" i="7"/>
  <c r="FH161" i="7"/>
  <c r="FG161" i="7"/>
  <c r="FF161" i="7"/>
  <c r="FE161" i="7"/>
  <c r="FD161" i="7"/>
  <c r="FI160" i="7"/>
  <c r="FH160" i="7"/>
  <c r="FG160" i="7"/>
  <c r="FF160" i="7"/>
  <c r="FE160" i="7"/>
  <c r="FD160" i="7"/>
  <c r="FI159" i="7"/>
  <c r="FH159" i="7"/>
  <c r="FG159" i="7"/>
  <c r="FF159" i="7"/>
  <c r="FE159" i="7"/>
  <c r="FD159" i="7"/>
  <c r="FI158" i="7"/>
  <c r="FH158" i="7"/>
  <c r="FG158" i="7"/>
  <c r="FF158" i="7"/>
  <c r="FE158" i="7"/>
  <c r="FD158" i="7"/>
  <c r="FI157" i="7"/>
  <c r="FH157" i="7"/>
  <c r="FG157" i="7"/>
  <c r="FF157" i="7"/>
  <c r="FE157" i="7"/>
  <c r="FD157" i="7"/>
  <c r="FI156" i="7"/>
  <c r="FH156" i="7"/>
  <c r="FG156" i="7"/>
  <c r="FF156" i="7"/>
  <c r="FE156" i="7"/>
  <c r="FD156" i="7"/>
  <c r="FI155" i="7"/>
  <c r="FH155" i="7"/>
  <c r="FG155" i="7"/>
  <c r="FF155" i="7"/>
  <c r="FE155" i="7"/>
  <c r="FD155" i="7"/>
  <c r="FI154" i="7"/>
  <c r="FH154" i="7"/>
  <c r="FG154" i="7"/>
  <c r="FF154" i="7"/>
  <c r="FE154" i="7"/>
  <c r="FD154" i="7"/>
  <c r="FI153" i="7"/>
  <c r="FH153" i="7"/>
  <c r="FG153" i="7"/>
  <c r="FF153" i="7"/>
  <c r="FE153" i="7"/>
  <c r="FD153" i="7"/>
  <c r="FI152" i="7"/>
  <c r="FH152" i="7"/>
  <c r="FG152" i="7"/>
  <c r="FF152" i="7"/>
  <c r="FE152" i="7"/>
  <c r="FD152" i="7"/>
  <c r="FI151" i="7"/>
  <c r="FH151" i="7"/>
  <c r="FG151" i="7"/>
  <c r="FF151" i="7"/>
  <c r="FE151" i="7"/>
  <c r="FD151" i="7"/>
  <c r="FI150" i="7"/>
  <c r="FH150" i="7"/>
  <c r="FG150" i="7"/>
  <c r="FF150" i="7"/>
  <c r="FE150" i="7"/>
  <c r="FD150" i="7"/>
  <c r="FI149" i="7"/>
  <c r="FH149" i="7"/>
  <c r="FG149" i="7"/>
  <c r="FF149" i="7"/>
  <c r="FE149" i="7"/>
  <c r="FD149" i="7"/>
  <c r="FI148" i="7"/>
  <c r="FH148" i="7"/>
  <c r="FG148" i="7"/>
  <c r="FF148" i="7"/>
  <c r="FE148" i="7"/>
  <c r="FD148" i="7"/>
  <c r="FI147" i="7"/>
  <c r="FH147" i="7"/>
  <c r="FG147" i="7"/>
  <c r="FF147" i="7"/>
  <c r="FE147" i="7"/>
  <c r="FD147" i="7"/>
  <c r="FI146" i="7"/>
  <c r="FH146" i="7"/>
  <c r="FG146" i="7"/>
  <c r="FF146" i="7"/>
  <c r="FE146" i="7"/>
  <c r="FD146" i="7"/>
  <c r="FI145" i="7"/>
  <c r="FH145" i="7"/>
  <c r="FG145" i="7"/>
  <c r="FF145" i="7"/>
  <c r="FE145" i="7"/>
  <c r="FD145" i="7"/>
  <c r="FI144" i="7"/>
  <c r="FH144" i="7"/>
  <c r="FG144" i="7"/>
  <c r="FF144" i="7"/>
  <c r="FE144" i="7"/>
  <c r="FD144" i="7"/>
  <c r="FI143" i="7"/>
  <c r="FH143" i="7"/>
  <c r="FG143" i="7"/>
  <c r="FF143" i="7"/>
  <c r="FE143" i="7"/>
  <c r="FD143" i="7"/>
  <c r="FI142" i="7"/>
  <c r="FH142" i="7"/>
  <c r="FG142" i="7"/>
  <c r="FF142" i="7"/>
  <c r="FE142" i="7"/>
  <c r="FD142" i="7"/>
  <c r="FI141" i="7"/>
  <c r="FH141" i="7"/>
  <c r="FG141" i="7"/>
  <c r="FF141" i="7"/>
  <c r="FE141" i="7"/>
  <c r="FD141" i="7"/>
  <c r="FI140" i="7"/>
  <c r="FH140" i="7"/>
  <c r="FG140" i="7"/>
  <c r="FF140" i="7"/>
  <c r="FE140" i="7"/>
  <c r="FD140" i="7"/>
  <c r="FI139" i="7"/>
  <c r="FH139" i="7"/>
  <c r="FG139" i="7"/>
  <c r="FF139" i="7"/>
  <c r="FE139" i="7"/>
  <c r="FD139" i="7"/>
  <c r="FI138" i="7"/>
  <c r="FH138" i="7"/>
  <c r="FG138" i="7"/>
  <c r="FF138" i="7"/>
  <c r="FE138" i="7"/>
  <c r="FD138" i="7"/>
  <c r="FI137" i="7"/>
  <c r="FH137" i="7"/>
  <c r="FG137" i="7"/>
  <c r="FF137" i="7"/>
  <c r="FE137" i="7"/>
  <c r="FD137" i="7"/>
  <c r="FI136" i="7"/>
  <c r="FH136" i="7"/>
  <c r="FG136" i="7"/>
  <c r="FF136" i="7"/>
  <c r="FE136" i="7"/>
  <c r="FD136" i="7"/>
  <c r="FI135" i="7"/>
  <c r="FH135" i="7"/>
  <c r="FG135" i="7"/>
  <c r="FF135" i="7"/>
  <c r="FE135" i="7"/>
  <c r="FD135" i="7"/>
  <c r="FI134" i="7"/>
  <c r="FH134" i="7"/>
  <c r="FG134" i="7"/>
  <c r="FF134" i="7"/>
  <c r="FE134" i="7"/>
  <c r="FD134" i="7"/>
  <c r="FI133" i="7"/>
  <c r="FH133" i="7"/>
  <c r="FG133" i="7"/>
  <c r="FF133" i="7"/>
  <c r="FE133" i="7"/>
  <c r="FD133" i="7"/>
  <c r="FI132" i="7"/>
  <c r="FH132" i="7"/>
  <c r="FG132" i="7"/>
  <c r="FF132" i="7"/>
  <c r="FE132" i="7"/>
  <c r="FD132" i="7"/>
  <c r="FI131" i="7"/>
  <c r="FH131" i="7"/>
  <c r="FG131" i="7"/>
  <c r="FF131" i="7"/>
  <c r="FE131" i="7"/>
  <c r="FD131" i="7"/>
  <c r="FI130" i="7"/>
  <c r="FH130" i="7"/>
  <c r="FG130" i="7"/>
  <c r="FF130" i="7"/>
  <c r="FE130" i="7"/>
  <c r="FD130" i="7"/>
  <c r="FI129" i="7"/>
  <c r="FH129" i="7"/>
  <c r="FG129" i="7"/>
  <c r="FF129" i="7"/>
  <c r="FE129" i="7"/>
  <c r="FD129" i="7"/>
  <c r="FI128" i="7"/>
  <c r="FH128" i="7"/>
  <c r="FG128" i="7"/>
  <c r="FF128" i="7"/>
  <c r="FE128" i="7"/>
  <c r="FD128" i="7"/>
  <c r="FI127" i="7"/>
  <c r="FH127" i="7"/>
  <c r="FG127" i="7"/>
  <c r="FF127" i="7"/>
  <c r="FE127" i="7"/>
  <c r="FD127" i="7"/>
  <c r="FI126" i="7"/>
  <c r="FH126" i="7"/>
  <c r="FG126" i="7"/>
  <c r="FF126" i="7"/>
  <c r="FE126" i="7"/>
  <c r="FD126" i="7"/>
  <c r="FI125" i="7"/>
  <c r="FH125" i="7"/>
  <c r="FG125" i="7"/>
  <c r="FF125" i="7"/>
  <c r="FE125" i="7"/>
  <c r="FD125" i="7"/>
  <c r="FI124" i="7"/>
  <c r="FH124" i="7"/>
  <c r="FG124" i="7"/>
  <c r="FF124" i="7"/>
  <c r="FE124" i="7"/>
  <c r="FD124" i="7"/>
  <c r="FI123" i="7"/>
  <c r="FH123" i="7"/>
  <c r="FG123" i="7"/>
  <c r="FF123" i="7"/>
  <c r="FE123" i="7"/>
  <c r="FD123" i="7"/>
  <c r="FI122" i="7"/>
  <c r="FH122" i="7"/>
  <c r="FG122" i="7"/>
  <c r="FF122" i="7"/>
  <c r="FE122" i="7"/>
  <c r="FD122" i="7"/>
  <c r="FI121" i="7"/>
  <c r="FH121" i="7"/>
  <c r="FG121" i="7"/>
  <c r="FF121" i="7"/>
  <c r="FE121" i="7"/>
  <c r="FD121" i="7"/>
  <c r="FI120" i="7"/>
  <c r="FH120" i="7"/>
  <c r="FG120" i="7"/>
  <c r="FF120" i="7"/>
  <c r="FE120" i="7"/>
  <c r="FD120" i="7"/>
  <c r="FI119" i="7"/>
  <c r="FH119" i="7"/>
  <c r="FG119" i="7"/>
  <c r="FF119" i="7"/>
  <c r="FE119" i="7"/>
  <c r="FD119" i="7"/>
  <c r="FI118" i="7"/>
  <c r="FH118" i="7"/>
  <c r="FG118" i="7"/>
  <c r="FF118" i="7"/>
  <c r="FE118" i="7"/>
  <c r="FD118" i="7"/>
  <c r="FI117" i="7"/>
  <c r="FH117" i="7"/>
  <c r="FG117" i="7"/>
  <c r="FF117" i="7"/>
  <c r="FE117" i="7"/>
  <c r="FD117" i="7"/>
  <c r="FI116" i="7"/>
  <c r="FH116" i="7"/>
  <c r="FG116" i="7"/>
  <c r="FF116" i="7"/>
  <c r="FE116" i="7"/>
  <c r="FD116" i="7"/>
  <c r="FI115" i="7"/>
  <c r="FH115" i="7"/>
  <c r="FG115" i="7"/>
  <c r="FF115" i="7"/>
  <c r="FE115" i="7"/>
  <c r="FD115" i="7"/>
  <c r="FI114" i="7"/>
  <c r="FH114" i="7"/>
  <c r="FG114" i="7"/>
  <c r="FF114" i="7"/>
  <c r="FE114" i="7"/>
  <c r="FD114" i="7"/>
  <c r="FI113" i="7"/>
  <c r="FH113" i="7"/>
  <c r="FG113" i="7"/>
  <c r="FF113" i="7"/>
  <c r="FE113" i="7"/>
  <c r="FD113" i="7"/>
  <c r="FI112" i="7"/>
  <c r="FG112" i="7"/>
  <c r="FF112" i="7"/>
  <c r="FE112" i="7"/>
  <c r="FD112" i="7"/>
  <c r="FI111" i="7"/>
  <c r="FG111" i="7"/>
  <c r="FF111" i="7"/>
  <c r="FE111" i="7"/>
  <c r="FD111" i="7"/>
  <c r="FI110" i="7"/>
  <c r="FG110" i="7"/>
  <c r="FF110" i="7"/>
  <c r="FE110" i="7"/>
  <c r="FD110" i="7"/>
  <c r="FI109" i="7"/>
  <c r="FG109" i="7"/>
  <c r="FF109" i="7"/>
  <c r="FE109" i="7"/>
  <c r="FD109" i="7"/>
  <c r="FI108" i="7"/>
  <c r="FG108" i="7"/>
  <c r="FF108" i="7"/>
  <c r="FE108" i="7"/>
  <c r="FD108" i="7"/>
  <c r="FI107" i="7"/>
  <c r="FG107" i="7"/>
  <c r="FF107" i="7"/>
  <c r="FE107" i="7"/>
  <c r="FD107" i="7"/>
  <c r="CK107" i="7"/>
  <c r="FI106" i="7"/>
  <c r="FG106" i="7"/>
  <c r="FF106" i="7"/>
  <c r="FE106" i="7"/>
  <c r="FD106" i="7"/>
  <c r="CK106" i="7"/>
  <c r="FI105" i="7"/>
  <c r="FG105" i="7"/>
  <c r="FF105" i="7"/>
  <c r="FE105" i="7"/>
  <c r="FD105" i="7"/>
  <c r="CK105" i="7"/>
  <c r="CE105" i="7"/>
  <c r="FI104" i="7"/>
  <c r="FG104" i="7"/>
  <c r="FF104" i="7"/>
  <c r="FE104" i="7"/>
  <c r="FD104" i="7"/>
  <c r="FI103" i="7"/>
  <c r="FG103" i="7"/>
  <c r="FF103" i="7"/>
  <c r="FE103" i="7"/>
  <c r="FD103" i="7"/>
  <c r="FI102" i="7"/>
  <c r="FG102" i="7"/>
  <c r="FF102" i="7"/>
  <c r="FE102" i="7"/>
  <c r="FD102" i="7"/>
  <c r="FI101" i="7"/>
  <c r="FG101" i="7"/>
  <c r="FF101" i="7"/>
  <c r="FE101" i="7"/>
  <c r="FD101" i="7"/>
  <c r="AF37" i="7"/>
  <c r="FH112" i="7" s="1"/>
  <c r="AF36" i="7"/>
  <c r="FH111" i="7" s="1"/>
  <c r="AF35" i="7"/>
  <c r="FH110" i="7" s="1"/>
  <c r="AF34" i="7"/>
  <c r="FH109" i="7" s="1"/>
  <c r="AF33" i="7"/>
  <c r="FH108" i="7" s="1"/>
  <c r="AF32" i="7"/>
  <c r="FH107" i="7" s="1"/>
  <c r="AF31" i="7"/>
  <c r="FH106" i="7" s="1"/>
  <c r="AF30" i="7"/>
  <c r="FH105" i="7" s="1"/>
  <c r="AF29" i="7"/>
  <c r="FH104" i="7" s="1"/>
  <c r="AF28" i="7"/>
  <c r="FH103" i="7" s="1"/>
  <c r="AF27" i="7"/>
  <c r="FH102" i="7" s="1"/>
  <c r="AF26" i="7"/>
  <c r="FH101" i="7" s="1"/>
  <c r="FI181" i="6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G112" i="6"/>
  <c r="FF112" i="6"/>
  <c r="FE112" i="6"/>
  <c r="FD112" i="6"/>
  <c r="FI111" i="6"/>
  <c r="FG111" i="6"/>
  <c r="FF111" i="6"/>
  <c r="FE111" i="6"/>
  <c r="FD111" i="6"/>
  <c r="FI110" i="6"/>
  <c r="FG110" i="6"/>
  <c r="FF110" i="6"/>
  <c r="FE110" i="6"/>
  <c r="FD110" i="6"/>
  <c r="FI109" i="6"/>
  <c r="FG109" i="6"/>
  <c r="FF109" i="6"/>
  <c r="FE109" i="6"/>
  <c r="FD109" i="6"/>
  <c r="FI108" i="6"/>
  <c r="FG108" i="6"/>
  <c r="FF108" i="6"/>
  <c r="FE108" i="6"/>
  <c r="FD108" i="6"/>
  <c r="FI107" i="6"/>
  <c r="FG107" i="6"/>
  <c r="FF107" i="6"/>
  <c r="FE107" i="6"/>
  <c r="FD107" i="6"/>
  <c r="CK107" i="6"/>
  <c r="FI106" i="6"/>
  <c r="FH106" i="6"/>
  <c r="FG106" i="6"/>
  <c r="FF106" i="6"/>
  <c r="FE106" i="6"/>
  <c r="FD106" i="6"/>
  <c r="CK106" i="6"/>
  <c r="FI105" i="6"/>
  <c r="FG105" i="6"/>
  <c r="FF105" i="6"/>
  <c r="FE105" i="6"/>
  <c r="FD105" i="6"/>
  <c r="CK105" i="6"/>
  <c r="CE105" i="6"/>
  <c r="FI104" i="6"/>
  <c r="FG104" i="6"/>
  <c r="FF104" i="6"/>
  <c r="FE104" i="6"/>
  <c r="FD104" i="6"/>
  <c r="FI103" i="6"/>
  <c r="FG103" i="6"/>
  <c r="FF103" i="6"/>
  <c r="FE103" i="6"/>
  <c r="FD103" i="6"/>
  <c r="FI102" i="6"/>
  <c r="FG102" i="6"/>
  <c r="FF102" i="6"/>
  <c r="FE102" i="6"/>
  <c r="FD102" i="6"/>
  <c r="FI101" i="6"/>
  <c r="FH101" i="6"/>
  <c r="FG101" i="6"/>
  <c r="FF101" i="6"/>
  <c r="FE101" i="6"/>
  <c r="FD101" i="6"/>
  <c r="AF37" i="6"/>
  <c r="FH112" i="6" s="1"/>
  <c r="AF36" i="6"/>
  <c r="FH111" i="6" s="1"/>
  <c r="AF35" i="6"/>
  <c r="FH110" i="6" s="1"/>
  <c r="AF34" i="6"/>
  <c r="FH109" i="6" s="1"/>
  <c r="AF33" i="6"/>
  <c r="FH108" i="6" s="1"/>
  <c r="AF32" i="6"/>
  <c r="FH107" i="6" s="1"/>
  <c r="AF31" i="6"/>
  <c r="AF30" i="6"/>
  <c r="FH105" i="6" s="1"/>
  <c r="AF29" i="6"/>
  <c r="FH104" i="6" s="1"/>
  <c r="AF28" i="6"/>
  <c r="FH103" i="6" s="1"/>
  <c r="AF27" i="6"/>
  <c r="AF26" i="6"/>
  <c r="AF37" i="1"/>
  <c r="AA38" i="1" s="1"/>
  <c r="H38" i="1" s="1"/>
  <c r="AF36" i="1"/>
  <c r="AF35" i="1"/>
  <c r="AA38" i="10" l="1"/>
  <c r="CK104" i="9"/>
  <c r="CK115" i="9" s="1"/>
  <c r="H38" i="9"/>
  <c r="AA38" i="8"/>
  <c r="AA38" i="7"/>
  <c r="AA38" i="6"/>
  <c r="CK104" i="6" s="1"/>
  <c r="CK115" i="6" s="1"/>
  <c r="P56" i="6" s="1"/>
  <c r="FH102" i="6"/>
  <c r="AF29" i="1"/>
  <c r="AF30" i="1"/>
  <c r="CK104" i="10" l="1"/>
  <c r="CK115" i="10" s="1"/>
  <c r="H38" i="10"/>
  <c r="P56" i="9"/>
  <c r="H39" i="9"/>
  <c r="CK104" i="8"/>
  <c r="CK115" i="8" s="1"/>
  <c r="H38" i="8"/>
  <c r="CK104" i="7"/>
  <c r="CK115" i="7" s="1"/>
  <c r="H38" i="7"/>
  <c r="H38" i="6"/>
  <c r="H39" i="6" s="1"/>
  <c r="J20" i="6" s="1"/>
  <c r="AF28" i="1"/>
  <c r="P56" i="10" l="1"/>
  <c r="H39" i="10"/>
  <c r="J20" i="9"/>
  <c r="J19" i="9"/>
  <c r="H39" i="8"/>
  <c r="P56" i="8"/>
  <c r="P56" i="7"/>
  <c r="H39" i="7"/>
  <c r="J19" i="6"/>
  <c r="AF32" i="1"/>
  <c r="AF31" i="1"/>
  <c r="AF27" i="1"/>
  <c r="J19" i="10" l="1"/>
  <c r="J20" i="10"/>
  <c r="J20" i="8"/>
  <c r="J19" i="8"/>
  <c r="J20" i="7"/>
  <c r="J19" i="7"/>
  <c r="AF33" i="1"/>
  <c r="FH110" i="1" l="1"/>
  <c r="AF34" i="1"/>
  <c r="FH109" i="1" s="1"/>
  <c r="FH112" i="1"/>
  <c r="FH106" i="1"/>
  <c r="FH105" i="1"/>
  <c r="FH104" i="1"/>
  <c r="FH103" i="1"/>
  <c r="FH102" i="1"/>
  <c r="AF26" i="1"/>
  <c r="FH101" i="1" s="1"/>
  <c r="FH107" i="1"/>
  <c r="FH108" i="1"/>
  <c r="FH135" i="1"/>
  <c r="FH134" i="1"/>
  <c r="FH132" i="1"/>
  <c r="FH130" i="1"/>
  <c r="FH127" i="1"/>
  <c r="FH126" i="1"/>
  <c r="FH125" i="1"/>
  <c r="FH124" i="1"/>
  <c r="FH123" i="1"/>
  <c r="FH122" i="1"/>
  <c r="FH120" i="1"/>
  <c r="FH119" i="1"/>
  <c r="FH118" i="1"/>
  <c r="FH117" i="1"/>
  <c r="FH116" i="1"/>
  <c r="FH115" i="1"/>
  <c r="FH114" i="1"/>
  <c r="FH113" i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K104" i="1" l="1"/>
  <c r="CK115" i="1" s="1"/>
  <c r="H39" i="1" l="1"/>
  <c r="J19" i="1" s="1"/>
  <c r="P56" i="1"/>
  <c r="J20" i="1"/>
</calcChain>
</file>

<file path=xl/sharedStrings.xml><?xml version="1.0" encoding="utf-8"?>
<sst xmlns="http://schemas.openxmlformats.org/spreadsheetml/2006/main" count="794" uniqueCount="165">
  <si>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</si>
  <si>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</si>
  <si>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</si>
  <si>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</si>
  <si>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</si>
  <si>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</si>
  <si>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</si>
  <si>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</si>
  <si>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</si>
  <si>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</si>
  <si>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</si>
  <si>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</si>
  <si>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</si>
  <si>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</si>
  <si>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</si>
  <si>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</si>
  <si>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</si>
  <si>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</si>
  <si>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</si>
  <si>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</si>
  <si>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</si>
  <si>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</si>
  <si>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</si>
  <si>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</si>
  <si>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</si>
  <si>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</si>
  <si>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</si>
  <si>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</si>
  <si>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</si>
  <si>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</si>
  <si>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</si>
  <si>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</si>
  <si>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</si>
  <si>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</si>
  <si>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</si>
  <si>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</si>
  <si>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</si>
  <si>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</si>
  <si>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</si>
  <si>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</si>
  <si>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</si>
  <si>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</si>
  <si>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</si>
  <si>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</si>
  <si>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</si>
  <si>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</si>
  <si>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</si>
  <si>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</si>
  <si>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</si>
  <si>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</si>
  <si>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</si>
  <si>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</si>
  <si>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</si>
  <si>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</si>
  <si>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</si>
  <si>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</si>
  <si>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</si>
  <si>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</si>
  <si>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</si>
  <si>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</si>
  <si>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</si>
  <si>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</si>
  <si>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</si>
  <si>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</si>
  <si>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</si>
  <si>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</si>
  <si>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</si>
  <si>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</si>
  <si>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</si>
  <si>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</si>
  <si>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</si>
  <si>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</si>
  <si>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</si>
  <si>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</si>
  <si>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</si>
  <si>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</si>
  <si>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</si>
  <si>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</si>
  <si>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</si>
  <si>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</si>
  <si>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</si>
  <si>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</si>
  <si>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</si>
  <si>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</si>
  <si>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00-F-20-75-29-7C</t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</si>
  <si>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</si>
  <si>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</si>
  <si>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</si>
  <si>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</si>
  <si>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</si>
  <si>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</si>
  <si>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</si>
  <si>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貴社指定場所</t>
    <rPh sb="0" eb="2">
      <t>キシャ</t>
    </rPh>
    <rPh sb="2" eb="6">
      <t>シテイバショ</t>
    </rPh>
    <phoneticPr fontId="4"/>
  </si>
  <si>
    <t>茨城営業所内</t>
    <rPh sb="0" eb="2">
      <t>イバラギ</t>
    </rPh>
    <rPh sb="2" eb="5">
      <t>エイギョウショ</t>
    </rPh>
    <rPh sb="5" eb="6">
      <t>ナイ</t>
    </rPh>
    <phoneticPr fontId="4"/>
  </si>
  <si>
    <t>岐阜市内客先</t>
    <rPh sb="0" eb="3">
      <t>ギフシ</t>
    </rPh>
    <rPh sb="3" eb="4">
      <t>ナイ</t>
    </rPh>
    <rPh sb="4" eb="6">
      <t>キャクサキ</t>
    </rPh>
    <phoneticPr fontId="4"/>
  </si>
  <si>
    <t>横浜市内客先</t>
    <rPh sb="0" eb="3">
      <t>ヨコハマシ</t>
    </rPh>
    <rPh sb="3" eb="4">
      <t>ナイ</t>
    </rPh>
    <phoneticPr fontId="4"/>
  </si>
  <si>
    <t>岡崎市内客先</t>
    <rPh sb="0" eb="4">
      <t>オカザキシナイ</t>
    </rPh>
    <phoneticPr fontId="4"/>
  </si>
  <si>
    <t>函館市内客先</t>
    <rPh sb="0" eb="4">
      <t>ハコダテシナイ</t>
    </rPh>
    <phoneticPr fontId="4"/>
  </si>
  <si>
    <t>四日市市内客先</t>
    <rPh sb="0" eb="5">
      <t>ヨッカイチシナイ</t>
    </rPh>
    <phoneticPr fontId="4"/>
  </si>
  <si>
    <t>行田市内客先</t>
    <rPh sb="0" eb="1">
      <t>イ</t>
    </rPh>
    <rPh sb="1" eb="2">
      <t>タ</t>
    </rPh>
    <rPh sb="2" eb="3">
      <t>シ</t>
    </rPh>
    <rPh sb="3" eb="4">
      <t>ナイ</t>
    </rPh>
    <phoneticPr fontId="4"/>
  </si>
  <si>
    <t>大阪市内客先</t>
    <rPh sb="0" eb="4">
      <t>オオサカシナイ</t>
    </rPh>
    <phoneticPr fontId="4"/>
  </si>
  <si>
    <t>千葉県内客先</t>
    <rPh sb="0" eb="4">
      <t>チバケンナイ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</si>
  <si>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</si>
  <si>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〒160-8511</t>
    <phoneticPr fontId="4"/>
  </si>
  <si>
    <t>東京都新宿区四谷4-1</t>
    <phoneticPr fontId="4"/>
  </si>
  <si>
    <t>加工デモ＝送料設置操作講習同日開催となります。</t>
    <rPh sb="0" eb="2">
      <t>カコウ</t>
    </rPh>
    <phoneticPr fontId="4"/>
  </si>
  <si>
    <t>東京都内</t>
    <rPh sb="0" eb="4">
      <t>トウキョウトナイ</t>
    </rPh>
    <phoneticPr fontId="4"/>
  </si>
  <si>
    <t>４トン車、駐車代別途</t>
    <rPh sb="3" eb="4">
      <t>シャ</t>
    </rPh>
    <rPh sb="5" eb="10">
      <t>チュウシャダイベット</t>
    </rPh>
    <phoneticPr fontId="4"/>
  </si>
  <si>
    <t>新潟市内</t>
    <rPh sb="0" eb="2">
      <t>ニイガタ</t>
    </rPh>
    <rPh sb="2" eb="4">
      <t>シナイ</t>
    </rPh>
    <phoneticPr fontId="4"/>
  </si>
  <si>
    <t>FL-LCW 1500w加工デモ　二泊三日　ハイエース使用</t>
    <rPh sb="12" eb="14">
      <t>カコウ</t>
    </rPh>
    <rPh sb="17" eb="21">
      <t>ニハクミッカ</t>
    </rPh>
    <rPh sb="27" eb="29">
      <t>シヨウ</t>
    </rPh>
    <phoneticPr fontId="4"/>
  </si>
  <si>
    <t>FL-LCW 1500w加工デモ　一泊二日　ハイエース使用</t>
    <rPh sb="12" eb="14">
      <t>カコウ</t>
    </rPh>
    <phoneticPr fontId="4"/>
  </si>
  <si>
    <t>FL-LCW 1500w　加工デモ　日帰り　ハイエース使用</t>
    <rPh sb="13" eb="15">
      <t>カコウ</t>
    </rPh>
    <rPh sb="18" eb="20">
      <t>ヒガエ</t>
    </rPh>
    <phoneticPr fontId="4"/>
  </si>
  <si>
    <t>FL-LCW 1500w　加工デモ　一泊二日　公共交通</t>
    <rPh sb="13" eb="15">
      <t>カコウ</t>
    </rPh>
    <rPh sb="23" eb="27">
      <t>コウキョウコウツウ</t>
    </rPh>
    <phoneticPr fontId="4"/>
  </si>
  <si>
    <t>FL-LCW 1500w加工デモ　一泊二日　　公共交通</t>
    <rPh sb="12" eb="14">
      <t>カコウ</t>
    </rPh>
    <rPh sb="17" eb="21">
      <t>イッパクフツカ</t>
    </rPh>
    <phoneticPr fontId="4"/>
  </si>
  <si>
    <t>FL-LCW 1500w　加工デモ　一泊二日　公共交通</t>
    <rPh sb="13" eb="15">
      <t>カコウ</t>
    </rPh>
    <phoneticPr fontId="4"/>
  </si>
  <si>
    <t>FL-LCW 1500w　加工デモ　一泊二日　　公共交通</t>
    <rPh sb="13" eb="15">
      <t>カコウ</t>
    </rPh>
    <phoneticPr fontId="4"/>
  </si>
  <si>
    <t>FL-LCW 1500w　加工デモ　一泊二日　　公共交通</t>
    <rPh sb="13" eb="15">
      <t>カコウ</t>
    </rPh>
    <rPh sb="18" eb="22">
      <t>イッパクフツカ</t>
    </rPh>
    <phoneticPr fontId="4"/>
  </si>
  <si>
    <t>FL2504075</t>
    <phoneticPr fontId="4"/>
  </si>
  <si>
    <t>福島県内</t>
    <rPh sb="0" eb="3">
      <t>フクシマケン</t>
    </rPh>
    <rPh sb="3" eb="4">
      <t>ナイ</t>
    </rPh>
    <phoneticPr fontId="4"/>
  </si>
  <si>
    <t>長野県伊那市</t>
    <phoneticPr fontId="4"/>
  </si>
  <si>
    <t>FL-LCW 1500w搬入講習費二泊三日　社用車</t>
    <rPh sb="12" eb="14">
      <t>ハンニュウ</t>
    </rPh>
    <rPh sb="14" eb="16">
      <t>コウシュウ</t>
    </rPh>
    <rPh sb="16" eb="17">
      <t>ヒ</t>
    </rPh>
    <rPh sb="17" eb="21">
      <t>ニハクミッカ</t>
    </rPh>
    <rPh sb="22" eb="25">
      <t>シャヨウシャ</t>
    </rPh>
    <phoneticPr fontId="4"/>
  </si>
  <si>
    <t>FL-LCW 1500w搬入講習費一泊二日　社用車</t>
    <rPh sb="12" eb="14">
      <t>ハンニュウ</t>
    </rPh>
    <rPh sb="14" eb="16">
      <t>コウシュウ</t>
    </rPh>
    <rPh sb="16" eb="17">
      <t>ヒ</t>
    </rPh>
    <rPh sb="17" eb="21">
      <t>イッパクフツカ</t>
    </rPh>
    <phoneticPr fontId="4"/>
  </si>
  <si>
    <t>FL-LCW 1500w搬入講習費一泊二日　公共</t>
    <rPh sb="12" eb="14">
      <t>ハンニュウ</t>
    </rPh>
    <rPh sb="14" eb="16">
      <t>コウシュウ</t>
    </rPh>
    <rPh sb="16" eb="17">
      <t>ヒ</t>
    </rPh>
    <rPh sb="17" eb="21">
      <t>イッパクフツカ</t>
    </rPh>
    <rPh sb="22" eb="24">
      <t>コウキョウ</t>
    </rPh>
    <phoneticPr fontId="4"/>
  </si>
  <si>
    <t>仙台市</t>
    <rPh sb="0" eb="3">
      <t>センダイシ</t>
    </rPh>
    <phoneticPr fontId="4"/>
  </si>
  <si>
    <t>名古屋支店</t>
    <phoneticPr fontId="4"/>
  </si>
  <si>
    <t>高山市組合向け</t>
    <phoneticPr fontId="4"/>
  </si>
  <si>
    <t>FL-LCW1500wデモ機持参講習社用車使用日帰平日</t>
    <rPh sb="13" eb="16">
      <t>キジサン</t>
    </rPh>
    <rPh sb="16" eb="18">
      <t>コウシュウ</t>
    </rPh>
    <rPh sb="18" eb="20">
      <t>シャヨウ</t>
    </rPh>
    <rPh sb="20" eb="21">
      <t>シャ</t>
    </rPh>
    <rPh sb="21" eb="23">
      <t>シヨウ</t>
    </rPh>
    <rPh sb="23" eb="25">
      <t>ヒガエ</t>
    </rPh>
    <rPh sb="25" eb="27">
      <t>ヘイジツ</t>
    </rPh>
    <phoneticPr fontId="4"/>
  </si>
  <si>
    <t>FL-LCW1500wデモ機持参講習社用車使用日帰土日</t>
    <rPh sb="13" eb="16">
      <t>キジサン</t>
    </rPh>
    <rPh sb="16" eb="18">
      <t>コウシュウ</t>
    </rPh>
    <rPh sb="18" eb="20">
      <t>シャヨウ</t>
    </rPh>
    <rPh sb="20" eb="21">
      <t>シャ</t>
    </rPh>
    <rPh sb="21" eb="23">
      <t>シヨウ</t>
    </rPh>
    <rPh sb="23" eb="25">
      <t>ヒガエ</t>
    </rPh>
    <rPh sb="25" eb="27">
      <t>ドニチ</t>
    </rPh>
    <phoneticPr fontId="4"/>
  </si>
  <si>
    <t>石川県金沢市</t>
    <phoneticPr fontId="4"/>
  </si>
  <si>
    <t>FL-LCW1500w　新品購入持参　一泊二日　社用車</t>
    <rPh sb="12" eb="16">
      <t>シンピンコウニュウ</t>
    </rPh>
    <rPh sb="16" eb="18">
      <t>ジサン</t>
    </rPh>
    <rPh sb="19" eb="23">
      <t>イッパクフツカ</t>
    </rPh>
    <rPh sb="24" eb="27">
      <t>シャヨウシャ</t>
    </rPh>
    <phoneticPr fontId="4"/>
  </si>
  <si>
    <t>消費税10％</t>
    <rPh sb="0" eb="3">
      <t>ショウヒゼイ</t>
    </rPh>
    <phoneticPr fontId="4"/>
  </si>
  <si>
    <t>FL-LCW1500w加工デモ一泊二日  金土　公共交通</t>
    <rPh sb="11" eb="13">
      <t>カコウ</t>
    </rPh>
    <rPh sb="15" eb="19">
      <t>イッパクフツカ</t>
    </rPh>
    <phoneticPr fontId="4"/>
  </si>
  <si>
    <t>岐阜市展示場</t>
    <rPh sb="0" eb="3">
      <t>ギフシ</t>
    </rPh>
    <rPh sb="3" eb="6">
      <t>テンジジョウ</t>
    </rPh>
    <phoneticPr fontId="4"/>
  </si>
  <si>
    <t>休日割増　土日祝込み　デモ　展示場使用最低2名</t>
    <rPh sb="0" eb="4">
      <t>キュウジツワリマシ</t>
    </rPh>
    <rPh sb="5" eb="7">
      <t>ドニチ</t>
    </rPh>
    <rPh sb="7" eb="8">
      <t>シュク</t>
    </rPh>
    <rPh sb="8" eb="9">
      <t>コ</t>
    </rPh>
    <rPh sb="14" eb="17">
      <t>テンジジョウ</t>
    </rPh>
    <rPh sb="17" eb="19">
      <t>シヨウ</t>
    </rPh>
    <rPh sb="19" eb="21">
      <t>サイテイ</t>
    </rPh>
    <rPh sb="22" eb="23">
      <t>メイ</t>
    </rPh>
    <phoneticPr fontId="4"/>
  </si>
  <si>
    <t>FL2507075</t>
    <phoneticPr fontId="4"/>
  </si>
  <si>
    <t>八木自動車様</t>
    <rPh sb="0" eb="5">
      <t>ヤギジドウシャ</t>
    </rPh>
    <rPh sb="5" eb="6">
      <t>サマ</t>
    </rPh>
    <phoneticPr fontId="4"/>
  </si>
  <si>
    <t>FL-LCW 講習費一泊二日　公共交通</t>
    <rPh sb="7" eb="9">
      <t>コウシュウ</t>
    </rPh>
    <rPh sb="9" eb="10">
      <t>ヒ</t>
    </rPh>
    <rPh sb="10" eb="14">
      <t>イッパクフツカ</t>
    </rPh>
    <rPh sb="15" eb="17">
      <t>コウキョウ</t>
    </rPh>
    <rPh sb="17" eb="19">
      <t>コウツウ</t>
    </rPh>
    <phoneticPr fontId="4"/>
  </si>
  <si>
    <t>八木自動車　〒028-7912 岩手県九戸郡洋野町種市第３２地割５９番地３</t>
    <rPh sb="0" eb="5">
      <t>ヤギジドウシャ</t>
    </rPh>
    <phoneticPr fontId="4"/>
  </si>
  <si>
    <t>調整</t>
    <rPh sb="0" eb="2">
      <t>チョウセイ</t>
    </rPh>
    <phoneticPr fontId="4"/>
  </si>
  <si>
    <t>　訪問先　八木自動車追加</t>
    <rPh sb="1" eb="4">
      <t>ホウモンサキ</t>
    </rPh>
    <rPh sb="5" eb="10">
      <t>ヤギジドウシャ</t>
    </rPh>
    <rPh sb="10" eb="12">
      <t>ツイカ</t>
    </rPh>
    <phoneticPr fontId="4"/>
  </si>
  <si>
    <t>FL-LCW 講習費一泊二日公共交通　　</t>
    <rPh sb="7" eb="9">
      <t>コウシュウ</t>
    </rPh>
    <rPh sb="9" eb="10">
      <t>ヒ</t>
    </rPh>
    <rPh sb="10" eb="14">
      <t>イッパクフツカ</t>
    </rPh>
    <rPh sb="14" eb="16">
      <t>コウキョウ</t>
    </rPh>
    <rPh sb="16" eb="18">
      <t>コウツウ</t>
    </rPh>
    <phoneticPr fontId="4"/>
  </si>
  <si>
    <t>FL2507145</t>
    <phoneticPr fontId="4"/>
  </si>
  <si>
    <t>交通費前日値引き調整</t>
    <rPh sb="3" eb="5">
      <t>ゼンジツ</t>
    </rPh>
    <phoneticPr fontId="4"/>
  </si>
  <si>
    <t>前日講習値引き調整</t>
    <rPh sb="0" eb="2">
      <t>ゼンジツ</t>
    </rPh>
    <rPh sb="2" eb="4">
      <t>コウシュウ</t>
    </rPh>
    <phoneticPr fontId="4"/>
  </si>
  <si>
    <t>デモ先　有限会社アキラックス　石川県金沢市専光寺町カ44-2</t>
    <rPh sb="2" eb="3">
      <t>サキ</t>
    </rPh>
    <phoneticPr fontId="4"/>
  </si>
  <si>
    <t>FL-LCW 講習費一泊二日　ハイエース使用　</t>
    <rPh sb="7" eb="9">
      <t>コウシュウ</t>
    </rPh>
    <rPh sb="9" eb="10">
      <t>ヒ</t>
    </rPh>
    <rPh sb="10" eb="14">
      <t>イッパクフツカ</t>
    </rPh>
    <rPh sb="20" eb="22">
      <t>シヨウ</t>
    </rPh>
    <phoneticPr fontId="4"/>
  </si>
  <si>
    <t>　デモ用サンプル材料持参</t>
    <rPh sb="3" eb="4">
      <t>ヨウ</t>
    </rPh>
    <rPh sb="8" eb="10">
      <t>ザイリョウ</t>
    </rPh>
    <rPh sb="10" eb="12">
      <t>ジサン</t>
    </rPh>
    <phoneticPr fontId="4"/>
  </si>
  <si>
    <t>　出張旅費</t>
    <phoneticPr fontId="4"/>
  </si>
  <si>
    <t>　セットアップ</t>
    <phoneticPr fontId="4"/>
  </si>
  <si>
    <t>　デモ時間17：00～19：00</t>
    <rPh sb="3" eb="5">
      <t>ジカン</t>
    </rPh>
    <phoneticPr fontId="4"/>
  </si>
  <si>
    <t>FL2509265</t>
    <phoneticPr fontId="4"/>
  </si>
  <si>
    <t>見積書有効期限発効後３０日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</si>
  <si>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　デモ機持込　RSD-SUNMAX-FL-LCW 1500w</t>
    <rPh sb="3" eb="4">
      <t>キ</t>
    </rPh>
    <rPh sb="4" eb="6">
      <t>モチコミ</t>
    </rPh>
    <phoneticPr fontId="4"/>
  </si>
  <si>
    <t>FL-CLC剝離専用機デモ　</t>
    <rPh sb="6" eb="11">
      <t>ハクリセンヨウキ</t>
    </rPh>
    <phoneticPr fontId="4"/>
  </si>
  <si>
    <t>デモ実施場所　　片道500キロ</t>
    <rPh sb="2" eb="6">
      <t>ジッシバショ</t>
    </rPh>
    <rPh sb="8" eb="10">
      <t>カタミチ</t>
    </rPh>
    <phoneticPr fontId="4"/>
  </si>
  <si>
    <t>　デモ時間14：00～17：30　の範囲</t>
    <rPh sb="3" eb="5">
      <t>ジカン</t>
    </rPh>
    <rPh sb="18" eb="20">
      <t>ハンイ</t>
    </rPh>
    <phoneticPr fontId="4"/>
  </si>
  <si>
    <t>単相200Ｖ　30A電源確保要す</t>
    <rPh sb="0" eb="2">
      <t>タンソウ</t>
    </rPh>
    <rPh sb="10" eb="12">
      <t>デンゲン</t>
    </rPh>
    <rPh sb="12" eb="14">
      <t>カクホ</t>
    </rPh>
    <rPh sb="14" eb="15">
      <t>ヨウ</t>
    </rPh>
    <phoneticPr fontId="4"/>
  </si>
  <si>
    <t>　宿泊出張旅費</t>
    <rPh sb="1" eb="3">
      <t>シュクハク</t>
    </rPh>
    <phoneticPr fontId="4"/>
  </si>
  <si>
    <t>デモ先：〒314-0133　茨城県神栖市息栖2817-2　　有限会社新栄メンテナンス</t>
    <rPh sb="2" eb="3">
      <t>サキ</t>
    </rPh>
    <phoneticPr fontId="4"/>
  </si>
  <si>
    <t>FL2603185</t>
    <phoneticPr fontId="4"/>
  </si>
  <si>
    <t>ご相談</t>
    <rPh sb="1" eb="3">
      <t>ソウダン</t>
    </rPh>
    <phoneticPr fontId="4"/>
  </si>
  <si>
    <t>〒475-0828愛知県半田市瑞穂町7丁目2-9</t>
    <phoneticPr fontId="4"/>
  </si>
  <si>
    <t>FL-CLC剝離専用機</t>
    <rPh sb="6" eb="11">
      <t>ハクリセンヨウキ</t>
    </rPh>
    <phoneticPr fontId="4"/>
  </si>
  <si>
    <t>納品　操作講習</t>
    <rPh sb="0" eb="2">
      <t>ノウヒン</t>
    </rPh>
    <rPh sb="3" eb="7">
      <t>ソウサコウシュウ</t>
    </rPh>
    <phoneticPr fontId="4"/>
  </si>
  <si>
    <t>FL2603235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</si>
</sst>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#,##0;&quot;△ &quot;#,##0;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0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176" fontId="32" fillId="0" borderId="0" xfId="0" applyNumberFormat="1" applyFont="1" applyAlignment="1">
      <alignment horizontal="right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right" vertical="center"/>
    </xf>
    <xf numFmtId="179" fontId="0" fillId="3" borderId="3" xfId="0" applyNumberFormat="1" applyFill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29" xfId="0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5" fillId="0" borderId="34" xfId="1" applyFont="1" applyBorder="1" applyAlignment="1" applyProtection="1">
      <alignment horizontal="left" wrapText="1"/>
    </xf>
    <xf numFmtId="0" fontId="15" fillId="0" borderId="35" xfId="1" applyFont="1" applyBorder="1" applyAlignment="1" applyProtection="1">
      <alignment horizontal="left" wrapText="1"/>
    </xf>
    <xf numFmtId="0" fontId="15" fillId="0" borderId="36" xfId="1" applyFont="1" applyBorder="1" applyAlignment="1" applyProtection="1">
      <alignment horizontal="left" wrapText="1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4" borderId="23" xfId="0" applyFill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176" fontId="12" fillId="0" borderId="6" xfId="0" applyNumberFormat="1" applyFont="1" applyBorder="1" applyAlignment="1">
      <alignment horizontal="right" vertical="center"/>
    </xf>
    <xf numFmtId="176" fontId="12" fillId="0" borderId="5" xfId="0" applyNumberFormat="1" applyFont="1" applyBorder="1" applyAlignment="1">
      <alignment horizontal="right" vertical="center"/>
    </xf>
    <xf numFmtId="180" fontId="12" fillId="0" borderId="4" xfId="0" applyNumberFormat="1" applyFont="1" applyBorder="1" applyAlignment="1">
      <alignment horizontal="right" vertical="center"/>
    </xf>
    <xf numFmtId="180" fontId="12" fillId="0" borderId="6" xfId="0" applyNumberFormat="1" applyFont="1" applyBorder="1" applyAlignment="1">
      <alignment horizontal="right" vertical="center"/>
    </xf>
    <xf numFmtId="180" fontId="12" fillId="0" borderId="5" xfId="0" applyNumberFormat="1" applyFont="1" applyBorder="1" applyAlignment="1">
      <alignment horizontal="right" vertical="center"/>
    </xf>
    <xf numFmtId="0" fontId="10" fillId="5" borderId="4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0" fontId="10" fillId="5" borderId="19" xfId="0" applyFont="1" applyFill="1" applyBorder="1" applyAlignment="1">
      <alignment horizontal="left" vertical="center" wrapText="1"/>
    </xf>
    <xf numFmtId="0" fontId="0" fillId="4" borderId="2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7" xfId="0" applyNumberFormat="1" applyFont="1" applyBorder="1" applyAlignment="1">
      <alignment horizontal="right" vertical="center"/>
    </xf>
    <xf numFmtId="0" fontId="10" fillId="0" borderId="20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180" fontId="11" fillId="0" borderId="23" xfId="0" applyNumberFormat="1" applyFont="1" applyBorder="1" applyAlignment="1">
      <alignment horizontal="left" vertical="center" wrapText="1"/>
    </xf>
    <xf numFmtId="180" fontId="11" fillId="0" borderId="6" xfId="0" applyNumberFormat="1" applyFont="1" applyBorder="1" applyAlignment="1">
      <alignment horizontal="left" vertical="center" wrapText="1"/>
    </xf>
    <xf numFmtId="180" fontId="11" fillId="0" borderId="5" xfId="0" applyNumberFormat="1" applyFont="1" applyBorder="1" applyAlignment="1">
      <alignment horizontal="left" vertical="center" wrapText="1"/>
    </xf>
    <xf numFmtId="180" fontId="9" fillId="0" borderId="4" xfId="0" applyNumberFormat="1" applyFont="1" applyBorder="1" applyAlignment="1">
      <alignment horizontal="right" vertical="center"/>
    </xf>
    <xf numFmtId="180" fontId="9" fillId="0" borderId="6" xfId="0" applyNumberFormat="1" applyFont="1" applyBorder="1" applyAlignment="1">
      <alignment horizontal="right" vertical="center"/>
    </xf>
    <xf numFmtId="180" fontId="0" fillId="0" borderId="6" xfId="0" applyNumberFormat="1" applyBorder="1" applyAlignment="1">
      <alignment horizontal="left" vertical="center"/>
    </xf>
    <xf numFmtId="180" fontId="0" fillId="0" borderId="5" xfId="0" applyNumberFormat="1" applyBorder="1" applyAlignment="1">
      <alignment horizontal="left" vertical="center"/>
    </xf>
    <xf numFmtId="180" fontId="9" fillId="0" borderId="5" xfId="0" applyNumberFormat="1" applyFont="1" applyBorder="1" applyAlignment="1">
      <alignment horizontal="right" vertical="center"/>
    </xf>
    <xf numFmtId="180" fontId="10" fillId="0" borderId="4" xfId="0" applyNumberFormat="1" applyFont="1" applyBorder="1" applyAlignment="1">
      <alignment horizontal="left" vertical="center" wrapText="1"/>
    </xf>
    <xf numFmtId="180" fontId="10" fillId="0" borderId="6" xfId="0" applyNumberFormat="1" applyFont="1" applyBorder="1" applyAlignment="1">
      <alignment horizontal="left" vertical="center" wrapText="1"/>
    </xf>
    <xf numFmtId="180" fontId="10" fillId="0" borderId="19" xfId="0" applyNumberFormat="1" applyFont="1" applyBorder="1" applyAlignment="1">
      <alignment horizontal="left" vertical="center" wrapText="1"/>
    </xf>
    <xf numFmtId="180" fontId="9" fillId="0" borderId="7" xfId="0" applyNumberFormat="1" applyFont="1" applyBorder="1" applyAlignment="1">
      <alignment horizontal="right" vertical="center"/>
    </xf>
    <xf numFmtId="180" fontId="9" fillId="0" borderId="8" xfId="0" applyNumberFormat="1" applyFont="1" applyBorder="1" applyAlignment="1">
      <alignment horizontal="right" vertical="center"/>
    </xf>
    <xf numFmtId="180" fontId="0" fillId="0" borderId="8" xfId="0" applyNumberFormat="1" applyBorder="1" applyAlignment="1">
      <alignment horizontal="left" vertical="center"/>
    </xf>
    <xf numFmtId="180" fontId="0" fillId="0" borderId="9" xfId="0" applyNumberFormat="1" applyBorder="1" applyAlignment="1">
      <alignment horizontal="left" vertical="center"/>
    </xf>
    <xf numFmtId="180" fontId="9" fillId="0" borderId="9" xfId="0" applyNumberFormat="1" applyFont="1" applyBorder="1" applyAlignment="1">
      <alignment horizontal="right" vertical="center"/>
    </xf>
    <xf numFmtId="180" fontId="15" fillId="0" borderId="23" xfId="0" applyNumberFormat="1" applyFont="1" applyBorder="1" applyAlignment="1">
      <alignment horizontal="left" vertical="center" wrapText="1"/>
    </xf>
    <xf numFmtId="180" fontId="15" fillId="0" borderId="6" xfId="0" applyNumberFormat="1" applyFont="1" applyBorder="1" applyAlignment="1">
      <alignment horizontal="left" vertical="center" wrapText="1"/>
    </xf>
    <xf numFmtId="180" fontId="15" fillId="0" borderId="5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6" fontId="32" fillId="0" borderId="0" xfId="0" applyNumberFormat="1" applyFont="1" applyAlignment="1">
      <alignment horizontal="right" vertical="center"/>
    </xf>
    <xf numFmtId="176" fontId="32" fillId="0" borderId="18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80" fontId="15" fillId="0" borderId="4" xfId="0" applyNumberFormat="1" applyFont="1" applyBorder="1" applyAlignment="1">
      <alignment horizontal="left" vertical="center" wrapText="1"/>
    </xf>
    <xf numFmtId="180" fontId="15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5" borderId="19" xfId="0" applyFont="1" applyFill="1" applyBorder="1" applyAlignment="1">
      <alignment horizontal="left" vertical="center" wrapText="1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7" xfId="0" applyNumberFormat="1" applyFont="1" applyBorder="1" applyAlignment="1">
      <alignment horizontal="right" vertical="center"/>
    </xf>
    <xf numFmtId="176" fontId="31" fillId="0" borderId="4" xfId="0" applyNumberFormat="1" applyFont="1" applyBorder="1" applyAlignment="1">
      <alignment horizontal="right" vertical="center"/>
    </xf>
    <xf numFmtId="176" fontId="31" fillId="0" borderId="6" xfId="0" applyNumberFormat="1" applyFont="1" applyBorder="1" applyAlignment="1">
      <alignment horizontal="right" vertical="center"/>
    </xf>
    <xf numFmtId="176" fontId="31" fillId="0" borderId="5" xfId="0" applyNumberFormat="1" applyFont="1" applyBorder="1" applyAlignment="1">
      <alignment horizontal="right" vertical="center"/>
    </xf>
    <xf numFmtId="180" fontId="31" fillId="0" borderId="4" xfId="0" applyNumberFormat="1" applyFont="1" applyBorder="1" applyAlignment="1">
      <alignment horizontal="right" vertical="center"/>
    </xf>
    <xf numFmtId="180" fontId="31" fillId="0" borderId="6" xfId="0" applyNumberFormat="1" applyFont="1" applyBorder="1" applyAlignment="1">
      <alignment horizontal="right" vertical="center"/>
    </xf>
    <xf numFmtId="180" fontId="31" fillId="0" borderId="5" xfId="0" applyNumberFormat="1" applyFont="1" applyBorder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ctrlProps/ctrlProp225.xml><?xml version="1.0" encoding="utf-8"?>
<formControlPr xmlns="http://schemas.microsoft.com/office/spreadsheetml/2009/9/main" objectType="Button" lockText="1"/>
</file>

<file path=xl/ctrlProps/ctrlProp226.xml><?xml version="1.0" encoding="utf-8"?>
<formControlPr xmlns="http://schemas.microsoft.com/office/spreadsheetml/2009/9/main" objectType="Button" lockText="1"/>
</file>

<file path=xl/ctrlProps/ctrlProp227.xml><?xml version="1.0" encoding="utf-8"?>
<formControlPr xmlns="http://schemas.microsoft.com/office/spreadsheetml/2009/9/main" objectType="Button" lockText="1"/>
</file>

<file path=xl/ctrlProps/ctrlProp228.xml><?xml version="1.0" encoding="utf-8"?>
<formControlPr xmlns="http://schemas.microsoft.com/office/spreadsheetml/2009/9/main" objectType="Button" lockText="1"/>
</file>

<file path=xl/ctrlProps/ctrlProp229.xml><?xml version="1.0" encoding="utf-8"?>
<formControlPr xmlns="http://schemas.microsoft.com/office/spreadsheetml/2009/9/main" objectType="Button" lockText="1"/>
</file>

<file path=xl/ctrlProps/ctrlProp230.xml><?xml version="1.0" encoding="utf-8"?>
<formControlPr xmlns="http://schemas.microsoft.com/office/spreadsheetml/2009/9/main" objectType="Button" lockText="1"/>
</file>

<file path=xl/ctrlProps/ctrlProp231.xml><?xml version="1.0" encoding="utf-8"?>
<formControlPr xmlns="http://schemas.microsoft.com/office/spreadsheetml/2009/9/main" objectType="Button" lockText="1"/>
</file>

<file path=xl/ctrlProps/ctrlProp232.xml><?xml version="1.0" encoding="utf-8"?>
<formControlPr xmlns="http://schemas.microsoft.com/office/spreadsheetml/2009/9/main" objectType="Button" lockText="1"/>
</file>

<file path=xl/ctrlProps/ctrlProp233.xml><?xml version="1.0" encoding="utf-8"?>
<formControlPr xmlns="http://schemas.microsoft.com/office/spreadsheetml/2009/9/main" objectType="Button" lockText="1"/>
</file>

<file path=xl/ctrlProps/ctrlProp234.xml><?xml version="1.0" encoding="utf-8"?>
<formControlPr xmlns="http://schemas.microsoft.com/office/spreadsheetml/2009/9/main" objectType="Button" lockText="1"/>
</file>

<file path=xl/ctrlProps/ctrlProp235.xml><?xml version="1.0" encoding="utf-8"?>
<formControlPr xmlns="http://schemas.microsoft.com/office/spreadsheetml/2009/9/main" objectType="Button" lockText="1"/>
</file>

<file path=xl/ctrlProps/ctrlProp236.xml><?xml version="1.0" encoding="utf-8"?>
<formControlPr xmlns="http://schemas.microsoft.com/office/spreadsheetml/2009/9/main" objectType="Button" lockText="1"/>
</file>

<file path=xl/ctrlProps/ctrlProp237.xml><?xml version="1.0" encoding="utf-8"?>
<formControlPr xmlns="http://schemas.microsoft.com/office/spreadsheetml/2009/9/main" objectType="Button" lockText="1"/>
</file>

<file path=xl/ctrlProps/ctrlProp238.xml><?xml version="1.0" encoding="utf-8"?>
<formControlPr xmlns="http://schemas.microsoft.com/office/spreadsheetml/2009/9/main" objectType="Button" lockText="1"/>
</file>

<file path=xl/ctrlProps/ctrlProp239.xml><?xml version="1.0" encoding="utf-8"?>
<formControlPr xmlns="http://schemas.microsoft.com/office/spreadsheetml/2009/9/main" objectType="Button" lockText="1"/>
</file>

<file path=xl/ctrlProps/ctrlProp240.xml><?xml version="1.0" encoding="utf-8"?>
<formControlPr xmlns="http://schemas.microsoft.com/office/spreadsheetml/2009/9/main" objectType="Button" lockText="1"/>
</file>

<file path=xl/ctrlProps/ctrlProp241.xml><?xml version="1.0" encoding="utf-8"?>
<formControlPr xmlns="http://schemas.microsoft.com/office/spreadsheetml/2009/9/main" objectType="Button" lockText="1"/>
</file>

<file path=xl/ctrlProps/ctrlProp242.xml><?xml version="1.0" encoding="utf-8"?>
<formControlPr xmlns="http://schemas.microsoft.com/office/spreadsheetml/2009/9/main" objectType="Button" lockText="1"/>
</file>

<file path=xl/ctrlProps/ctrlProp243.xml><?xml version="1.0" encoding="utf-8"?>
<formControlPr xmlns="http://schemas.microsoft.com/office/spreadsheetml/2009/9/main" objectType="Button" lockText="1"/>
</file>

<file path=xl/ctrlProps/ctrlProp244.xml><?xml version="1.0" encoding="utf-8"?>
<formControlPr xmlns="http://schemas.microsoft.com/office/spreadsheetml/2009/9/main" objectType="Button" lockText="1"/>
</file>

<file path=xl/ctrlProps/ctrlProp245.xml><?xml version="1.0" encoding="utf-8"?>
<formControlPr xmlns="http://schemas.microsoft.com/office/spreadsheetml/2009/9/main" objectType="Button" lockText="1"/>
</file>

<file path=xl/ctrlProps/ctrlProp246.xml><?xml version="1.0" encoding="utf-8"?>
<formControlPr xmlns="http://schemas.microsoft.com/office/spreadsheetml/2009/9/main" objectType="Button" lockText="1"/>
</file>

<file path=xl/ctrlProps/ctrlProp247.xml><?xml version="1.0" encoding="utf-8"?>
<formControlPr xmlns="http://schemas.microsoft.com/office/spreadsheetml/2009/9/main" objectType="Button" lockText="1"/>
</file>

<file path=xl/ctrlProps/ctrlProp248.xml><?xml version="1.0" encoding="utf-8"?>
<formControlPr xmlns="http://schemas.microsoft.com/office/spreadsheetml/2009/9/main" objectType="Button" lockText="1"/>
</file>

<file path=xl/ctrlProps/ctrlProp249.xml><?xml version="1.0" encoding="utf-8"?>
<formControlPr xmlns="http://schemas.microsoft.com/office/spreadsheetml/2009/9/main" objectType="Button" lockText="1"/>
</file>

<file path=xl/ctrlProps/ctrlProp250.xml><?xml version="1.0" encoding="utf-8"?>
<formControlPr xmlns="http://schemas.microsoft.com/office/spreadsheetml/2009/9/main" objectType="Button" lockText="1"/>
</file>

<file path=xl/ctrlProps/ctrlProp251.xml><?xml version="1.0" encoding="utf-8"?>
<formControlPr xmlns="http://schemas.microsoft.com/office/spreadsheetml/2009/9/main" objectType="Button" lockText="1"/>
</file>

<file path=xl/ctrlProps/ctrlProp252.xml><?xml version="1.0" encoding="utf-8"?>
<formControlPr xmlns="http://schemas.microsoft.com/office/spreadsheetml/2009/9/main" objectType="Button" lockText="1"/>
</file>

<file path=xl/ctrlProps/ctrlProp253.xml><?xml version="1.0" encoding="utf-8"?>
<formControlPr xmlns="http://schemas.microsoft.com/office/spreadsheetml/2009/9/main" objectType="Button" lockText="1"/>
</file>

<file path=xl/ctrlProps/ctrlProp254.xml><?xml version="1.0" encoding="utf-8"?>
<formControlPr xmlns="http://schemas.microsoft.com/office/spreadsheetml/2009/9/main" objectType="Button" lockText="1"/>
</file>

<file path=xl/ctrlProps/ctrlProp255.xml><?xml version="1.0" encoding="utf-8"?>
<formControlPr xmlns="http://schemas.microsoft.com/office/spreadsheetml/2009/9/main" objectType="Button" lockText="1"/>
</file>

<file path=xl/ctrlProps/ctrlProp256.xml><?xml version="1.0" encoding="utf-8"?>
<formControlPr xmlns="http://schemas.microsoft.com/office/spreadsheetml/2009/9/main" objectType="Button" lockText="1"/>
</file>

<file path=xl/ctrlProps/ctrlProp257.xml><?xml version="1.0" encoding="utf-8"?>
<formControlPr xmlns="http://schemas.microsoft.com/office/spreadsheetml/2009/9/main" objectType="Button" lockText="1"/>
</file>

<file path=xl/ctrlProps/ctrlProp258.xml><?xml version="1.0" encoding="utf-8"?>
<formControlPr xmlns="http://schemas.microsoft.com/office/spreadsheetml/2009/9/main" objectType="Button" lockText="1"/>
</file>

<file path=xl/ctrlProps/ctrlProp259.xml><?xml version="1.0" encoding="utf-8"?>
<formControlPr xmlns="http://schemas.microsoft.com/office/spreadsheetml/2009/9/main" objectType="Button" lockText="1"/>
</file>

<file path=xl/ctrlProps/ctrlProp260.xml><?xml version="1.0" encoding="utf-8"?>
<formControlPr xmlns="http://schemas.microsoft.com/office/spreadsheetml/2009/9/main" objectType="Button" lockText="1"/>
</file>

<file path=xl/ctrlProps/ctrlProp261.xml><?xml version="1.0" encoding="utf-8"?>
<formControlPr xmlns="http://schemas.microsoft.com/office/spreadsheetml/2009/9/main" objectType="Button" lockText="1"/>
</file>

<file path=xl/ctrlProps/ctrlProp262.xml><?xml version="1.0" encoding="utf-8"?>
<formControlPr xmlns="http://schemas.microsoft.com/office/spreadsheetml/2009/9/main" objectType="Button" lockText="1"/>
</file>

<file path=xl/ctrlProps/ctrlProp263.xml><?xml version="1.0" encoding="utf-8"?>
<formControlPr xmlns="http://schemas.microsoft.com/office/spreadsheetml/2009/9/main" objectType="Button" lockText="1"/>
</file>

<file path=xl/ctrlProps/ctrlProp264.xml><?xml version="1.0" encoding="utf-8"?>
<formControlPr xmlns="http://schemas.microsoft.com/office/spreadsheetml/2009/9/main" objectType="Button" lockText="1"/>
</file>

<file path=xl/ctrlProps/ctrlProp265.xml><?xml version="1.0" encoding="utf-8"?>
<formControlPr xmlns="http://schemas.microsoft.com/office/spreadsheetml/2009/9/main" objectType="Button" lockText="1"/>
</file>

<file path=xl/ctrlProps/ctrlProp266.xml><?xml version="1.0" encoding="utf-8"?>
<formControlPr xmlns="http://schemas.microsoft.com/office/spreadsheetml/2009/9/main" objectType="Button" lockText="1"/>
</file>

<file path=xl/ctrlProps/ctrlProp267.xml><?xml version="1.0" encoding="utf-8"?>
<formControlPr xmlns="http://schemas.microsoft.com/office/spreadsheetml/2009/9/main" objectType="Button" lockText="1"/>
</file>

<file path=xl/ctrlProps/ctrlProp268.xml><?xml version="1.0" encoding="utf-8"?>
<formControlPr xmlns="http://schemas.microsoft.com/office/spreadsheetml/2009/9/main" objectType="Button" lockText="1"/>
</file>

<file path=xl/ctrlProps/ctrlProp269.xml><?xml version="1.0" encoding="utf-8"?>
<formControlPr xmlns="http://schemas.microsoft.com/office/spreadsheetml/2009/9/main" objectType="Button" lockText="1"/>
</file>

<file path=xl/ctrlProps/ctrlProp270.xml><?xml version="1.0" encoding="utf-8"?>
<formControlPr xmlns="http://schemas.microsoft.com/office/spreadsheetml/2009/9/main" objectType="Button" lockText="1"/>
</file>

<file path=xl/ctrlProps/ctrlProp271.xml><?xml version="1.0" encoding="utf-8"?>
<formControlPr xmlns="http://schemas.microsoft.com/office/spreadsheetml/2009/9/main" objectType="Button" lockText="1"/>
</file>

<file path=xl/ctrlProps/ctrlProp272.xml><?xml version="1.0" encoding="utf-8"?>
<formControlPr xmlns="http://schemas.microsoft.com/office/spreadsheetml/2009/9/main" objectType="Button" lockText="1"/>
</file>

<file path=xl/ctrlProps/ctrlProp273.xml><?xml version="1.0" encoding="utf-8"?>
<formControlPr xmlns="http://schemas.microsoft.com/office/spreadsheetml/2009/9/main" objectType="Button" lockText="1"/>
</file>

<file path=xl/ctrlProps/ctrlProp274.xml><?xml version="1.0" encoding="utf-8"?>
<formControlPr xmlns="http://schemas.microsoft.com/office/spreadsheetml/2009/9/main" objectType="Button" lockText="1"/>
</file>

<file path=xl/ctrlProps/ctrlProp275.xml><?xml version="1.0" encoding="utf-8"?>
<formControlPr xmlns="http://schemas.microsoft.com/office/spreadsheetml/2009/9/main" objectType="Button" lockText="1"/>
</file>

<file path=xl/ctrlProps/ctrlProp27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187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9217" name="表示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9218" name="表示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9219" name="呼出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9220" name="保存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9221" name="終了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9222" name="印刷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9223" name="入力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9224" name="削除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9225" name="合計無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9226" name="ヘルプ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9227" name="税無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9228" name="画像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9229" name="画像PW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9230" name="明細入力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9231" name="明細書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D1D98355-C0B2-43E0-B0F1-AA59EE3A872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57144F5E-86D6-4411-A36D-4909B9203E6C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929520F8-A771-47FF-898C-E424CA07F433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A24F9968-8019-45FD-A1B2-10BD2B9913FF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9232" name="客呼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9233" name="入力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9234" name="担当呼出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9235" name="品名呼出01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9236" name="品名呼出02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9237" name="品名呼出03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9238" name="品名呼出04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9239" name="品名呼出05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9240" name="品名呼出06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9241" name="品名呼出07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9242" name="品名呼出08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1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9243" name="品名呼出09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9244" name="品名呼出10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9245" name="品名呼出11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9246" name="品名呼出12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1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9247" name="更新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9248" name="プレビュー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1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9249" name="環境設定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1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9250" name="詳細無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1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9251" name="電卓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1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9252" name="データ更新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1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9253" name="並替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1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9254" name="戻る2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1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9255" name="環境設定2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1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9256" name="再選択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1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9257" name="ﾃﾞｰﾀ処理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1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9258" name="詳細無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1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9259" name="参照1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1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9260" name="参照2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1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9261" name="入力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1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9262" name="入力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1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E241ECE7-77D0-4845-9C6B-47E539F1214F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4E350088-C111-4085-AD71-5E479B44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4BC37158-A730-4D0C-B7C3-79F209B3D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096D25E-5329-4826-A277-E592443D1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4337" name="表示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2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4338" name="表示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2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4339" name="呼出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2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4340" name="保存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2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4341" name="終了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2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4342" name="印刷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2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4343" name="入力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2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4344" name="削除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2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4345" name="合計無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2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4346" name="ヘルプ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2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4347" name="税無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2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4348" name="画像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2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4349" name="画像PW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2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4350" name="明細入力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2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4351" name="明細書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2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78B91785-CFD9-4B01-B669-2557CEF242F3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293FE065-31C5-4A07-87E3-D2AC8D094424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45FF688E-35E4-479E-9A39-90A3AA025848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D0B352C7-F5BE-4AB9-A8E2-3D1DEF6C9787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4352" name="客呼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2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4353" name="入力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2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4354" name="担当呼出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2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4355" name="品名呼出01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2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4356" name="品名呼出02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2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4357" name="品名呼出03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2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4358" name="品名呼出04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2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4359" name="品名呼出05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2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4360" name="品名呼出06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00000000-0008-0000-0200-00001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4361" name="品名呼出07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2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4362" name="品名呼出08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2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4363" name="品名呼出09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0000000-0008-0000-0200-00001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4364" name="品名呼出10" hidden="1">
              <a:extLst>
                <a:ext uri="{63B3BB69-23CF-44E3-9099-C40C66FF867C}">
                  <a14:compatExt spid="_x0000_s14364"/>
                </a:ext>
                <a:ext uri="{FF2B5EF4-FFF2-40B4-BE49-F238E27FC236}">
                  <a16:creationId xmlns:a16="http://schemas.microsoft.com/office/drawing/2014/main" id="{00000000-0008-0000-0200-00001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4365" name="品名呼出11" hidden="1">
              <a:extLst>
                <a:ext uri="{63B3BB69-23CF-44E3-9099-C40C66FF867C}">
                  <a14:compatExt spid="_x0000_s14365"/>
                </a:ext>
                <a:ext uri="{FF2B5EF4-FFF2-40B4-BE49-F238E27FC236}">
                  <a16:creationId xmlns:a16="http://schemas.microsoft.com/office/drawing/2014/main" id="{00000000-0008-0000-0200-00001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4366" name="品名呼出12" hidden="1">
              <a:extLst>
                <a:ext uri="{63B3BB69-23CF-44E3-9099-C40C66FF867C}">
                  <a14:compatExt spid="_x0000_s14366"/>
                </a:ext>
                <a:ext uri="{FF2B5EF4-FFF2-40B4-BE49-F238E27FC236}">
                  <a16:creationId xmlns:a16="http://schemas.microsoft.com/office/drawing/2014/main" id="{00000000-0008-0000-0200-00001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4367" name="更新" hidden="1">
              <a:extLst>
                <a:ext uri="{63B3BB69-23CF-44E3-9099-C40C66FF867C}">
                  <a14:compatExt spid="_x0000_s14367"/>
                </a:ext>
                <a:ext uri="{FF2B5EF4-FFF2-40B4-BE49-F238E27FC236}">
                  <a16:creationId xmlns:a16="http://schemas.microsoft.com/office/drawing/2014/main" id="{00000000-0008-0000-0200-00001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4368" name="プレビュー" hidden="1">
              <a:extLst>
                <a:ext uri="{63B3BB69-23CF-44E3-9099-C40C66FF867C}">
                  <a14:compatExt spid="_x0000_s14368"/>
                </a:ext>
                <a:ext uri="{FF2B5EF4-FFF2-40B4-BE49-F238E27FC236}">
                  <a16:creationId xmlns:a16="http://schemas.microsoft.com/office/drawing/2014/main" id="{00000000-0008-0000-0200-00002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4369" name="環境設定" hidden="1">
              <a:extLst>
                <a:ext uri="{63B3BB69-23CF-44E3-9099-C40C66FF867C}">
                  <a14:compatExt spid="_x0000_s14369"/>
                </a:ext>
                <a:ext uri="{FF2B5EF4-FFF2-40B4-BE49-F238E27FC236}">
                  <a16:creationId xmlns:a16="http://schemas.microsoft.com/office/drawing/2014/main" id="{00000000-0008-0000-0200-00002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4370" name="詳細無" hidden="1">
              <a:extLst>
                <a:ext uri="{63B3BB69-23CF-44E3-9099-C40C66FF867C}">
                  <a14:compatExt spid="_x0000_s14370"/>
                </a:ext>
                <a:ext uri="{FF2B5EF4-FFF2-40B4-BE49-F238E27FC236}">
                  <a16:creationId xmlns:a16="http://schemas.microsoft.com/office/drawing/2014/main" id="{00000000-0008-0000-0200-00002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4371" name="電卓" hidden="1">
              <a:extLst>
                <a:ext uri="{63B3BB69-23CF-44E3-9099-C40C66FF867C}">
                  <a14:compatExt spid="_x0000_s14371"/>
                </a:ext>
                <a:ext uri="{FF2B5EF4-FFF2-40B4-BE49-F238E27FC236}">
                  <a16:creationId xmlns:a16="http://schemas.microsoft.com/office/drawing/2014/main" id="{00000000-0008-0000-0200-00002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4372" name="データ更新" hidden="1">
              <a:extLst>
                <a:ext uri="{63B3BB69-23CF-44E3-9099-C40C66FF867C}">
                  <a14:compatExt spid="_x0000_s14372"/>
                </a:ext>
                <a:ext uri="{FF2B5EF4-FFF2-40B4-BE49-F238E27FC236}">
                  <a16:creationId xmlns:a16="http://schemas.microsoft.com/office/drawing/2014/main" id="{00000000-0008-0000-0200-00002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4373" name="並替" hidden="1">
              <a:extLst>
                <a:ext uri="{63B3BB69-23CF-44E3-9099-C40C66FF867C}">
                  <a14:compatExt spid="_x0000_s14373"/>
                </a:ext>
                <a:ext uri="{FF2B5EF4-FFF2-40B4-BE49-F238E27FC236}">
                  <a16:creationId xmlns:a16="http://schemas.microsoft.com/office/drawing/2014/main" id="{00000000-0008-0000-0200-00002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4374" name="戻る2" hidden="1">
              <a:extLst>
                <a:ext uri="{63B3BB69-23CF-44E3-9099-C40C66FF867C}">
                  <a14:compatExt spid="_x0000_s14374"/>
                </a:ext>
                <a:ext uri="{FF2B5EF4-FFF2-40B4-BE49-F238E27FC236}">
                  <a16:creationId xmlns:a16="http://schemas.microsoft.com/office/drawing/2014/main" id="{00000000-0008-0000-0200-00002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4375" name="環境設定2" hidden="1">
              <a:extLst>
                <a:ext uri="{63B3BB69-23CF-44E3-9099-C40C66FF867C}">
                  <a14:compatExt spid="_x0000_s14375"/>
                </a:ext>
                <a:ext uri="{FF2B5EF4-FFF2-40B4-BE49-F238E27FC236}">
                  <a16:creationId xmlns:a16="http://schemas.microsoft.com/office/drawing/2014/main" id="{00000000-0008-0000-0200-00002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4376" name="再選択" hidden="1">
              <a:extLst>
                <a:ext uri="{63B3BB69-23CF-44E3-9099-C40C66FF867C}">
                  <a14:compatExt spid="_x0000_s14376"/>
                </a:ext>
                <a:ext uri="{FF2B5EF4-FFF2-40B4-BE49-F238E27FC236}">
                  <a16:creationId xmlns:a16="http://schemas.microsoft.com/office/drawing/2014/main" id="{00000000-0008-0000-0200-00002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4377" name="ﾃﾞｰﾀ処理" hidden="1">
              <a:extLst>
                <a:ext uri="{63B3BB69-23CF-44E3-9099-C40C66FF867C}">
                  <a14:compatExt spid="_x0000_s14377"/>
                </a:ext>
                <a:ext uri="{FF2B5EF4-FFF2-40B4-BE49-F238E27FC236}">
                  <a16:creationId xmlns:a16="http://schemas.microsoft.com/office/drawing/2014/main" id="{00000000-0008-0000-0200-00002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4378" name="詳細無" hidden="1">
              <a:extLst>
                <a:ext uri="{63B3BB69-23CF-44E3-9099-C40C66FF867C}">
                  <a14:compatExt spid="_x0000_s14378"/>
                </a:ext>
                <a:ext uri="{FF2B5EF4-FFF2-40B4-BE49-F238E27FC236}">
                  <a16:creationId xmlns:a16="http://schemas.microsoft.com/office/drawing/2014/main" id="{00000000-0008-0000-0200-00002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4379" name="参照1" hidden="1">
              <a:extLst>
                <a:ext uri="{63B3BB69-23CF-44E3-9099-C40C66FF867C}">
                  <a14:compatExt spid="_x0000_s14379"/>
                </a:ext>
                <a:ext uri="{FF2B5EF4-FFF2-40B4-BE49-F238E27FC236}">
                  <a16:creationId xmlns:a16="http://schemas.microsoft.com/office/drawing/2014/main" id="{00000000-0008-0000-0200-00002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4380" name="参照2" hidden="1">
              <a:extLst>
                <a:ext uri="{63B3BB69-23CF-44E3-9099-C40C66FF867C}">
                  <a14:compatExt spid="_x0000_s14380"/>
                </a:ext>
                <a:ext uri="{FF2B5EF4-FFF2-40B4-BE49-F238E27FC236}">
                  <a16:creationId xmlns:a16="http://schemas.microsoft.com/office/drawing/2014/main" id="{00000000-0008-0000-0200-00002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4381" name="入力" hidden="1">
              <a:extLst>
                <a:ext uri="{63B3BB69-23CF-44E3-9099-C40C66FF867C}">
                  <a14:compatExt spid="_x0000_s14381"/>
                </a:ext>
                <a:ext uri="{FF2B5EF4-FFF2-40B4-BE49-F238E27FC236}">
                  <a16:creationId xmlns:a16="http://schemas.microsoft.com/office/drawing/2014/main" id="{00000000-0008-0000-0200-00002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4382" name="入力" hidden="1">
              <a:extLst>
                <a:ext uri="{63B3BB69-23CF-44E3-9099-C40C66FF867C}">
                  <a14:compatExt spid="_x0000_s14382"/>
                </a:ext>
                <a:ext uri="{FF2B5EF4-FFF2-40B4-BE49-F238E27FC236}">
                  <a16:creationId xmlns:a16="http://schemas.microsoft.com/office/drawing/2014/main" id="{00000000-0008-0000-0200-00002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4D86577E-32CF-4D51-A0E4-B7D9A915A3FB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3E7F0E75-1C89-43F1-911A-F37119C66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00489229-9E32-440D-9870-9A0B5EBEF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806D667-D80D-46B4-A999-ACD773E41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5361" name="表示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3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5362" name="表示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3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5363" name="呼出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3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5364" name="保存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3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5365" name="終了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3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5366" name="印刷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3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5367" name="入力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3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5368" name="削除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3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5369" name="合計無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3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5370" name="ヘルプ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3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5371" name="税無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3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5372" name="画像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3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5373" name="画像PW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3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5374" name="明細入力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3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5375" name="明細書" hidden="1">
              <a:extLst>
                <a:ext uri="{63B3BB69-23CF-44E3-9099-C40C66FF867C}">
                  <a14:compatExt spid="_x0000_s15375"/>
                </a:ext>
                <a:ext uri="{FF2B5EF4-FFF2-40B4-BE49-F238E27FC236}">
                  <a16:creationId xmlns:a16="http://schemas.microsoft.com/office/drawing/2014/main" id="{00000000-0008-0000-0300-00000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23F9C58F-158E-4921-887D-B104CDEDF995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952FBB50-78DF-49BE-B725-57A017AA07B4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4F3D2E0F-9B2A-479F-B4DC-3C39D9E5ED3E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56DF74FB-95E4-4934-BD79-EBFC43F016FA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5376" name="客呼" hidden="1">
              <a:extLst>
                <a:ext uri="{63B3BB69-23CF-44E3-9099-C40C66FF867C}">
                  <a14:compatExt spid="_x0000_s15376"/>
                </a:ext>
                <a:ext uri="{FF2B5EF4-FFF2-40B4-BE49-F238E27FC236}">
                  <a16:creationId xmlns:a16="http://schemas.microsoft.com/office/drawing/2014/main" id="{00000000-0008-0000-0300-00001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5377" name="入力" hidden="1">
              <a:extLst>
                <a:ext uri="{63B3BB69-23CF-44E3-9099-C40C66FF867C}">
                  <a14:compatExt spid="_x0000_s15377"/>
                </a:ext>
                <a:ext uri="{FF2B5EF4-FFF2-40B4-BE49-F238E27FC236}">
                  <a16:creationId xmlns:a16="http://schemas.microsoft.com/office/drawing/2014/main" id="{00000000-0008-0000-0300-00001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5378" name="担当呼出" hidden="1">
              <a:extLst>
                <a:ext uri="{63B3BB69-23CF-44E3-9099-C40C66FF867C}">
                  <a14:compatExt spid="_x0000_s15378"/>
                </a:ext>
                <a:ext uri="{FF2B5EF4-FFF2-40B4-BE49-F238E27FC236}">
                  <a16:creationId xmlns:a16="http://schemas.microsoft.com/office/drawing/2014/main" id="{00000000-0008-0000-0300-00001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5379" name="品名呼出01" hidden="1">
              <a:extLst>
                <a:ext uri="{63B3BB69-23CF-44E3-9099-C40C66FF867C}">
                  <a14:compatExt spid="_x0000_s15379"/>
                </a:ext>
                <a:ext uri="{FF2B5EF4-FFF2-40B4-BE49-F238E27FC236}">
                  <a16:creationId xmlns:a16="http://schemas.microsoft.com/office/drawing/2014/main" id="{00000000-0008-0000-0300-00001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5380" name="品名呼出02" hidden="1">
              <a:extLst>
                <a:ext uri="{63B3BB69-23CF-44E3-9099-C40C66FF867C}">
                  <a14:compatExt spid="_x0000_s15380"/>
                </a:ext>
                <a:ext uri="{FF2B5EF4-FFF2-40B4-BE49-F238E27FC236}">
                  <a16:creationId xmlns:a16="http://schemas.microsoft.com/office/drawing/2014/main" id="{00000000-0008-0000-0300-00001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5381" name="品名呼出03" hidden="1">
              <a:extLst>
                <a:ext uri="{63B3BB69-23CF-44E3-9099-C40C66FF867C}">
                  <a14:compatExt spid="_x0000_s15381"/>
                </a:ext>
                <a:ext uri="{FF2B5EF4-FFF2-40B4-BE49-F238E27FC236}">
                  <a16:creationId xmlns:a16="http://schemas.microsoft.com/office/drawing/2014/main" id="{00000000-0008-0000-0300-00001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5382" name="品名呼出04" hidden="1">
              <a:extLst>
                <a:ext uri="{63B3BB69-23CF-44E3-9099-C40C66FF867C}">
                  <a14:compatExt spid="_x0000_s15382"/>
                </a:ext>
                <a:ext uri="{FF2B5EF4-FFF2-40B4-BE49-F238E27FC236}">
                  <a16:creationId xmlns:a16="http://schemas.microsoft.com/office/drawing/2014/main" id="{00000000-0008-0000-0300-00001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5383" name="品名呼出05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3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5384" name="品名呼出06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0000000-0008-0000-0300-00001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5385" name="品名呼出07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00000000-0008-0000-0300-00001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5386" name="品名呼出08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00000000-0008-0000-0300-00001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5387" name="品名呼出09" hidden="1">
              <a:extLst>
                <a:ext uri="{63B3BB69-23CF-44E3-9099-C40C66FF867C}">
                  <a14:compatExt spid="_x0000_s15387"/>
                </a:ext>
                <a:ext uri="{FF2B5EF4-FFF2-40B4-BE49-F238E27FC236}">
                  <a16:creationId xmlns:a16="http://schemas.microsoft.com/office/drawing/2014/main" id="{00000000-0008-0000-0300-00001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5388" name="品名呼出10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00000000-0008-0000-0300-00001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5389" name="品名呼出11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00000000-0008-0000-0300-00001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5390" name="品名呼出12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00000000-0008-0000-0300-00001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5391" name="更新" hidden="1">
              <a:extLst>
                <a:ext uri="{63B3BB69-23CF-44E3-9099-C40C66FF867C}">
                  <a14:compatExt spid="_x0000_s15391"/>
                </a:ext>
                <a:ext uri="{FF2B5EF4-FFF2-40B4-BE49-F238E27FC236}">
                  <a16:creationId xmlns:a16="http://schemas.microsoft.com/office/drawing/2014/main" id="{00000000-0008-0000-0300-00001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5392" name="プレビュー" hidden="1">
              <a:extLst>
                <a:ext uri="{63B3BB69-23CF-44E3-9099-C40C66FF867C}">
                  <a14:compatExt spid="_x0000_s15392"/>
                </a:ext>
                <a:ext uri="{FF2B5EF4-FFF2-40B4-BE49-F238E27FC236}">
                  <a16:creationId xmlns:a16="http://schemas.microsoft.com/office/drawing/2014/main" id="{00000000-0008-0000-0300-00002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5393" name="環境設定" hidden="1">
              <a:extLst>
                <a:ext uri="{63B3BB69-23CF-44E3-9099-C40C66FF867C}">
                  <a14:compatExt spid="_x0000_s15393"/>
                </a:ext>
                <a:ext uri="{FF2B5EF4-FFF2-40B4-BE49-F238E27FC236}">
                  <a16:creationId xmlns:a16="http://schemas.microsoft.com/office/drawing/2014/main" id="{00000000-0008-0000-0300-00002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5394" name="詳細無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00000000-0008-0000-0300-00002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5395" name="電卓" hidden="1">
              <a:extLst>
                <a:ext uri="{63B3BB69-23CF-44E3-9099-C40C66FF867C}">
                  <a14:compatExt spid="_x0000_s15395"/>
                </a:ext>
                <a:ext uri="{FF2B5EF4-FFF2-40B4-BE49-F238E27FC236}">
                  <a16:creationId xmlns:a16="http://schemas.microsoft.com/office/drawing/2014/main" id="{00000000-0008-0000-0300-00002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5396" name="データ更新" hidden="1">
              <a:extLst>
                <a:ext uri="{63B3BB69-23CF-44E3-9099-C40C66FF867C}">
                  <a14:compatExt spid="_x0000_s15396"/>
                </a:ext>
                <a:ext uri="{FF2B5EF4-FFF2-40B4-BE49-F238E27FC236}">
                  <a16:creationId xmlns:a16="http://schemas.microsoft.com/office/drawing/2014/main" id="{00000000-0008-0000-0300-00002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5397" name="並替" hidden="1">
              <a:extLst>
                <a:ext uri="{63B3BB69-23CF-44E3-9099-C40C66FF867C}">
                  <a14:compatExt spid="_x0000_s15397"/>
                </a:ext>
                <a:ext uri="{FF2B5EF4-FFF2-40B4-BE49-F238E27FC236}">
                  <a16:creationId xmlns:a16="http://schemas.microsoft.com/office/drawing/2014/main" id="{00000000-0008-0000-0300-00002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5398" name="戻る2" hidden="1">
              <a:extLst>
                <a:ext uri="{63B3BB69-23CF-44E3-9099-C40C66FF867C}">
                  <a14:compatExt spid="_x0000_s15398"/>
                </a:ext>
                <a:ext uri="{FF2B5EF4-FFF2-40B4-BE49-F238E27FC236}">
                  <a16:creationId xmlns:a16="http://schemas.microsoft.com/office/drawing/2014/main" id="{00000000-0008-0000-0300-00002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5399" name="環境設定2" hidden="1">
              <a:extLst>
                <a:ext uri="{63B3BB69-23CF-44E3-9099-C40C66FF867C}">
                  <a14:compatExt spid="_x0000_s15399"/>
                </a:ext>
                <a:ext uri="{FF2B5EF4-FFF2-40B4-BE49-F238E27FC236}">
                  <a16:creationId xmlns:a16="http://schemas.microsoft.com/office/drawing/2014/main" id="{00000000-0008-0000-0300-00002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5400" name="再選択" hidden="1">
              <a:extLst>
                <a:ext uri="{63B3BB69-23CF-44E3-9099-C40C66FF867C}">
                  <a14:compatExt spid="_x0000_s15400"/>
                </a:ext>
                <a:ext uri="{FF2B5EF4-FFF2-40B4-BE49-F238E27FC236}">
                  <a16:creationId xmlns:a16="http://schemas.microsoft.com/office/drawing/2014/main" id="{00000000-0008-0000-0300-00002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5401" name="ﾃﾞｰﾀ処理" hidden="1">
              <a:extLst>
                <a:ext uri="{63B3BB69-23CF-44E3-9099-C40C66FF867C}">
                  <a14:compatExt spid="_x0000_s15401"/>
                </a:ext>
                <a:ext uri="{FF2B5EF4-FFF2-40B4-BE49-F238E27FC236}">
                  <a16:creationId xmlns:a16="http://schemas.microsoft.com/office/drawing/2014/main" id="{00000000-0008-0000-0300-00002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5402" name="詳細無" hidden="1">
              <a:extLst>
                <a:ext uri="{63B3BB69-23CF-44E3-9099-C40C66FF867C}">
                  <a14:compatExt spid="_x0000_s15402"/>
                </a:ext>
                <a:ext uri="{FF2B5EF4-FFF2-40B4-BE49-F238E27FC236}">
                  <a16:creationId xmlns:a16="http://schemas.microsoft.com/office/drawing/2014/main" id="{00000000-0008-0000-0300-00002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5403" name="参照1" hidden="1">
              <a:extLst>
                <a:ext uri="{63B3BB69-23CF-44E3-9099-C40C66FF867C}">
                  <a14:compatExt spid="_x0000_s15403"/>
                </a:ext>
                <a:ext uri="{FF2B5EF4-FFF2-40B4-BE49-F238E27FC236}">
                  <a16:creationId xmlns:a16="http://schemas.microsoft.com/office/drawing/2014/main" id="{00000000-0008-0000-0300-00002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5404" name="参照2" hidden="1">
              <a:extLst>
                <a:ext uri="{63B3BB69-23CF-44E3-9099-C40C66FF867C}">
                  <a14:compatExt spid="_x0000_s15404"/>
                </a:ext>
                <a:ext uri="{FF2B5EF4-FFF2-40B4-BE49-F238E27FC236}">
                  <a16:creationId xmlns:a16="http://schemas.microsoft.com/office/drawing/2014/main" id="{00000000-0008-0000-0300-00002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5405" name="入力" hidden="1">
              <a:extLst>
                <a:ext uri="{63B3BB69-23CF-44E3-9099-C40C66FF867C}">
                  <a14:compatExt spid="_x0000_s15405"/>
                </a:ext>
                <a:ext uri="{FF2B5EF4-FFF2-40B4-BE49-F238E27FC236}">
                  <a16:creationId xmlns:a16="http://schemas.microsoft.com/office/drawing/2014/main" id="{00000000-0008-0000-0300-00002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5406" name="入力" hidden="1">
              <a:extLst>
                <a:ext uri="{63B3BB69-23CF-44E3-9099-C40C66FF867C}">
                  <a14:compatExt spid="_x0000_s15406"/>
                </a:ext>
                <a:ext uri="{FF2B5EF4-FFF2-40B4-BE49-F238E27FC236}">
                  <a16:creationId xmlns:a16="http://schemas.microsoft.com/office/drawing/2014/main" id="{00000000-0008-0000-0300-00002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9A494B8B-1122-4EBF-BA3F-FCB2254F3C33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EF881BAA-9DC9-4233-BEFD-B73B3E14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89F3359C-DE9D-4C34-B798-57AEB01B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930211D-C3BA-4075-96DB-6E164375D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9457" name="表示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4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9458" name="表示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4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9459" name="呼出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4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9460" name="保存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4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9461" name="終了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4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9462" name="印刷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4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9463" name="入力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00000000-0008-0000-0400-00000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9464" name="削除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00000000-0008-0000-04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9465" name="合計無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04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9466" name="ヘルプ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4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9467" name="税無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id="{00000000-0008-0000-04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9468" name="画像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4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9469" name="画像PW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00000000-0008-0000-04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9470" name="明細入力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id="{00000000-0008-0000-04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9471" name="明細書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id="{00000000-0008-0000-04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5333A062-D943-4FA4-B3A4-4C112748D755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CF7240F2-67CA-4516-9338-D283710A0D69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62986C0C-9F74-4104-9B3A-7771F6E24273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6865D9DC-4AC6-485E-A9E7-94482E5F669A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9472" name="客呼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00000000-0008-0000-04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9473" name="入力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id="{00000000-0008-0000-04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9474" name="担当呼出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id="{00000000-0008-0000-04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9475" name="品名呼出01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id="{00000000-0008-0000-04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9476" name="品名呼出02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id="{00000000-0008-0000-04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9477" name="品名呼出03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id="{00000000-0008-0000-04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9478" name="品名呼出04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id="{00000000-0008-0000-04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9479" name="品名呼出05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id="{00000000-0008-0000-04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9480" name="品名呼出06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id="{00000000-0008-0000-04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9481" name="品名呼出07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id="{00000000-0008-0000-04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9482" name="品名呼出08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id="{00000000-0008-0000-04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9483" name="品名呼出09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id="{00000000-0008-0000-04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9484" name="品名呼出10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id="{00000000-0008-0000-04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9485" name="品名呼出11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id="{00000000-0008-0000-04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9486" name="品名呼出12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id="{00000000-0008-0000-04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9487" name="更新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id="{00000000-0008-0000-04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9488" name="プレビュー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id="{00000000-0008-0000-04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9489" name="環境設定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:a16="http://schemas.microsoft.com/office/drawing/2014/main" id="{00000000-0008-0000-04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9490" name="詳細無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:a16="http://schemas.microsoft.com/office/drawing/2014/main" id="{00000000-0008-0000-04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9491" name="電卓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id="{00000000-0008-0000-04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9492" name="データ更新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:a16="http://schemas.microsoft.com/office/drawing/2014/main" id="{00000000-0008-0000-04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9493" name="並替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id="{00000000-0008-0000-04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9494" name="戻る2" hidden="1">
              <a:extLst>
                <a:ext uri="{63B3BB69-23CF-44E3-9099-C40C66FF867C}">
                  <a14:compatExt spid="_x0000_s19494"/>
                </a:ext>
                <a:ext uri="{FF2B5EF4-FFF2-40B4-BE49-F238E27FC236}">
                  <a16:creationId xmlns:a16="http://schemas.microsoft.com/office/drawing/2014/main" id="{00000000-0008-0000-0400-00002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9495" name="環境設定2" hidden="1">
              <a:extLst>
                <a:ext uri="{63B3BB69-23CF-44E3-9099-C40C66FF867C}">
                  <a14:compatExt spid="_x0000_s19495"/>
                </a:ext>
                <a:ext uri="{FF2B5EF4-FFF2-40B4-BE49-F238E27FC236}">
                  <a16:creationId xmlns:a16="http://schemas.microsoft.com/office/drawing/2014/main" id="{00000000-0008-0000-0400-00002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9496" name="再選択" hidden="1">
              <a:extLst>
                <a:ext uri="{63B3BB69-23CF-44E3-9099-C40C66FF867C}">
                  <a14:compatExt spid="_x0000_s19496"/>
                </a:ext>
                <a:ext uri="{FF2B5EF4-FFF2-40B4-BE49-F238E27FC236}">
                  <a16:creationId xmlns:a16="http://schemas.microsoft.com/office/drawing/2014/main" id="{00000000-0008-0000-0400-00002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9497" name="ﾃﾞｰﾀ処理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id="{00000000-0008-0000-04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9498" name="詳細無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:a16="http://schemas.microsoft.com/office/drawing/2014/main" id="{00000000-0008-0000-04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9499" name="参照1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:a16="http://schemas.microsoft.com/office/drawing/2014/main" id="{00000000-0008-0000-04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9500" name="参照2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:a16="http://schemas.microsoft.com/office/drawing/2014/main" id="{00000000-0008-0000-04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9501" name="入力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:a16="http://schemas.microsoft.com/office/drawing/2014/main" id="{00000000-0008-0000-04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9502" name="入力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:a16="http://schemas.microsoft.com/office/drawing/2014/main" id="{00000000-0008-0000-04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D2971E3B-3CD9-41C0-A06D-8547F4512CD8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47885D9C-792E-4546-AABC-C86BD960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ED0569E9-449F-4A93-B28D-61EA3B34D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81FC849-2AE3-4C19-8ECB-DDD5C6D6A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24577" name="表示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287BF7B5-931B-404C-A2F3-03E530DF4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24578" name="表示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41489A76-828C-4519-BEDD-AF234597B5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24579" name="呼出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180AE5D7-5E0C-453E-9E25-93D50E74F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24580" name="保存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92CF3E71-6637-49B8-B1D1-43BF65A14A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24581" name="終了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B72F3BC7-D689-4179-AA4C-D90D08F18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24582" name="印刷" hidden="1">
              <a:extLst>
                <a:ext uri="{63B3BB69-23CF-44E3-9099-C40C66FF867C}">
                  <a14:compatExt spid="_x0000_s24582"/>
                </a:ext>
                <a:ext uri="{FF2B5EF4-FFF2-40B4-BE49-F238E27FC236}">
                  <a16:creationId xmlns:a16="http://schemas.microsoft.com/office/drawing/2014/main" id="{C4ACAF3D-9653-41AB-9AB6-969ACDC700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24583" name="入力" hidden="1">
              <a:extLst>
                <a:ext uri="{63B3BB69-23CF-44E3-9099-C40C66FF867C}">
                  <a14:compatExt spid="_x0000_s24583"/>
                </a:ext>
                <a:ext uri="{FF2B5EF4-FFF2-40B4-BE49-F238E27FC236}">
                  <a16:creationId xmlns:a16="http://schemas.microsoft.com/office/drawing/2014/main" id="{9B912447-D53C-4F12-BBF1-41F5C729E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24584" name="削除" hidden="1">
              <a:extLst>
                <a:ext uri="{63B3BB69-23CF-44E3-9099-C40C66FF867C}">
                  <a14:compatExt spid="_x0000_s24584"/>
                </a:ext>
                <a:ext uri="{FF2B5EF4-FFF2-40B4-BE49-F238E27FC236}">
                  <a16:creationId xmlns:a16="http://schemas.microsoft.com/office/drawing/2014/main" id="{B0012CBA-18D5-401F-99B4-C30C7223F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24585" name="合計無" hidden="1">
              <a:extLst>
                <a:ext uri="{63B3BB69-23CF-44E3-9099-C40C66FF867C}">
                  <a14:compatExt spid="_x0000_s24585"/>
                </a:ext>
                <a:ext uri="{FF2B5EF4-FFF2-40B4-BE49-F238E27FC236}">
                  <a16:creationId xmlns:a16="http://schemas.microsoft.com/office/drawing/2014/main" id="{54325C77-D489-498D-B71C-BFE7B59C0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24586" name="ヘルプ" hidden="1">
              <a:extLst>
                <a:ext uri="{63B3BB69-23CF-44E3-9099-C40C66FF867C}">
                  <a14:compatExt spid="_x0000_s24586"/>
                </a:ext>
                <a:ext uri="{FF2B5EF4-FFF2-40B4-BE49-F238E27FC236}">
                  <a16:creationId xmlns:a16="http://schemas.microsoft.com/office/drawing/2014/main" id="{16574244-0E36-4922-9AD6-09335C7DA2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24587" name="税無" hidden="1">
              <a:extLst>
                <a:ext uri="{63B3BB69-23CF-44E3-9099-C40C66FF867C}">
                  <a14:compatExt spid="_x0000_s24587"/>
                </a:ext>
                <a:ext uri="{FF2B5EF4-FFF2-40B4-BE49-F238E27FC236}">
                  <a16:creationId xmlns:a16="http://schemas.microsoft.com/office/drawing/2014/main" id="{554DD2C5-7A82-4FB5-8CC6-7EFD72BBF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24588" name="画像" hidden="1">
              <a:extLst>
                <a:ext uri="{63B3BB69-23CF-44E3-9099-C40C66FF867C}">
                  <a14:compatExt spid="_x0000_s24588"/>
                </a:ext>
                <a:ext uri="{FF2B5EF4-FFF2-40B4-BE49-F238E27FC236}">
                  <a16:creationId xmlns:a16="http://schemas.microsoft.com/office/drawing/2014/main" id="{59214981-68CB-43DE-98DB-3CAD04DAE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24589" name="画像PW" hidden="1">
              <a:extLst>
                <a:ext uri="{63B3BB69-23CF-44E3-9099-C40C66FF867C}">
                  <a14:compatExt spid="_x0000_s24589"/>
                </a:ext>
                <a:ext uri="{FF2B5EF4-FFF2-40B4-BE49-F238E27FC236}">
                  <a16:creationId xmlns:a16="http://schemas.microsoft.com/office/drawing/2014/main" id="{F2B9AF19-E238-4ED3-BE84-82D8BC39F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24590" name="明細入力" hidden="1">
              <a:extLst>
                <a:ext uri="{63B3BB69-23CF-44E3-9099-C40C66FF867C}">
                  <a14:compatExt spid="_x0000_s24590"/>
                </a:ext>
                <a:ext uri="{FF2B5EF4-FFF2-40B4-BE49-F238E27FC236}">
                  <a16:creationId xmlns:a16="http://schemas.microsoft.com/office/drawing/2014/main" id="{F0644934-8D82-4D2A-A397-44B05AAE40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24591" name="明細書" hidden="1">
              <a:extLst>
                <a:ext uri="{63B3BB69-23CF-44E3-9099-C40C66FF867C}">
                  <a14:compatExt spid="_x0000_s24591"/>
                </a:ext>
                <a:ext uri="{FF2B5EF4-FFF2-40B4-BE49-F238E27FC236}">
                  <a16:creationId xmlns:a16="http://schemas.microsoft.com/office/drawing/2014/main" id="{637E4BDB-7704-4F70-BDFB-DFB2C1C13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740947F0-CDCF-4879-8B01-8E5262F50EC8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55300922-E8C4-4282-B713-5DB63594B972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B61796B2-F652-4579-A71F-6ADBBB8CCD61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509B8B06-C877-45CE-8FC0-774CAF79573E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24592" name="客呼" hidden="1">
              <a:extLst>
                <a:ext uri="{63B3BB69-23CF-44E3-9099-C40C66FF867C}">
                  <a14:compatExt spid="_x0000_s24592"/>
                </a:ext>
                <a:ext uri="{FF2B5EF4-FFF2-40B4-BE49-F238E27FC236}">
                  <a16:creationId xmlns:a16="http://schemas.microsoft.com/office/drawing/2014/main" id="{DA1F791B-17FE-4706-94E5-CCC7B61752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24593" name="入力" hidden="1">
              <a:extLst>
                <a:ext uri="{63B3BB69-23CF-44E3-9099-C40C66FF867C}">
                  <a14:compatExt spid="_x0000_s24593"/>
                </a:ext>
                <a:ext uri="{FF2B5EF4-FFF2-40B4-BE49-F238E27FC236}">
                  <a16:creationId xmlns:a16="http://schemas.microsoft.com/office/drawing/2014/main" id="{AE45BB46-A7F4-448B-ABC7-D4474BA0CA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24594" name="担当呼出" hidden="1">
              <a:extLst>
                <a:ext uri="{63B3BB69-23CF-44E3-9099-C40C66FF867C}">
                  <a14:compatExt spid="_x0000_s24594"/>
                </a:ext>
                <a:ext uri="{FF2B5EF4-FFF2-40B4-BE49-F238E27FC236}">
                  <a16:creationId xmlns:a16="http://schemas.microsoft.com/office/drawing/2014/main" id="{2DA6AB31-2EB5-443A-87BD-F69ABB6372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24595" name="品名呼出01" hidden="1">
              <a:extLst>
                <a:ext uri="{63B3BB69-23CF-44E3-9099-C40C66FF867C}">
                  <a14:compatExt spid="_x0000_s24595"/>
                </a:ext>
                <a:ext uri="{FF2B5EF4-FFF2-40B4-BE49-F238E27FC236}">
                  <a16:creationId xmlns:a16="http://schemas.microsoft.com/office/drawing/2014/main" id="{799CCF5C-B448-4404-92B7-A705FE6F79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24596" name="品名呼出02" hidden="1">
              <a:extLst>
                <a:ext uri="{63B3BB69-23CF-44E3-9099-C40C66FF867C}">
                  <a14:compatExt spid="_x0000_s24596"/>
                </a:ext>
                <a:ext uri="{FF2B5EF4-FFF2-40B4-BE49-F238E27FC236}">
                  <a16:creationId xmlns:a16="http://schemas.microsoft.com/office/drawing/2014/main" id="{5F216343-70F8-4E20-AA6E-E9FCCFDE71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24597" name="品名呼出03" hidden="1">
              <a:extLst>
                <a:ext uri="{63B3BB69-23CF-44E3-9099-C40C66FF867C}">
                  <a14:compatExt spid="_x0000_s24597"/>
                </a:ext>
                <a:ext uri="{FF2B5EF4-FFF2-40B4-BE49-F238E27FC236}">
                  <a16:creationId xmlns:a16="http://schemas.microsoft.com/office/drawing/2014/main" id="{CB7AF2E4-1417-4876-9AEC-D764A6991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4598" name="品名呼出04" hidden="1">
              <a:extLst>
                <a:ext uri="{63B3BB69-23CF-44E3-9099-C40C66FF867C}">
                  <a14:compatExt spid="_x0000_s24598"/>
                </a:ext>
                <a:ext uri="{FF2B5EF4-FFF2-40B4-BE49-F238E27FC236}">
                  <a16:creationId xmlns:a16="http://schemas.microsoft.com/office/drawing/2014/main" id="{A7A16C48-A251-41B8-A421-727A432DF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24599" name="品名呼出05" hidden="1">
              <a:extLst>
                <a:ext uri="{63B3BB69-23CF-44E3-9099-C40C66FF867C}">
                  <a14:compatExt spid="_x0000_s24599"/>
                </a:ext>
                <a:ext uri="{FF2B5EF4-FFF2-40B4-BE49-F238E27FC236}">
                  <a16:creationId xmlns:a16="http://schemas.microsoft.com/office/drawing/2014/main" id="{377D7720-54B0-4309-80E7-E76A4DD269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24600" name="品名呼出06" hidden="1">
              <a:extLst>
                <a:ext uri="{63B3BB69-23CF-44E3-9099-C40C66FF867C}">
                  <a14:compatExt spid="_x0000_s24600"/>
                </a:ext>
                <a:ext uri="{FF2B5EF4-FFF2-40B4-BE49-F238E27FC236}">
                  <a16:creationId xmlns:a16="http://schemas.microsoft.com/office/drawing/2014/main" id="{815E5780-C503-4536-B02E-3AAEF3093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24601" name="品名呼出07" hidden="1">
              <a:extLst>
                <a:ext uri="{63B3BB69-23CF-44E3-9099-C40C66FF867C}">
                  <a14:compatExt spid="_x0000_s24601"/>
                </a:ext>
                <a:ext uri="{FF2B5EF4-FFF2-40B4-BE49-F238E27FC236}">
                  <a16:creationId xmlns:a16="http://schemas.microsoft.com/office/drawing/2014/main" id="{0B32404B-AA79-4832-9307-D3438A724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24602" name="品名呼出08" hidden="1">
              <a:extLst>
                <a:ext uri="{63B3BB69-23CF-44E3-9099-C40C66FF867C}">
                  <a14:compatExt spid="_x0000_s24602"/>
                </a:ext>
                <a:ext uri="{FF2B5EF4-FFF2-40B4-BE49-F238E27FC236}">
                  <a16:creationId xmlns:a16="http://schemas.microsoft.com/office/drawing/2014/main" id="{146A3FEB-CCCA-4503-B72F-84479EB7BE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24603" name="品名呼出09" hidden="1">
              <a:extLst>
                <a:ext uri="{63B3BB69-23CF-44E3-9099-C40C66FF867C}">
                  <a14:compatExt spid="_x0000_s24603"/>
                </a:ext>
                <a:ext uri="{FF2B5EF4-FFF2-40B4-BE49-F238E27FC236}">
                  <a16:creationId xmlns:a16="http://schemas.microsoft.com/office/drawing/2014/main" id="{E5F15945-DB9F-4D91-85C7-2FA4EC9DA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24604" name="品名呼出10" hidden="1">
              <a:extLst>
                <a:ext uri="{63B3BB69-23CF-44E3-9099-C40C66FF867C}">
                  <a14:compatExt spid="_x0000_s24604"/>
                </a:ext>
                <a:ext uri="{FF2B5EF4-FFF2-40B4-BE49-F238E27FC236}">
                  <a16:creationId xmlns:a16="http://schemas.microsoft.com/office/drawing/2014/main" id="{5BC2E089-F1E0-4430-81A4-33EF2065A1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24605" name="品名呼出11" hidden="1">
              <a:extLst>
                <a:ext uri="{63B3BB69-23CF-44E3-9099-C40C66FF867C}">
                  <a14:compatExt spid="_x0000_s24605"/>
                </a:ext>
                <a:ext uri="{FF2B5EF4-FFF2-40B4-BE49-F238E27FC236}">
                  <a16:creationId xmlns:a16="http://schemas.microsoft.com/office/drawing/2014/main" id="{E9419EA8-131A-45CD-9BCF-0AD0BC491F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24606" name="品名呼出12" hidden="1">
              <a:extLst>
                <a:ext uri="{63B3BB69-23CF-44E3-9099-C40C66FF867C}">
                  <a14:compatExt spid="_x0000_s24606"/>
                </a:ext>
                <a:ext uri="{FF2B5EF4-FFF2-40B4-BE49-F238E27FC236}">
                  <a16:creationId xmlns:a16="http://schemas.microsoft.com/office/drawing/2014/main" id="{167003ED-0979-4BB4-8B30-C50475D4B8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24607" name="更新" hidden="1">
              <a:extLst>
                <a:ext uri="{63B3BB69-23CF-44E3-9099-C40C66FF867C}">
                  <a14:compatExt spid="_x0000_s24607"/>
                </a:ext>
                <a:ext uri="{FF2B5EF4-FFF2-40B4-BE49-F238E27FC236}">
                  <a16:creationId xmlns:a16="http://schemas.microsoft.com/office/drawing/2014/main" id="{590B1BAF-3970-4BF3-A284-B732B0D4A3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24608" name="プレビュー" hidden="1">
              <a:extLst>
                <a:ext uri="{63B3BB69-23CF-44E3-9099-C40C66FF867C}">
                  <a14:compatExt spid="_x0000_s24608"/>
                </a:ext>
                <a:ext uri="{FF2B5EF4-FFF2-40B4-BE49-F238E27FC236}">
                  <a16:creationId xmlns:a16="http://schemas.microsoft.com/office/drawing/2014/main" id="{5C6CB570-74E2-43D0-A2D3-B9B91BADD1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24609" name="環境設定" hidden="1">
              <a:extLst>
                <a:ext uri="{63B3BB69-23CF-44E3-9099-C40C66FF867C}">
                  <a14:compatExt spid="_x0000_s24609"/>
                </a:ext>
                <a:ext uri="{FF2B5EF4-FFF2-40B4-BE49-F238E27FC236}">
                  <a16:creationId xmlns:a16="http://schemas.microsoft.com/office/drawing/2014/main" id="{E4F25DE6-85DE-428A-ACC5-CA24A09CBF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24610" name="詳細無" hidden="1">
              <a:extLst>
                <a:ext uri="{63B3BB69-23CF-44E3-9099-C40C66FF867C}">
                  <a14:compatExt spid="_x0000_s24610"/>
                </a:ext>
                <a:ext uri="{FF2B5EF4-FFF2-40B4-BE49-F238E27FC236}">
                  <a16:creationId xmlns:a16="http://schemas.microsoft.com/office/drawing/2014/main" id="{45850DC0-5C7E-4FAC-A4A2-4E0123834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24611" name="電卓" hidden="1">
              <a:extLst>
                <a:ext uri="{63B3BB69-23CF-44E3-9099-C40C66FF867C}">
                  <a14:compatExt spid="_x0000_s24611"/>
                </a:ext>
                <a:ext uri="{FF2B5EF4-FFF2-40B4-BE49-F238E27FC236}">
                  <a16:creationId xmlns:a16="http://schemas.microsoft.com/office/drawing/2014/main" id="{C32DECB8-2AAE-4F2C-8A92-8E0758429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24612" name="データ更新" hidden="1">
              <a:extLst>
                <a:ext uri="{63B3BB69-23CF-44E3-9099-C40C66FF867C}">
                  <a14:compatExt spid="_x0000_s24612"/>
                </a:ext>
                <a:ext uri="{FF2B5EF4-FFF2-40B4-BE49-F238E27FC236}">
                  <a16:creationId xmlns:a16="http://schemas.microsoft.com/office/drawing/2014/main" id="{3F5CD3F8-469E-4651-9630-4F946C372C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24613" name="並替" hidden="1">
              <a:extLst>
                <a:ext uri="{63B3BB69-23CF-44E3-9099-C40C66FF867C}">
                  <a14:compatExt spid="_x0000_s24613"/>
                </a:ext>
                <a:ext uri="{FF2B5EF4-FFF2-40B4-BE49-F238E27FC236}">
                  <a16:creationId xmlns:a16="http://schemas.microsoft.com/office/drawing/2014/main" id="{9122B295-9E98-4483-BB90-6352C3789A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24614" name="戻る2" hidden="1">
              <a:extLst>
                <a:ext uri="{63B3BB69-23CF-44E3-9099-C40C66FF867C}">
                  <a14:compatExt spid="_x0000_s24614"/>
                </a:ext>
                <a:ext uri="{FF2B5EF4-FFF2-40B4-BE49-F238E27FC236}">
                  <a16:creationId xmlns:a16="http://schemas.microsoft.com/office/drawing/2014/main" id="{791F3E2B-1890-4590-895A-03E6A73DF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24615" name="環境設定2" hidden="1">
              <a:extLst>
                <a:ext uri="{63B3BB69-23CF-44E3-9099-C40C66FF867C}">
                  <a14:compatExt spid="_x0000_s24615"/>
                </a:ext>
                <a:ext uri="{FF2B5EF4-FFF2-40B4-BE49-F238E27FC236}">
                  <a16:creationId xmlns:a16="http://schemas.microsoft.com/office/drawing/2014/main" id="{B732B6F3-93A0-430B-B01D-5CD24F57E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24616" name="再選択" hidden="1">
              <a:extLst>
                <a:ext uri="{63B3BB69-23CF-44E3-9099-C40C66FF867C}">
                  <a14:compatExt spid="_x0000_s24616"/>
                </a:ext>
                <a:ext uri="{FF2B5EF4-FFF2-40B4-BE49-F238E27FC236}">
                  <a16:creationId xmlns:a16="http://schemas.microsoft.com/office/drawing/2014/main" id="{9C0BCAFF-97B0-4849-97B5-75FE380D0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24617" name="ﾃﾞｰﾀ処理" hidden="1">
              <a:extLst>
                <a:ext uri="{63B3BB69-23CF-44E3-9099-C40C66FF867C}">
                  <a14:compatExt spid="_x0000_s24617"/>
                </a:ext>
                <a:ext uri="{FF2B5EF4-FFF2-40B4-BE49-F238E27FC236}">
                  <a16:creationId xmlns:a16="http://schemas.microsoft.com/office/drawing/2014/main" id="{4EB07903-B5B9-47BF-8066-5D7427C30C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24618" name="詳細無" hidden="1">
              <a:extLst>
                <a:ext uri="{63B3BB69-23CF-44E3-9099-C40C66FF867C}">
                  <a14:compatExt spid="_x0000_s24618"/>
                </a:ext>
                <a:ext uri="{FF2B5EF4-FFF2-40B4-BE49-F238E27FC236}">
                  <a16:creationId xmlns:a16="http://schemas.microsoft.com/office/drawing/2014/main" id="{3D75FF2B-5F31-456D-A1FA-9388E619C3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24619" name="参照1" hidden="1">
              <a:extLst>
                <a:ext uri="{63B3BB69-23CF-44E3-9099-C40C66FF867C}">
                  <a14:compatExt spid="_x0000_s24619"/>
                </a:ext>
                <a:ext uri="{FF2B5EF4-FFF2-40B4-BE49-F238E27FC236}">
                  <a16:creationId xmlns:a16="http://schemas.microsoft.com/office/drawing/2014/main" id="{E37881A3-E1A2-454E-ACC1-F92D0B1316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24620" name="参照2" hidden="1">
              <a:extLst>
                <a:ext uri="{63B3BB69-23CF-44E3-9099-C40C66FF867C}">
                  <a14:compatExt spid="_x0000_s24620"/>
                </a:ext>
                <a:ext uri="{FF2B5EF4-FFF2-40B4-BE49-F238E27FC236}">
                  <a16:creationId xmlns:a16="http://schemas.microsoft.com/office/drawing/2014/main" id="{F4654910-AD3D-4FE6-9909-794981D1D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24621" name="入力" hidden="1">
              <a:extLst>
                <a:ext uri="{63B3BB69-23CF-44E3-9099-C40C66FF867C}">
                  <a14:compatExt spid="_x0000_s24621"/>
                </a:ext>
                <a:ext uri="{FF2B5EF4-FFF2-40B4-BE49-F238E27FC236}">
                  <a16:creationId xmlns:a16="http://schemas.microsoft.com/office/drawing/2014/main" id="{3495B977-6EB6-47DF-BF3C-AED03BF456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24622" name="入力" hidden="1">
              <a:extLst>
                <a:ext uri="{63B3BB69-23CF-44E3-9099-C40C66FF867C}">
                  <a14:compatExt spid="_x0000_s24622"/>
                </a:ext>
                <a:ext uri="{FF2B5EF4-FFF2-40B4-BE49-F238E27FC236}">
                  <a16:creationId xmlns:a16="http://schemas.microsoft.com/office/drawing/2014/main" id="{E77DC8D4-F13A-4D0D-922C-BD0BE4BC1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49B9F2E9-5938-4C12-AD98-18CE184C6316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4870E877-FEEC-4114-8872-06E6B1006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3234A17A-0E8A-438E-B231-E57CAC3B8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B90CA94-F692-42F5-80B7-77A0719D7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9" Type="http://schemas.openxmlformats.org/officeDocument/2006/relationships/ctrlProp" Target="../ctrlProps/ctrlProp128.x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42" Type="http://schemas.openxmlformats.org/officeDocument/2006/relationships/ctrlProp" Target="../ctrlProps/ctrlProp131.xml"/><Relationship Id="rId47" Type="http://schemas.openxmlformats.org/officeDocument/2006/relationships/ctrlProp" Target="../ctrlProps/ctrlProp136.xml"/><Relationship Id="rId7" Type="http://schemas.openxmlformats.org/officeDocument/2006/relationships/ctrlProp" Target="../ctrlProps/ctrlProp9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9" Type="http://schemas.openxmlformats.org/officeDocument/2006/relationships/ctrlProp" Target="../ctrlProps/ctrlProp118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37" Type="http://schemas.openxmlformats.org/officeDocument/2006/relationships/ctrlProp" Target="../ctrlProps/ctrlProp126.xml"/><Relationship Id="rId40" Type="http://schemas.openxmlformats.org/officeDocument/2006/relationships/ctrlProp" Target="../ctrlProps/ctrlProp129.xml"/><Relationship Id="rId45" Type="http://schemas.openxmlformats.org/officeDocument/2006/relationships/ctrlProp" Target="../ctrlProps/ctrlProp134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36" Type="http://schemas.openxmlformats.org/officeDocument/2006/relationships/ctrlProp" Target="../ctrlProps/ctrlProp125.xml"/><Relationship Id="rId49" Type="http://schemas.openxmlformats.org/officeDocument/2006/relationships/ctrlProp" Target="../ctrlProps/ctrlProp138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4" Type="http://schemas.openxmlformats.org/officeDocument/2006/relationships/ctrlProp" Target="../ctrlProps/ctrlProp133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43" Type="http://schemas.openxmlformats.org/officeDocument/2006/relationships/ctrlProp" Target="../ctrlProps/ctrlProp132.xml"/><Relationship Id="rId48" Type="http://schemas.openxmlformats.org/officeDocument/2006/relationships/ctrlProp" Target="../ctrlProps/ctrlProp137.xml"/><Relationship Id="rId8" Type="http://schemas.openxmlformats.org/officeDocument/2006/relationships/ctrlProp" Target="../ctrlProps/ctrlProp97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38" Type="http://schemas.openxmlformats.org/officeDocument/2006/relationships/ctrlProp" Target="../ctrlProps/ctrlProp127.xml"/><Relationship Id="rId46" Type="http://schemas.openxmlformats.org/officeDocument/2006/relationships/ctrlProp" Target="../ctrlProps/ctrlProp135.xml"/><Relationship Id="rId20" Type="http://schemas.openxmlformats.org/officeDocument/2006/relationships/ctrlProp" Target="../ctrlProps/ctrlProp109.xml"/><Relationship Id="rId41" Type="http://schemas.openxmlformats.org/officeDocument/2006/relationships/ctrlProp" Target="../ctrlProps/ctrlProp13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48.xml"/><Relationship Id="rId18" Type="http://schemas.openxmlformats.org/officeDocument/2006/relationships/ctrlProp" Target="../ctrlProps/ctrlProp153.xml"/><Relationship Id="rId26" Type="http://schemas.openxmlformats.org/officeDocument/2006/relationships/ctrlProp" Target="../ctrlProps/ctrlProp161.xml"/><Relationship Id="rId39" Type="http://schemas.openxmlformats.org/officeDocument/2006/relationships/ctrlProp" Target="../ctrlProps/ctrlProp174.xml"/><Relationship Id="rId21" Type="http://schemas.openxmlformats.org/officeDocument/2006/relationships/ctrlProp" Target="../ctrlProps/ctrlProp156.xml"/><Relationship Id="rId34" Type="http://schemas.openxmlformats.org/officeDocument/2006/relationships/ctrlProp" Target="../ctrlProps/ctrlProp169.xml"/><Relationship Id="rId42" Type="http://schemas.openxmlformats.org/officeDocument/2006/relationships/ctrlProp" Target="../ctrlProps/ctrlProp177.xml"/><Relationship Id="rId47" Type="http://schemas.openxmlformats.org/officeDocument/2006/relationships/ctrlProp" Target="../ctrlProps/ctrlProp182.xml"/><Relationship Id="rId7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51.xml"/><Relationship Id="rId29" Type="http://schemas.openxmlformats.org/officeDocument/2006/relationships/ctrlProp" Target="../ctrlProps/ctrlProp164.xml"/><Relationship Id="rId11" Type="http://schemas.openxmlformats.org/officeDocument/2006/relationships/ctrlProp" Target="../ctrlProps/ctrlProp146.xml"/><Relationship Id="rId24" Type="http://schemas.openxmlformats.org/officeDocument/2006/relationships/ctrlProp" Target="../ctrlProps/ctrlProp159.xml"/><Relationship Id="rId32" Type="http://schemas.openxmlformats.org/officeDocument/2006/relationships/ctrlProp" Target="../ctrlProps/ctrlProp167.xml"/><Relationship Id="rId37" Type="http://schemas.openxmlformats.org/officeDocument/2006/relationships/ctrlProp" Target="../ctrlProps/ctrlProp172.xml"/><Relationship Id="rId40" Type="http://schemas.openxmlformats.org/officeDocument/2006/relationships/ctrlProp" Target="../ctrlProps/ctrlProp175.xml"/><Relationship Id="rId45" Type="http://schemas.openxmlformats.org/officeDocument/2006/relationships/ctrlProp" Target="../ctrlProps/ctrlProp180.xml"/><Relationship Id="rId5" Type="http://schemas.openxmlformats.org/officeDocument/2006/relationships/ctrlProp" Target="../ctrlProps/ctrlProp140.xml"/><Relationship Id="rId15" Type="http://schemas.openxmlformats.org/officeDocument/2006/relationships/ctrlProp" Target="../ctrlProps/ctrlProp150.xml"/><Relationship Id="rId23" Type="http://schemas.openxmlformats.org/officeDocument/2006/relationships/ctrlProp" Target="../ctrlProps/ctrlProp158.xml"/><Relationship Id="rId28" Type="http://schemas.openxmlformats.org/officeDocument/2006/relationships/ctrlProp" Target="../ctrlProps/ctrlProp163.xml"/><Relationship Id="rId36" Type="http://schemas.openxmlformats.org/officeDocument/2006/relationships/ctrlProp" Target="../ctrlProps/ctrlProp171.xml"/><Relationship Id="rId49" Type="http://schemas.openxmlformats.org/officeDocument/2006/relationships/ctrlProp" Target="../ctrlProps/ctrlProp184.xml"/><Relationship Id="rId10" Type="http://schemas.openxmlformats.org/officeDocument/2006/relationships/ctrlProp" Target="../ctrlProps/ctrlProp145.xml"/><Relationship Id="rId19" Type="http://schemas.openxmlformats.org/officeDocument/2006/relationships/ctrlProp" Target="../ctrlProps/ctrlProp154.xml"/><Relationship Id="rId31" Type="http://schemas.openxmlformats.org/officeDocument/2006/relationships/ctrlProp" Target="../ctrlProps/ctrlProp166.xml"/><Relationship Id="rId44" Type="http://schemas.openxmlformats.org/officeDocument/2006/relationships/ctrlProp" Target="../ctrlProps/ctrlProp179.xml"/><Relationship Id="rId4" Type="http://schemas.openxmlformats.org/officeDocument/2006/relationships/ctrlProp" Target="../ctrlProps/ctrlProp139.xml"/><Relationship Id="rId9" Type="http://schemas.openxmlformats.org/officeDocument/2006/relationships/ctrlProp" Target="../ctrlProps/ctrlProp144.xml"/><Relationship Id="rId14" Type="http://schemas.openxmlformats.org/officeDocument/2006/relationships/ctrlProp" Target="../ctrlProps/ctrlProp149.xml"/><Relationship Id="rId22" Type="http://schemas.openxmlformats.org/officeDocument/2006/relationships/ctrlProp" Target="../ctrlProps/ctrlProp157.xml"/><Relationship Id="rId27" Type="http://schemas.openxmlformats.org/officeDocument/2006/relationships/ctrlProp" Target="../ctrlProps/ctrlProp162.xml"/><Relationship Id="rId30" Type="http://schemas.openxmlformats.org/officeDocument/2006/relationships/ctrlProp" Target="../ctrlProps/ctrlProp165.xml"/><Relationship Id="rId35" Type="http://schemas.openxmlformats.org/officeDocument/2006/relationships/ctrlProp" Target="../ctrlProps/ctrlProp170.xml"/><Relationship Id="rId43" Type="http://schemas.openxmlformats.org/officeDocument/2006/relationships/ctrlProp" Target="../ctrlProps/ctrlProp178.xml"/><Relationship Id="rId48" Type="http://schemas.openxmlformats.org/officeDocument/2006/relationships/ctrlProp" Target="../ctrlProps/ctrlProp183.xml"/><Relationship Id="rId8" Type="http://schemas.openxmlformats.org/officeDocument/2006/relationships/ctrlProp" Target="../ctrlProps/ctrlProp143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147.xml"/><Relationship Id="rId17" Type="http://schemas.openxmlformats.org/officeDocument/2006/relationships/ctrlProp" Target="../ctrlProps/ctrlProp152.xml"/><Relationship Id="rId25" Type="http://schemas.openxmlformats.org/officeDocument/2006/relationships/ctrlProp" Target="../ctrlProps/ctrlProp160.xml"/><Relationship Id="rId33" Type="http://schemas.openxmlformats.org/officeDocument/2006/relationships/ctrlProp" Target="../ctrlProps/ctrlProp168.xml"/><Relationship Id="rId38" Type="http://schemas.openxmlformats.org/officeDocument/2006/relationships/ctrlProp" Target="../ctrlProps/ctrlProp173.xml"/><Relationship Id="rId46" Type="http://schemas.openxmlformats.org/officeDocument/2006/relationships/ctrlProp" Target="../ctrlProps/ctrlProp181.xml"/><Relationship Id="rId20" Type="http://schemas.openxmlformats.org/officeDocument/2006/relationships/ctrlProp" Target="../ctrlProps/ctrlProp155.xml"/><Relationship Id="rId41" Type="http://schemas.openxmlformats.org/officeDocument/2006/relationships/ctrlProp" Target="../ctrlProps/ctrlProp176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4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94.xml"/><Relationship Id="rId18" Type="http://schemas.openxmlformats.org/officeDocument/2006/relationships/ctrlProp" Target="../ctrlProps/ctrlProp199.xml"/><Relationship Id="rId26" Type="http://schemas.openxmlformats.org/officeDocument/2006/relationships/ctrlProp" Target="../ctrlProps/ctrlProp207.xml"/><Relationship Id="rId39" Type="http://schemas.openxmlformats.org/officeDocument/2006/relationships/ctrlProp" Target="../ctrlProps/ctrlProp220.xml"/><Relationship Id="rId21" Type="http://schemas.openxmlformats.org/officeDocument/2006/relationships/ctrlProp" Target="../ctrlProps/ctrlProp202.xml"/><Relationship Id="rId34" Type="http://schemas.openxmlformats.org/officeDocument/2006/relationships/ctrlProp" Target="../ctrlProps/ctrlProp215.xml"/><Relationship Id="rId42" Type="http://schemas.openxmlformats.org/officeDocument/2006/relationships/ctrlProp" Target="../ctrlProps/ctrlProp223.xml"/><Relationship Id="rId47" Type="http://schemas.openxmlformats.org/officeDocument/2006/relationships/ctrlProp" Target="../ctrlProps/ctrlProp228.xml"/><Relationship Id="rId7" Type="http://schemas.openxmlformats.org/officeDocument/2006/relationships/ctrlProp" Target="../ctrlProps/ctrlProp18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97.xml"/><Relationship Id="rId29" Type="http://schemas.openxmlformats.org/officeDocument/2006/relationships/ctrlProp" Target="../ctrlProps/ctrlProp210.xml"/><Relationship Id="rId11" Type="http://schemas.openxmlformats.org/officeDocument/2006/relationships/ctrlProp" Target="../ctrlProps/ctrlProp192.xml"/><Relationship Id="rId24" Type="http://schemas.openxmlformats.org/officeDocument/2006/relationships/ctrlProp" Target="../ctrlProps/ctrlProp205.xml"/><Relationship Id="rId32" Type="http://schemas.openxmlformats.org/officeDocument/2006/relationships/ctrlProp" Target="../ctrlProps/ctrlProp213.xml"/><Relationship Id="rId37" Type="http://schemas.openxmlformats.org/officeDocument/2006/relationships/ctrlProp" Target="../ctrlProps/ctrlProp218.xml"/><Relationship Id="rId40" Type="http://schemas.openxmlformats.org/officeDocument/2006/relationships/ctrlProp" Target="../ctrlProps/ctrlProp221.xml"/><Relationship Id="rId45" Type="http://schemas.openxmlformats.org/officeDocument/2006/relationships/ctrlProp" Target="../ctrlProps/ctrlProp226.xml"/><Relationship Id="rId5" Type="http://schemas.openxmlformats.org/officeDocument/2006/relationships/ctrlProp" Target="../ctrlProps/ctrlProp186.xml"/><Relationship Id="rId15" Type="http://schemas.openxmlformats.org/officeDocument/2006/relationships/ctrlProp" Target="../ctrlProps/ctrlProp196.xml"/><Relationship Id="rId23" Type="http://schemas.openxmlformats.org/officeDocument/2006/relationships/ctrlProp" Target="../ctrlProps/ctrlProp204.xml"/><Relationship Id="rId28" Type="http://schemas.openxmlformats.org/officeDocument/2006/relationships/ctrlProp" Target="../ctrlProps/ctrlProp209.xml"/><Relationship Id="rId36" Type="http://schemas.openxmlformats.org/officeDocument/2006/relationships/ctrlProp" Target="../ctrlProps/ctrlProp217.xml"/><Relationship Id="rId49" Type="http://schemas.openxmlformats.org/officeDocument/2006/relationships/ctrlProp" Target="../ctrlProps/ctrlProp230.xml"/><Relationship Id="rId10" Type="http://schemas.openxmlformats.org/officeDocument/2006/relationships/ctrlProp" Target="../ctrlProps/ctrlProp191.xml"/><Relationship Id="rId19" Type="http://schemas.openxmlformats.org/officeDocument/2006/relationships/ctrlProp" Target="../ctrlProps/ctrlProp200.xml"/><Relationship Id="rId31" Type="http://schemas.openxmlformats.org/officeDocument/2006/relationships/ctrlProp" Target="../ctrlProps/ctrlProp212.xml"/><Relationship Id="rId44" Type="http://schemas.openxmlformats.org/officeDocument/2006/relationships/ctrlProp" Target="../ctrlProps/ctrlProp225.xml"/><Relationship Id="rId4" Type="http://schemas.openxmlformats.org/officeDocument/2006/relationships/ctrlProp" Target="../ctrlProps/ctrlProp185.xml"/><Relationship Id="rId9" Type="http://schemas.openxmlformats.org/officeDocument/2006/relationships/ctrlProp" Target="../ctrlProps/ctrlProp190.xml"/><Relationship Id="rId14" Type="http://schemas.openxmlformats.org/officeDocument/2006/relationships/ctrlProp" Target="../ctrlProps/ctrlProp195.xml"/><Relationship Id="rId22" Type="http://schemas.openxmlformats.org/officeDocument/2006/relationships/ctrlProp" Target="../ctrlProps/ctrlProp203.xml"/><Relationship Id="rId27" Type="http://schemas.openxmlformats.org/officeDocument/2006/relationships/ctrlProp" Target="../ctrlProps/ctrlProp208.xml"/><Relationship Id="rId30" Type="http://schemas.openxmlformats.org/officeDocument/2006/relationships/ctrlProp" Target="../ctrlProps/ctrlProp211.xml"/><Relationship Id="rId35" Type="http://schemas.openxmlformats.org/officeDocument/2006/relationships/ctrlProp" Target="../ctrlProps/ctrlProp216.xml"/><Relationship Id="rId43" Type="http://schemas.openxmlformats.org/officeDocument/2006/relationships/ctrlProp" Target="../ctrlProps/ctrlProp224.xml"/><Relationship Id="rId48" Type="http://schemas.openxmlformats.org/officeDocument/2006/relationships/ctrlProp" Target="../ctrlProps/ctrlProp229.xml"/><Relationship Id="rId8" Type="http://schemas.openxmlformats.org/officeDocument/2006/relationships/ctrlProp" Target="../ctrlProps/ctrlProp189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193.xml"/><Relationship Id="rId17" Type="http://schemas.openxmlformats.org/officeDocument/2006/relationships/ctrlProp" Target="../ctrlProps/ctrlProp198.xml"/><Relationship Id="rId25" Type="http://schemas.openxmlformats.org/officeDocument/2006/relationships/ctrlProp" Target="../ctrlProps/ctrlProp206.xml"/><Relationship Id="rId33" Type="http://schemas.openxmlformats.org/officeDocument/2006/relationships/ctrlProp" Target="../ctrlProps/ctrlProp214.xml"/><Relationship Id="rId38" Type="http://schemas.openxmlformats.org/officeDocument/2006/relationships/ctrlProp" Target="../ctrlProps/ctrlProp219.xml"/><Relationship Id="rId46" Type="http://schemas.openxmlformats.org/officeDocument/2006/relationships/ctrlProp" Target="../ctrlProps/ctrlProp227.xml"/><Relationship Id="rId20" Type="http://schemas.openxmlformats.org/officeDocument/2006/relationships/ctrlProp" Target="../ctrlProps/ctrlProp201.xml"/><Relationship Id="rId41" Type="http://schemas.openxmlformats.org/officeDocument/2006/relationships/ctrlProp" Target="../ctrlProps/ctrlProp22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87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40.xml"/><Relationship Id="rId18" Type="http://schemas.openxmlformats.org/officeDocument/2006/relationships/ctrlProp" Target="../ctrlProps/ctrlProp245.xml"/><Relationship Id="rId26" Type="http://schemas.openxmlformats.org/officeDocument/2006/relationships/ctrlProp" Target="../ctrlProps/ctrlProp253.xml"/><Relationship Id="rId39" Type="http://schemas.openxmlformats.org/officeDocument/2006/relationships/ctrlProp" Target="../ctrlProps/ctrlProp266.xml"/><Relationship Id="rId21" Type="http://schemas.openxmlformats.org/officeDocument/2006/relationships/ctrlProp" Target="../ctrlProps/ctrlProp248.xml"/><Relationship Id="rId34" Type="http://schemas.openxmlformats.org/officeDocument/2006/relationships/ctrlProp" Target="../ctrlProps/ctrlProp261.xml"/><Relationship Id="rId42" Type="http://schemas.openxmlformats.org/officeDocument/2006/relationships/ctrlProp" Target="../ctrlProps/ctrlProp269.xml"/><Relationship Id="rId47" Type="http://schemas.openxmlformats.org/officeDocument/2006/relationships/ctrlProp" Target="../ctrlProps/ctrlProp274.xml"/><Relationship Id="rId7" Type="http://schemas.openxmlformats.org/officeDocument/2006/relationships/ctrlProp" Target="../ctrlProps/ctrlProp234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43.xml"/><Relationship Id="rId29" Type="http://schemas.openxmlformats.org/officeDocument/2006/relationships/ctrlProp" Target="../ctrlProps/ctrlProp256.xml"/><Relationship Id="rId11" Type="http://schemas.openxmlformats.org/officeDocument/2006/relationships/ctrlProp" Target="../ctrlProps/ctrlProp238.xml"/><Relationship Id="rId24" Type="http://schemas.openxmlformats.org/officeDocument/2006/relationships/ctrlProp" Target="../ctrlProps/ctrlProp251.xml"/><Relationship Id="rId32" Type="http://schemas.openxmlformats.org/officeDocument/2006/relationships/ctrlProp" Target="../ctrlProps/ctrlProp259.xml"/><Relationship Id="rId37" Type="http://schemas.openxmlformats.org/officeDocument/2006/relationships/ctrlProp" Target="../ctrlProps/ctrlProp264.xml"/><Relationship Id="rId40" Type="http://schemas.openxmlformats.org/officeDocument/2006/relationships/ctrlProp" Target="../ctrlProps/ctrlProp267.xml"/><Relationship Id="rId45" Type="http://schemas.openxmlformats.org/officeDocument/2006/relationships/ctrlProp" Target="../ctrlProps/ctrlProp272.xml"/><Relationship Id="rId5" Type="http://schemas.openxmlformats.org/officeDocument/2006/relationships/ctrlProp" Target="../ctrlProps/ctrlProp232.xml"/><Relationship Id="rId15" Type="http://schemas.openxmlformats.org/officeDocument/2006/relationships/ctrlProp" Target="../ctrlProps/ctrlProp242.xml"/><Relationship Id="rId23" Type="http://schemas.openxmlformats.org/officeDocument/2006/relationships/ctrlProp" Target="../ctrlProps/ctrlProp250.xml"/><Relationship Id="rId28" Type="http://schemas.openxmlformats.org/officeDocument/2006/relationships/ctrlProp" Target="../ctrlProps/ctrlProp255.xml"/><Relationship Id="rId36" Type="http://schemas.openxmlformats.org/officeDocument/2006/relationships/ctrlProp" Target="../ctrlProps/ctrlProp263.xml"/><Relationship Id="rId49" Type="http://schemas.openxmlformats.org/officeDocument/2006/relationships/ctrlProp" Target="../ctrlProps/ctrlProp276.xml"/><Relationship Id="rId10" Type="http://schemas.openxmlformats.org/officeDocument/2006/relationships/ctrlProp" Target="../ctrlProps/ctrlProp237.xml"/><Relationship Id="rId19" Type="http://schemas.openxmlformats.org/officeDocument/2006/relationships/ctrlProp" Target="../ctrlProps/ctrlProp246.xml"/><Relationship Id="rId31" Type="http://schemas.openxmlformats.org/officeDocument/2006/relationships/ctrlProp" Target="../ctrlProps/ctrlProp258.xml"/><Relationship Id="rId44" Type="http://schemas.openxmlformats.org/officeDocument/2006/relationships/ctrlProp" Target="../ctrlProps/ctrlProp271.xml"/><Relationship Id="rId4" Type="http://schemas.openxmlformats.org/officeDocument/2006/relationships/ctrlProp" Target="../ctrlProps/ctrlProp231.xml"/><Relationship Id="rId9" Type="http://schemas.openxmlformats.org/officeDocument/2006/relationships/ctrlProp" Target="../ctrlProps/ctrlProp236.xml"/><Relationship Id="rId14" Type="http://schemas.openxmlformats.org/officeDocument/2006/relationships/ctrlProp" Target="../ctrlProps/ctrlProp241.xml"/><Relationship Id="rId22" Type="http://schemas.openxmlformats.org/officeDocument/2006/relationships/ctrlProp" Target="../ctrlProps/ctrlProp249.xml"/><Relationship Id="rId27" Type="http://schemas.openxmlformats.org/officeDocument/2006/relationships/ctrlProp" Target="../ctrlProps/ctrlProp254.xml"/><Relationship Id="rId30" Type="http://schemas.openxmlformats.org/officeDocument/2006/relationships/ctrlProp" Target="../ctrlProps/ctrlProp257.xml"/><Relationship Id="rId35" Type="http://schemas.openxmlformats.org/officeDocument/2006/relationships/ctrlProp" Target="../ctrlProps/ctrlProp262.xml"/><Relationship Id="rId43" Type="http://schemas.openxmlformats.org/officeDocument/2006/relationships/ctrlProp" Target="../ctrlProps/ctrlProp270.xml"/><Relationship Id="rId48" Type="http://schemas.openxmlformats.org/officeDocument/2006/relationships/ctrlProp" Target="../ctrlProps/ctrlProp275.xml"/><Relationship Id="rId8" Type="http://schemas.openxmlformats.org/officeDocument/2006/relationships/ctrlProp" Target="../ctrlProps/ctrlProp235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239.xml"/><Relationship Id="rId17" Type="http://schemas.openxmlformats.org/officeDocument/2006/relationships/ctrlProp" Target="../ctrlProps/ctrlProp244.xml"/><Relationship Id="rId25" Type="http://schemas.openxmlformats.org/officeDocument/2006/relationships/ctrlProp" Target="../ctrlProps/ctrlProp252.xml"/><Relationship Id="rId33" Type="http://schemas.openxmlformats.org/officeDocument/2006/relationships/ctrlProp" Target="../ctrlProps/ctrlProp260.xml"/><Relationship Id="rId38" Type="http://schemas.openxmlformats.org/officeDocument/2006/relationships/ctrlProp" Target="../ctrlProps/ctrlProp265.xml"/><Relationship Id="rId46" Type="http://schemas.openxmlformats.org/officeDocument/2006/relationships/ctrlProp" Target="../ctrlProps/ctrlProp273.xml"/><Relationship Id="rId20" Type="http://schemas.openxmlformats.org/officeDocument/2006/relationships/ctrlProp" Target="../ctrlProps/ctrlProp247.xml"/><Relationship Id="rId41" Type="http://schemas.openxmlformats.org/officeDocument/2006/relationships/ctrlProp" Target="../ctrlProps/ctrlProp268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opLeftCell="A28" workbookViewId="0">
      <selection activeCell="B23" sqref="B2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4" t="s">
        <v>74</v>
      </c>
      <c r="N2" s="204"/>
      <c r="O2" s="204"/>
      <c r="P2" s="204"/>
      <c r="Q2" s="204"/>
      <c r="R2" s="204"/>
      <c r="W2" s="4"/>
      <c r="X2" s="4"/>
      <c r="Y2" s="4"/>
      <c r="Z2" s="4"/>
      <c r="AA2" s="169" t="s">
        <v>44</v>
      </c>
      <c r="AB2" s="169"/>
      <c r="AC2" s="169"/>
      <c r="AD2" s="169"/>
      <c r="AE2" s="169"/>
      <c r="AF2" s="169"/>
      <c r="AG2" s="169"/>
      <c r="AH2" s="169"/>
      <c r="AI2" s="169"/>
      <c r="AJ2" s="169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9" t="s">
        <v>103</v>
      </c>
      <c r="F3" s="199"/>
      <c r="G3" s="199"/>
      <c r="H3" s="199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L3" s="5" t="s">
        <v>0</v>
      </c>
      <c r="AM3" s="5"/>
      <c r="AN3" s="180" t="s">
        <v>117</v>
      </c>
      <c r="AO3" s="180"/>
      <c r="AP3" s="180"/>
      <c r="AQ3" s="180"/>
      <c r="AR3" s="180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6" t="s">
        <v>104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6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200">
        <v>7</v>
      </c>
      <c r="AJ6" s="200"/>
      <c r="AK6" s="200"/>
      <c r="AL6" s="9" t="s">
        <v>1</v>
      </c>
      <c r="AM6" s="200">
        <v>4</v>
      </c>
      <c r="AN6" s="200"/>
      <c r="AO6" s="9" t="s">
        <v>2</v>
      </c>
      <c r="AP6" s="200">
        <v>7</v>
      </c>
      <c r="AQ6" s="200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201" t="s">
        <v>102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3" t="s">
        <v>52</v>
      </c>
      <c r="U7" s="203"/>
      <c r="V7" s="20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3"/>
      <c r="U8" s="203"/>
      <c r="V8" s="20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91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81" t="s">
        <v>92</v>
      </c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68"/>
      <c r="Z13" s="72"/>
      <c r="AA13" s="72"/>
      <c r="AB13" s="193" t="s">
        <v>54</v>
      </c>
      <c r="AC13" s="193"/>
      <c r="AD13" s="193"/>
      <c r="AE13" s="194" t="s">
        <v>77</v>
      </c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5" t="s">
        <v>55</v>
      </c>
      <c r="AC15" s="195"/>
      <c r="AD15" s="195"/>
      <c r="AE15" s="194" t="s">
        <v>78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0"/>
      <c r="K17" s="180"/>
      <c r="L17" s="180"/>
      <c r="M17" s="5"/>
      <c r="N17" s="180"/>
      <c r="O17" s="180"/>
      <c r="P17" s="5"/>
      <c r="Q17" s="180"/>
      <c r="R17" s="180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81" t="s">
        <v>86</v>
      </c>
      <c r="AG17" s="181"/>
      <c r="AH17" s="181"/>
      <c r="AI17" s="181"/>
      <c r="AJ17" s="181"/>
      <c r="AK17" s="181"/>
      <c r="AL17" s="18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C19" s="72"/>
      <c r="D19" s="72"/>
      <c r="E19" s="72"/>
      <c r="F19" s="72"/>
      <c r="G19" s="72"/>
      <c r="H19" s="72"/>
      <c r="I19" s="72"/>
      <c r="J19" s="79">
        <f>H39</f>
        <v>1953600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AB19" s="182"/>
      <c r="AC19" s="183"/>
      <c r="AD19" s="183"/>
      <c r="AE19" s="183"/>
      <c r="AF19" s="184"/>
      <c r="AG19" s="182"/>
      <c r="AH19" s="183"/>
      <c r="AI19" s="183"/>
      <c r="AJ19" s="183"/>
      <c r="AK19" s="184"/>
      <c r="AL19" s="182"/>
      <c r="AM19" s="183"/>
      <c r="AN19" s="183"/>
      <c r="AO19" s="183"/>
      <c r="AP19" s="18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C20" s="72"/>
      <c r="D20" s="207" t="s">
        <v>87</v>
      </c>
      <c r="E20" s="207"/>
      <c r="F20" s="207"/>
      <c r="G20" s="207"/>
      <c r="H20" s="207"/>
      <c r="I20" s="207"/>
      <c r="J20" s="205">
        <f>H39</f>
        <v>1953600</v>
      </c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AB20" s="185"/>
      <c r="AC20" s="186"/>
      <c r="AD20" s="186"/>
      <c r="AE20" s="186"/>
      <c r="AF20" s="187"/>
      <c r="AG20" s="185"/>
      <c r="AH20" s="186"/>
      <c r="AI20" s="186"/>
      <c r="AJ20" s="186"/>
      <c r="AK20" s="187"/>
      <c r="AL20" s="185"/>
      <c r="AM20" s="186"/>
      <c r="AN20" s="186"/>
      <c r="AO20" s="186"/>
      <c r="AP20" s="18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C21" s="72"/>
      <c r="D21" s="208"/>
      <c r="E21" s="208"/>
      <c r="F21" s="208"/>
      <c r="G21" s="208"/>
      <c r="H21" s="208"/>
      <c r="I21" s="208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AB21" s="185"/>
      <c r="AC21" s="186"/>
      <c r="AD21" s="186"/>
      <c r="AE21" s="186"/>
      <c r="AF21" s="187"/>
      <c r="AG21" s="185"/>
      <c r="AH21" s="186"/>
      <c r="AI21" s="186"/>
      <c r="AJ21" s="186"/>
      <c r="AK21" s="187"/>
      <c r="AL21" s="185"/>
      <c r="AM21" s="186"/>
      <c r="AN21" s="186"/>
      <c r="AO21" s="186"/>
      <c r="AP21" s="18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3" t="s">
        <v>151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72"/>
      <c r="AB22" s="188"/>
      <c r="AC22" s="189"/>
      <c r="AD22" s="189"/>
      <c r="AE22" s="189"/>
      <c r="AF22" s="190"/>
      <c r="AG22" s="188"/>
      <c r="AH22" s="189"/>
      <c r="AI22" s="189"/>
      <c r="AJ22" s="189"/>
      <c r="AK22" s="190"/>
      <c r="AL22" s="188"/>
      <c r="AM22" s="189"/>
      <c r="AN22" s="189"/>
      <c r="AO22" s="189"/>
      <c r="AP22" s="19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4" t="s">
        <v>8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6"/>
      <c r="T24" s="161" t="s">
        <v>9</v>
      </c>
      <c r="U24" s="162"/>
      <c r="V24" s="162"/>
      <c r="W24" s="162"/>
      <c r="X24" s="162"/>
      <c r="Y24" s="162"/>
      <c r="Z24" s="163"/>
      <c r="AA24" s="161" t="s">
        <v>88</v>
      </c>
      <c r="AB24" s="162"/>
      <c r="AC24" s="162"/>
      <c r="AD24" s="162"/>
      <c r="AE24" s="162"/>
      <c r="AF24" s="161" t="s">
        <v>10</v>
      </c>
      <c r="AG24" s="162"/>
      <c r="AH24" s="162"/>
      <c r="AI24" s="162"/>
      <c r="AJ24" s="162"/>
      <c r="AK24" s="162"/>
      <c r="AL24" s="163"/>
      <c r="AM24" s="161" t="s">
        <v>11</v>
      </c>
      <c r="AN24" s="162"/>
      <c r="AO24" s="162"/>
      <c r="AP24" s="162"/>
      <c r="AQ24" s="162"/>
      <c r="AR24" s="162"/>
      <c r="AS24" s="16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7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9"/>
      <c r="T25" s="164"/>
      <c r="U25" s="165"/>
      <c r="V25" s="165"/>
      <c r="W25" s="165"/>
      <c r="X25" s="165"/>
      <c r="Y25" s="165"/>
      <c r="Z25" s="166"/>
      <c r="AA25" s="164"/>
      <c r="AB25" s="165"/>
      <c r="AC25" s="165"/>
      <c r="AD25" s="165"/>
      <c r="AE25" s="165"/>
      <c r="AF25" s="164"/>
      <c r="AG25" s="165"/>
      <c r="AH25" s="165"/>
      <c r="AI25" s="165"/>
      <c r="AJ25" s="165"/>
      <c r="AK25" s="165"/>
      <c r="AL25" s="166"/>
      <c r="AM25" s="164"/>
      <c r="AN25" s="165"/>
      <c r="AO25" s="165"/>
      <c r="AP25" s="165"/>
      <c r="AQ25" s="165"/>
      <c r="AR25" s="165"/>
      <c r="AS25" s="16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58" t="s">
        <v>111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60"/>
      <c r="T26" s="153"/>
      <c r="U26" s="154"/>
      <c r="V26" s="154"/>
      <c r="W26" s="154"/>
      <c r="X26" s="155" t="s">
        <v>20</v>
      </c>
      <c r="Y26" s="155"/>
      <c r="Z26" s="156"/>
      <c r="AA26" s="153">
        <v>66000</v>
      </c>
      <c r="AB26" s="154"/>
      <c r="AC26" s="154"/>
      <c r="AD26" s="154"/>
      <c r="AE26" s="157"/>
      <c r="AF26" s="153">
        <f t="shared" ref="AF26" si="0">IF(T26="",1*AA26,T26*AA26)</f>
        <v>66000</v>
      </c>
      <c r="AG26" s="154"/>
      <c r="AH26" s="154"/>
      <c r="AI26" s="154"/>
      <c r="AJ26" s="154"/>
      <c r="AK26" s="154"/>
      <c r="AL26" s="157"/>
      <c r="AM26" s="209" t="s">
        <v>94</v>
      </c>
      <c r="AN26" s="159"/>
      <c r="AO26" s="159"/>
      <c r="AP26" s="159"/>
      <c r="AQ26" s="159"/>
      <c r="AR26" s="159"/>
      <c r="AS26" s="210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58" t="s">
        <v>115</v>
      </c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60"/>
      <c r="T27" s="153"/>
      <c r="U27" s="154"/>
      <c r="V27" s="154"/>
      <c r="W27" s="154"/>
      <c r="X27" s="155" t="s">
        <v>20</v>
      </c>
      <c r="Y27" s="155"/>
      <c r="Z27" s="156"/>
      <c r="AA27" s="153">
        <v>150000</v>
      </c>
      <c r="AB27" s="154"/>
      <c r="AC27" s="154"/>
      <c r="AD27" s="154"/>
      <c r="AE27" s="157"/>
      <c r="AF27" s="153">
        <f t="shared" ref="AF27" si="1">IF(T27="",1*AA27,T27*AA27)</f>
        <v>150000</v>
      </c>
      <c r="AG27" s="154"/>
      <c r="AH27" s="154"/>
      <c r="AI27" s="154"/>
      <c r="AJ27" s="154"/>
      <c r="AK27" s="154"/>
      <c r="AL27" s="157"/>
      <c r="AM27" s="209" t="s">
        <v>93</v>
      </c>
      <c r="AN27" s="159"/>
      <c r="AO27" s="159"/>
      <c r="AP27" s="159"/>
      <c r="AQ27" s="159"/>
      <c r="AR27" s="159"/>
      <c r="AS27" s="210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58" t="s">
        <v>116</v>
      </c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60"/>
      <c r="T28" s="153"/>
      <c r="U28" s="154"/>
      <c r="V28" s="154"/>
      <c r="W28" s="154"/>
      <c r="X28" s="155" t="s">
        <v>20</v>
      </c>
      <c r="Y28" s="155"/>
      <c r="Z28" s="156"/>
      <c r="AA28" s="153">
        <v>150000</v>
      </c>
      <c r="AB28" s="154"/>
      <c r="AC28" s="154"/>
      <c r="AD28" s="154"/>
      <c r="AE28" s="157"/>
      <c r="AF28" s="153">
        <f>IF(T28="",1*AA28,T28*AA28)</f>
        <v>150000</v>
      </c>
      <c r="AG28" s="154"/>
      <c r="AH28" s="154"/>
      <c r="AI28" s="154"/>
      <c r="AJ28" s="154"/>
      <c r="AK28" s="154"/>
      <c r="AL28" s="157"/>
      <c r="AM28" s="209" t="s">
        <v>95</v>
      </c>
      <c r="AN28" s="159"/>
      <c r="AO28" s="159"/>
      <c r="AP28" s="159"/>
      <c r="AQ28" s="159"/>
      <c r="AR28" s="159"/>
      <c r="AS28" s="210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58" t="s">
        <v>111</v>
      </c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60"/>
      <c r="T29" s="153"/>
      <c r="U29" s="154"/>
      <c r="V29" s="154"/>
      <c r="W29" s="154"/>
      <c r="X29" s="155" t="s">
        <v>20</v>
      </c>
      <c r="Y29" s="155"/>
      <c r="Z29" s="156"/>
      <c r="AA29" s="153">
        <v>85000</v>
      </c>
      <c r="AB29" s="154"/>
      <c r="AC29" s="154"/>
      <c r="AD29" s="154"/>
      <c r="AE29" s="157"/>
      <c r="AF29" s="153">
        <f t="shared" ref="AF29" si="2">IF(T29="",1*AA29,T29*AA29)</f>
        <v>85000</v>
      </c>
      <c r="AG29" s="154"/>
      <c r="AH29" s="154"/>
      <c r="AI29" s="154"/>
      <c r="AJ29" s="154"/>
      <c r="AK29" s="154"/>
      <c r="AL29" s="157"/>
      <c r="AM29" s="209" t="s">
        <v>96</v>
      </c>
      <c r="AN29" s="159"/>
      <c r="AO29" s="159"/>
      <c r="AP29" s="159"/>
      <c r="AQ29" s="159"/>
      <c r="AR29" s="159"/>
      <c r="AS29" s="210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58" t="s">
        <v>114</v>
      </c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60"/>
      <c r="T30" s="153"/>
      <c r="U30" s="154"/>
      <c r="V30" s="154"/>
      <c r="W30" s="154"/>
      <c r="X30" s="155" t="s">
        <v>20</v>
      </c>
      <c r="Y30" s="155"/>
      <c r="Z30" s="156"/>
      <c r="AA30" s="153">
        <v>230000</v>
      </c>
      <c r="AB30" s="154"/>
      <c r="AC30" s="154"/>
      <c r="AD30" s="154"/>
      <c r="AE30" s="157"/>
      <c r="AF30" s="153">
        <f t="shared" ref="AF30" si="3">IF(T30="",1*AA30,T30*AA30)</f>
        <v>230000</v>
      </c>
      <c r="AG30" s="154"/>
      <c r="AH30" s="154"/>
      <c r="AI30" s="154"/>
      <c r="AJ30" s="154"/>
      <c r="AK30" s="154"/>
      <c r="AL30" s="157"/>
      <c r="AM30" s="209" t="s">
        <v>97</v>
      </c>
      <c r="AN30" s="159"/>
      <c r="AO30" s="159"/>
      <c r="AP30" s="159"/>
      <c r="AQ30" s="159"/>
      <c r="AR30" s="159"/>
      <c r="AS30" s="210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58" t="s">
        <v>111</v>
      </c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60"/>
      <c r="T31" s="153"/>
      <c r="U31" s="154"/>
      <c r="V31" s="154"/>
      <c r="W31" s="154"/>
      <c r="X31" s="155" t="s">
        <v>20</v>
      </c>
      <c r="Y31" s="155"/>
      <c r="Z31" s="156"/>
      <c r="AA31" s="153">
        <v>85000</v>
      </c>
      <c r="AB31" s="154"/>
      <c r="AC31" s="154"/>
      <c r="AD31" s="154"/>
      <c r="AE31" s="157"/>
      <c r="AF31" s="153">
        <f t="shared" ref="AF31:AF32" si="4">IF(T31="",1*AA31,T31*AA31)</f>
        <v>85000</v>
      </c>
      <c r="AG31" s="154"/>
      <c r="AH31" s="154"/>
      <c r="AI31" s="154"/>
      <c r="AJ31" s="154"/>
      <c r="AK31" s="154"/>
      <c r="AL31" s="157"/>
      <c r="AM31" s="209" t="s">
        <v>98</v>
      </c>
      <c r="AN31" s="159"/>
      <c r="AO31" s="159"/>
      <c r="AP31" s="159"/>
      <c r="AQ31" s="159"/>
      <c r="AR31" s="159"/>
      <c r="AS31" s="210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58" t="s">
        <v>112</v>
      </c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60"/>
      <c r="T32" s="153"/>
      <c r="U32" s="154"/>
      <c r="V32" s="154"/>
      <c r="W32" s="154"/>
      <c r="X32" s="155" t="s">
        <v>20</v>
      </c>
      <c r="Y32" s="155"/>
      <c r="Z32" s="156"/>
      <c r="AA32" s="153">
        <v>150000</v>
      </c>
      <c r="AB32" s="154"/>
      <c r="AC32" s="154"/>
      <c r="AD32" s="154"/>
      <c r="AE32" s="157"/>
      <c r="AF32" s="153">
        <f t="shared" si="4"/>
        <v>150000</v>
      </c>
      <c r="AG32" s="154"/>
      <c r="AH32" s="154"/>
      <c r="AI32" s="154"/>
      <c r="AJ32" s="154"/>
      <c r="AK32" s="154"/>
      <c r="AL32" s="157"/>
      <c r="AM32" s="209" t="s">
        <v>99</v>
      </c>
      <c r="AN32" s="159"/>
      <c r="AO32" s="159"/>
      <c r="AP32" s="159"/>
      <c r="AQ32" s="159"/>
      <c r="AR32" s="159"/>
      <c r="AS32" s="210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58" t="s">
        <v>111</v>
      </c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60"/>
      <c r="T33" s="153"/>
      <c r="U33" s="154"/>
      <c r="V33" s="154"/>
      <c r="W33" s="154"/>
      <c r="X33" s="155" t="s">
        <v>20</v>
      </c>
      <c r="Y33" s="155"/>
      <c r="Z33" s="156"/>
      <c r="AA33" s="153">
        <v>100000</v>
      </c>
      <c r="AB33" s="154"/>
      <c r="AC33" s="154"/>
      <c r="AD33" s="154"/>
      <c r="AE33" s="157"/>
      <c r="AF33" s="153">
        <f>IF(T33="",1*AA33,T33*AA33)</f>
        <v>100000</v>
      </c>
      <c r="AG33" s="154"/>
      <c r="AH33" s="154"/>
      <c r="AI33" s="154"/>
      <c r="AJ33" s="154"/>
      <c r="AK33" s="154"/>
      <c r="AL33" s="157"/>
      <c r="AM33" s="209" t="s">
        <v>100</v>
      </c>
      <c r="AN33" s="159"/>
      <c r="AO33" s="159"/>
      <c r="AP33" s="159"/>
      <c r="AQ33" s="159"/>
      <c r="AR33" s="159"/>
      <c r="AS33" s="210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58" t="s">
        <v>110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60"/>
      <c r="T34" s="153"/>
      <c r="U34" s="154"/>
      <c r="V34" s="154"/>
      <c r="W34" s="154"/>
      <c r="X34" s="155" t="s">
        <v>20</v>
      </c>
      <c r="Y34" s="155"/>
      <c r="Z34" s="156"/>
      <c r="AA34" s="153">
        <v>150000</v>
      </c>
      <c r="AB34" s="154"/>
      <c r="AC34" s="154"/>
      <c r="AD34" s="154"/>
      <c r="AE34" s="157"/>
      <c r="AF34" s="153">
        <f>IF(T34="",1*AA34,T34*AA34)</f>
        <v>150000</v>
      </c>
      <c r="AG34" s="154"/>
      <c r="AH34" s="154"/>
      <c r="AI34" s="154"/>
      <c r="AJ34" s="154"/>
      <c r="AK34" s="154"/>
      <c r="AL34" s="157"/>
      <c r="AM34" s="209" t="s">
        <v>101</v>
      </c>
      <c r="AN34" s="159"/>
      <c r="AO34" s="159"/>
      <c r="AP34" s="159"/>
      <c r="AQ34" s="159"/>
      <c r="AR34" s="159"/>
      <c r="AS34" s="210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58" t="s">
        <v>113</v>
      </c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60"/>
      <c r="T35" s="153"/>
      <c r="U35" s="154"/>
      <c r="V35" s="154"/>
      <c r="W35" s="154"/>
      <c r="X35" s="155" t="s">
        <v>20</v>
      </c>
      <c r="Y35" s="155"/>
      <c r="Z35" s="156"/>
      <c r="AA35" s="153">
        <v>180000</v>
      </c>
      <c r="AB35" s="154"/>
      <c r="AC35" s="154"/>
      <c r="AD35" s="154"/>
      <c r="AE35" s="157"/>
      <c r="AF35" s="153">
        <f>IF(T35="",1*AA35,T35*AA35)</f>
        <v>180000</v>
      </c>
      <c r="AG35" s="154"/>
      <c r="AH35" s="154"/>
      <c r="AI35" s="154"/>
      <c r="AJ35" s="154"/>
      <c r="AK35" s="154"/>
      <c r="AL35" s="157"/>
      <c r="AM35" s="209" t="s">
        <v>106</v>
      </c>
      <c r="AN35" s="159"/>
      <c r="AO35" s="159"/>
      <c r="AP35" s="159"/>
      <c r="AQ35" s="159"/>
      <c r="AR35" s="159"/>
      <c r="AS35" s="210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58" t="s">
        <v>113</v>
      </c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60"/>
      <c r="T36" s="153"/>
      <c r="U36" s="154"/>
      <c r="V36" s="154"/>
      <c r="W36" s="154"/>
      <c r="X36" s="155" t="s">
        <v>20</v>
      </c>
      <c r="Y36" s="155"/>
      <c r="Z36" s="156"/>
      <c r="AA36" s="153">
        <v>180000</v>
      </c>
      <c r="AB36" s="154"/>
      <c r="AC36" s="154"/>
      <c r="AD36" s="154"/>
      <c r="AE36" s="157"/>
      <c r="AF36" s="153">
        <f>IF(T36="",1*AA36,T36*AA36)</f>
        <v>180000</v>
      </c>
      <c r="AG36" s="154"/>
      <c r="AH36" s="154"/>
      <c r="AI36" s="154"/>
      <c r="AJ36" s="154"/>
      <c r="AK36" s="154"/>
      <c r="AL36" s="157"/>
      <c r="AM36" s="209" t="s">
        <v>108</v>
      </c>
      <c r="AN36" s="159"/>
      <c r="AO36" s="159"/>
      <c r="AP36" s="159"/>
      <c r="AQ36" s="159"/>
      <c r="AR36" s="159"/>
      <c r="AS36" s="210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58" t="s">
        <v>109</v>
      </c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60"/>
      <c r="T37" s="145"/>
      <c r="U37" s="146"/>
      <c r="V37" s="146"/>
      <c r="W37" s="146"/>
      <c r="X37" s="147" t="s">
        <v>20</v>
      </c>
      <c r="Y37" s="147"/>
      <c r="Z37" s="148"/>
      <c r="AA37" s="145">
        <v>250000</v>
      </c>
      <c r="AB37" s="146"/>
      <c r="AC37" s="146"/>
      <c r="AD37" s="146"/>
      <c r="AE37" s="149"/>
      <c r="AF37" s="145">
        <f>IF(T37="",1*AA37,T37*AA37)</f>
        <v>250000</v>
      </c>
      <c r="AG37" s="146"/>
      <c r="AH37" s="146"/>
      <c r="AI37" s="146"/>
      <c r="AJ37" s="146"/>
      <c r="AK37" s="146"/>
      <c r="AL37" s="149"/>
      <c r="AM37" s="209" t="s">
        <v>108</v>
      </c>
      <c r="AN37" s="159"/>
      <c r="AO37" s="159"/>
      <c r="AP37" s="159"/>
      <c r="AQ37" s="159"/>
      <c r="AR37" s="159"/>
      <c r="AS37" s="210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220">
        <f>AA38*0.1</f>
        <v>177600</v>
      </c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2"/>
      <c r="T38" s="84" t="s">
        <v>13</v>
      </c>
      <c r="U38" s="106"/>
      <c r="V38" s="106"/>
      <c r="W38" s="106"/>
      <c r="X38" s="106"/>
      <c r="Y38" s="106"/>
      <c r="Z38" s="85"/>
      <c r="AA38" s="223">
        <f>SUM(AF26:AL37)</f>
        <v>1776000</v>
      </c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5"/>
      <c r="AM38" s="214"/>
      <c r="AN38" s="215"/>
      <c r="AO38" s="215"/>
      <c r="AP38" s="215"/>
      <c r="AQ38" s="215"/>
      <c r="AR38" s="215"/>
      <c r="AS38" s="216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217">
        <f>CK115+H38</f>
        <v>1953600</v>
      </c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9"/>
      <c r="AM39" s="211"/>
      <c r="AN39" s="212"/>
      <c r="AO39" s="212"/>
      <c r="AP39" s="212"/>
      <c r="AQ39" s="212"/>
      <c r="AR39" s="212"/>
      <c r="AS39" s="21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107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 t="s">
        <v>105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1776000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1500w　加工デモ　日帰り　ハイエース使用</v>
      </c>
      <c r="FE101" s="61">
        <f>T26</f>
        <v>0</v>
      </c>
      <c r="FF101" s="61" t="str">
        <f>X26</f>
        <v>一式</v>
      </c>
      <c r="FG101" s="61">
        <f>AA26</f>
        <v>66000</v>
      </c>
      <c r="FH101" s="61">
        <f>AF26</f>
        <v>66000</v>
      </c>
      <c r="FI101" s="61" t="str">
        <f>AM26</f>
        <v>岐阜市内客先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5">B27</f>
        <v>FL-LCW 1500w　加工デモ　一泊二日　　公共交通</v>
      </c>
      <c r="FE102" s="61">
        <f t="shared" ref="FE102:FE112" si="6">T27</f>
        <v>0</v>
      </c>
      <c r="FF102" s="61" t="str">
        <f t="shared" ref="FF102:FF112" si="7">X27</f>
        <v>一式</v>
      </c>
      <c r="FG102" s="61">
        <f t="shared" ref="FG102:FG112" si="8">AA27</f>
        <v>150000</v>
      </c>
      <c r="FH102" s="61">
        <f t="shared" ref="FH102:FH112" si="9">AF27</f>
        <v>150000</v>
      </c>
      <c r="FI102" s="61" t="str">
        <f t="shared" ref="FI102:FI112" si="10">AM27</f>
        <v>茨城営業所内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5"/>
        <v>FL-LCW 1500w　加工デモ　一泊二日　　公共交通</v>
      </c>
      <c r="FE103" s="61">
        <f t="shared" si="6"/>
        <v>0</v>
      </c>
      <c r="FF103" s="61" t="str">
        <f t="shared" si="7"/>
        <v>一式</v>
      </c>
      <c r="FG103" s="61">
        <f t="shared" si="8"/>
        <v>150000</v>
      </c>
      <c r="FH103" s="61">
        <f t="shared" si="9"/>
        <v>150000</v>
      </c>
      <c r="FI103" s="61" t="str">
        <f t="shared" si="10"/>
        <v>横浜市内客先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1776000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FL-LCW 1500w　加工デモ　日帰り　ハイエース使用</v>
      </c>
      <c r="FE104" s="61">
        <f t="shared" si="6"/>
        <v>0</v>
      </c>
      <c r="FF104" s="61" t="str">
        <f t="shared" si="7"/>
        <v>一式</v>
      </c>
      <c r="FG104" s="61">
        <f t="shared" si="8"/>
        <v>85000</v>
      </c>
      <c r="FH104" s="61">
        <f t="shared" si="9"/>
        <v>85000</v>
      </c>
      <c r="FI104" s="61" t="str">
        <f t="shared" si="10"/>
        <v>岡崎市内客先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6"/>
        <v>0</v>
      </c>
      <c r="FF105" s="61" t="str">
        <f t="shared" si="7"/>
        <v>一式</v>
      </c>
      <c r="FG105" s="61">
        <f t="shared" si="8"/>
        <v>230000</v>
      </c>
      <c r="FH105" s="61">
        <f t="shared" si="9"/>
        <v>230000</v>
      </c>
      <c r="FI105" s="61" t="str">
        <f t="shared" si="10"/>
        <v>函館市内客先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6"/>
        <v>0</v>
      </c>
      <c r="FF106" s="61" t="str">
        <f t="shared" si="7"/>
        <v>一式</v>
      </c>
      <c r="FG106" s="61">
        <f t="shared" si="8"/>
        <v>85000</v>
      </c>
      <c r="FH106" s="61">
        <f t="shared" si="9"/>
        <v>85000</v>
      </c>
      <c r="FI106" s="61" t="str">
        <f t="shared" si="10"/>
        <v>四日市市内客先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6"/>
        <v>0</v>
      </c>
      <c r="FF107" s="61" t="str">
        <f t="shared" si="7"/>
        <v>一式</v>
      </c>
      <c r="FG107" s="61">
        <f t="shared" si="8"/>
        <v>150000</v>
      </c>
      <c r="FH107" s="61">
        <f t="shared" si="9"/>
        <v>150000</v>
      </c>
      <c r="FI107" s="61" t="str">
        <f t="shared" si="10"/>
        <v>行田市内客先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FL-LCW 1500w　加工デモ　日帰り　ハイエース使用</v>
      </c>
      <c r="FE108" s="61">
        <f t="shared" si="6"/>
        <v>0</v>
      </c>
      <c r="FF108" s="61" t="str">
        <f t="shared" si="7"/>
        <v>一式</v>
      </c>
      <c r="FG108" s="61">
        <f t="shared" si="8"/>
        <v>100000</v>
      </c>
      <c r="FH108" s="61">
        <f t="shared" si="9"/>
        <v>100000</v>
      </c>
      <c r="FI108" s="61" t="str">
        <f t="shared" si="10"/>
        <v>大阪市内客先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 t="str">
        <f t="shared" si="5"/>
        <v>FL-LCW 1500w加工デモ　一泊二日　ハイエース使用</v>
      </c>
      <c r="FE109" s="61">
        <f t="shared" si="6"/>
        <v>0</v>
      </c>
      <c r="FF109" s="61" t="str">
        <f t="shared" si="7"/>
        <v>一式</v>
      </c>
      <c r="FG109" s="61">
        <f t="shared" si="8"/>
        <v>150000</v>
      </c>
      <c r="FH109" s="61">
        <f t="shared" si="9"/>
        <v>150000</v>
      </c>
      <c r="FI109" s="61" t="str">
        <f t="shared" si="10"/>
        <v>千葉県内客先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5"/>
        <v>FL-LCW 1500w加工デモ　一泊二日　　公共交通</v>
      </c>
      <c r="FE110" s="61">
        <f t="shared" si="6"/>
        <v>0</v>
      </c>
      <c r="FF110" s="61" t="str">
        <f t="shared" si="7"/>
        <v>一式</v>
      </c>
      <c r="FG110" s="61">
        <f t="shared" si="8"/>
        <v>180000</v>
      </c>
      <c r="FH110" s="61">
        <f t="shared" si="9"/>
        <v>180000</v>
      </c>
      <c r="FI110" s="61" t="str">
        <f t="shared" si="10"/>
        <v>東京都内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 t="str">
        <f t="shared" si="5"/>
        <v>FL-LCW 1500w加工デモ　一泊二日　　公共交通</v>
      </c>
      <c r="FE111" s="61">
        <f t="shared" si="6"/>
        <v>0</v>
      </c>
      <c r="FF111" s="61" t="str">
        <f t="shared" si="7"/>
        <v>一式</v>
      </c>
      <c r="FG111" s="61">
        <f t="shared" si="8"/>
        <v>180000</v>
      </c>
      <c r="FH111" s="61">
        <f t="shared" si="9"/>
        <v>180000</v>
      </c>
      <c r="FI111" s="61" t="str">
        <f t="shared" si="10"/>
        <v>新潟市内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 t="str">
        <f t="shared" si="5"/>
        <v>FL-LCW 1500w加工デモ　二泊三日　ハイエース使用</v>
      </c>
      <c r="FE112" s="61">
        <f t="shared" si="6"/>
        <v>0</v>
      </c>
      <c r="FF112" s="61" t="str">
        <f t="shared" si="7"/>
        <v>一式</v>
      </c>
      <c r="FG112" s="61">
        <f t="shared" si="8"/>
        <v>250000</v>
      </c>
      <c r="FH112" s="61">
        <f t="shared" si="9"/>
        <v>250000</v>
      </c>
      <c r="FI112" s="61" t="str">
        <f t="shared" si="10"/>
        <v>新潟市内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1776000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M26:AM37 AN35:AS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87FE-A628-4046-A29C-664CDC73F5B1}">
  <sheetPr>
    <pageSetUpPr fitToPage="1"/>
  </sheetPr>
  <dimension ref="A1:FI642"/>
  <sheetViews>
    <sheetView showGridLines="0" showRowColHeaders="0" workbookViewId="0">
      <selection activeCell="B23" sqref="B2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4" t="s">
        <v>74</v>
      </c>
      <c r="N2" s="204"/>
      <c r="O2" s="204"/>
      <c r="P2" s="204"/>
      <c r="Q2" s="204"/>
      <c r="R2" s="204"/>
      <c r="W2" s="4"/>
      <c r="X2" s="4"/>
      <c r="Y2" s="4"/>
      <c r="Z2" s="4"/>
      <c r="AA2" s="169" t="s">
        <v>44</v>
      </c>
      <c r="AB2" s="169"/>
      <c r="AC2" s="169"/>
      <c r="AD2" s="169"/>
      <c r="AE2" s="169"/>
      <c r="AF2" s="169"/>
      <c r="AG2" s="169"/>
      <c r="AH2" s="169"/>
      <c r="AI2" s="169"/>
      <c r="AJ2" s="169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9" t="s">
        <v>103</v>
      </c>
      <c r="F3" s="199"/>
      <c r="G3" s="199"/>
      <c r="H3" s="199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L3" s="5" t="s">
        <v>0</v>
      </c>
      <c r="AM3" s="5"/>
      <c r="AN3" s="180" t="s">
        <v>134</v>
      </c>
      <c r="AO3" s="180"/>
      <c r="AP3" s="180"/>
      <c r="AQ3" s="180"/>
      <c r="AR3" s="180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6" t="s">
        <v>104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6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200">
        <v>7</v>
      </c>
      <c r="AJ6" s="200"/>
      <c r="AK6" s="200"/>
      <c r="AL6" s="9" t="s">
        <v>1</v>
      </c>
      <c r="AM6" s="200">
        <v>7</v>
      </c>
      <c r="AN6" s="200"/>
      <c r="AO6" s="9" t="s">
        <v>2</v>
      </c>
      <c r="AP6" s="200">
        <v>7</v>
      </c>
      <c r="AQ6" s="200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201" t="s">
        <v>102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3" t="s">
        <v>52</v>
      </c>
      <c r="U7" s="203"/>
      <c r="V7" s="20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3"/>
      <c r="U8" s="203"/>
      <c r="V8" s="20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91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81" t="s">
        <v>92</v>
      </c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68"/>
      <c r="Z13" s="72"/>
      <c r="AA13" s="72"/>
      <c r="AB13" s="193" t="s">
        <v>54</v>
      </c>
      <c r="AC13" s="193"/>
      <c r="AD13" s="193"/>
      <c r="AE13" s="194" t="s">
        <v>77</v>
      </c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5" t="s">
        <v>55</v>
      </c>
      <c r="AC15" s="195"/>
      <c r="AD15" s="195"/>
      <c r="AE15" s="194" t="s">
        <v>78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0"/>
      <c r="K17" s="180"/>
      <c r="L17" s="180"/>
      <c r="M17" s="5"/>
      <c r="N17" s="180"/>
      <c r="O17" s="180"/>
      <c r="P17" s="5"/>
      <c r="Q17" s="180"/>
      <c r="R17" s="180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81" t="s">
        <v>86</v>
      </c>
      <c r="AG17" s="181"/>
      <c r="AH17" s="181"/>
      <c r="AI17" s="181"/>
      <c r="AJ17" s="181"/>
      <c r="AK17" s="181"/>
      <c r="AL17" s="18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C19" s="72"/>
      <c r="D19" s="72"/>
      <c r="E19" s="72"/>
      <c r="F19" s="72"/>
      <c r="G19" s="72"/>
      <c r="H19" s="72"/>
      <c r="I19" s="72"/>
      <c r="J19" s="79">
        <f>H39</f>
        <v>1611500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AB19" s="182"/>
      <c r="AC19" s="183"/>
      <c r="AD19" s="183"/>
      <c r="AE19" s="183"/>
      <c r="AF19" s="184"/>
      <c r="AG19" s="182"/>
      <c r="AH19" s="183"/>
      <c r="AI19" s="183"/>
      <c r="AJ19" s="183"/>
      <c r="AK19" s="184"/>
      <c r="AL19" s="182"/>
      <c r="AM19" s="183"/>
      <c r="AN19" s="183"/>
      <c r="AO19" s="183"/>
      <c r="AP19" s="18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C20" s="72"/>
      <c r="D20" s="207" t="s">
        <v>87</v>
      </c>
      <c r="E20" s="207"/>
      <c r="F20" s="207"/>
      <c r="G20" s="207"/>
      <c r="H20" s="207"/>
      <c r="I20" s="207"/>
      <c r="J20" s="205">
        <f>H39</f>
        <v>1611500</v>
      </c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AB20" s="185"/>
      <c r="AC20" s="186"/>
      <c r="AD20" s="186"/>
      <c r="AE20" s="186"/>
      <c r="AF20" s="187"/>
      <c r="AG20" s="185"/>
      <c r="AH20" s="186"/>
      <c r="AI20" s="186"/>
      <c r="AJ20" s="186"/>
      <c r="AK20" s="187"/>
      <c r="AL20" s="185"/>
      <c r="AM20" s="186"/>
      <c r="AN20" s="186"/>
      <c r="AO20" s="186"/>
      <c r="AP20" s="18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C21" s="72"/>
      <c r="D21" s="208"/>
      <c r="E21" s="208"/>
      <c r="F21" s="208"/>
      <c r="G21" s="208"/>
      <c r="H21" s="208"/>
      <c r="I21" s="208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AB21" s="185"/>
      <c r="AC21" s="186"/>
      <c r="AD21" s="186"/>
      <c r="AE21" s="186"/>
      <c r="AF21" s="187"/>
      <c r="AG21" s="185"/>
      <c r="AH21" s="186"/>
      <c r="AI21" s="186"/>
      <c r="AJ21" s="186"/>
      <c r="AK21" s="187"/>
      <c r="AL21" s="185"/>
      <c r="AM21" s="186"/>
      <c r="AN21" s="186"/>
      <c r="AO21" s="186"/>
      <c r="AP21" s="18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3" t="s">
        <v>151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72"/>
      <c r="AB22" s="188"/>
      <c r="AC22" s="189"/>
      <c r="AD22" s="189"/>
      <c r="AE22" s="189"/>
      <c r="AF22" s="190"/>
      <c r="AG22" s="188"/>
      <c r="AH22" s="189"/>
      <c r="AI22" s="189"/>
      <c r="AJ22" s="189"/>
      <c r="AK22" s="190"/>
      <c r="AL22" s="188"/>
      <c r="AM22" s="189"/>
      <c r="AN22" s="189"/>
      <c r="AO22" s="189"/>
      <c r="AP22" s="19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4" t="s">
        <v>8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6"/>
      <c r="T24" s="161" t="s">
        <v>9</v>
      </c>
      <c r="U24" s="162"/>
      <c r="V24" s="162"/>
      <c r="W24" s="162"/>
      <c r="X24" s="162"/>
      <c r="Y24" s="162"/>
      <c r="Z24" s="163"/>
      <c r="AA24" s="161" t="s">
        <v>88</v>
      </c>
      <c r="AB24" s="162"/>
      <c r="AC24" s="162"/>
      <c r="AD24" s="162"/>
      <c r="AE24" s="162"/>
      <c r="AF24" s="161" t="s">
        <v>10</v>
      </c>
      <c r="AG24" s="162"/>
      <c r="AH24" s="162"/>
      <c r="AI24" s="162"/>
      <c r="AJ24" s="162"/>
      <c r="AK24" s="162"/>
      <c r="AL24" s="163"/>
      <c r="AM24" s="161" t="s">
        <v>11</v>
      </c>
      <c r="AN24" s="162"/>
      <c r="AO24" s="162"/>
      <c r="AP24" s="162"/>
      <c r="AQ24" s="162"/>
      <c r="AR24" s="162"/>
      <c r="AS24" s="16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7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9"/>
      <c r="T25" s="164"/>
      <c r="U25" s="165"/>
      <c r="V25" s="165"/>
      <c r="W25" s="165"/>
      <c r="X25" s="165"/>
      <c r="Y25" s="165"/>
      <c r="Z25" s="166"/>
      <c r="AA25" s="164"/>
      <c r="AB25" s="165"/>
      <c r="AC25" s="165"/>
      <c r="AD25" s="165"/>
      <c r="AE25" s="165"/>
      <c r="AF25" s="164"/>
      <c r="AG25" s="165"/>
      <c r="AH25" s="165"/>
      <c r="AI25" s="165"/>
      <c r="AJ25" s="165"/>
      <c r="AK25" s="165"/>
      <c r="AL25" s="166"/>
      <c r="AM25" s="164"/>
      <c r="AN25" s="165"/>
      <c r="AO25" s="165"/>
      <c r="AP25" s="165"/>
      <c r="AQ25" s="165"/>
      <c r="AR25" s="165"/>
      <c r="AS25" s="16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120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270000</v>
      </c>
      <c r="AB26" s="154"/>
      <c r="AC26" s="154"/>
      <c r="AD26" s="154"/>
      <c r="AE26" s="157"/>
      <c r="AF26" s="153">
        <f t="shared" ref="AF26:AF27" si="0">IF(T26="",1*AA26,T26*AA26)</f>
        <v>270000</v>
      </c>
      <c r="AG26" s="154"/>
      <c r="AH26" s="154"/>
      <c r="AI26" s="154"/>
      <c r="AJ26" s="154"/>
      <c r="AK26" s="154"/>
      <c r="AL26" s="157"/>
      <c r="AM26" s="209" t="s">
        <v>118</v>
      </c>
      <c r="AN26" s="159"/>
      <c r="AO26" s="159"/>
      <c r="AP26" s="159"/>
      <c r="AQ26" s="159"/>
      <c r="AR26" s="159"/>
      <c r="AS26" s="210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121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150000</v>
      </c>
      <c r="AB27" s="154"/>
      <c r="AC27" s="154"/>
      <c r="AD27" s="154"/>
      <c r="AE27" s="157"/>
      <c r="AF27" s="153">
        <f t="shared" si="0"/>
        <v>150000</v>
      </c>
      <c r="AG27" s="154"/>
      <c r="AH27" s="154"/>
      <c r="AI27" s="154"/>
      <c r="AJ27" s="154"/>
      <c r="AK27" s="154"/>
      <c r="AL27" s="157"/>
      <c r="AM27" s="209" t="s">
        <v>119</v>
      </c>
      <c r="AN27" s="159"/>
      <c r="AO27" s="159"/>
      <c r="AP27" s="159"/>
      <c r="AQ27" s="159"/>
      <c r="AR27" s="159"/>
      <c r="AS27" s="210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122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 t="s">
        <v>20</v>
      </c>
      <c r="Y28" s="155"/>
      <c r="Z28" s="156"/>
      <c r="AA28" s="153">
        <v>150000</v>
      </c>
      <c r="AB28" s="154"/>
      <c r="AC28" s="154"/>
      <c r="AD28" s="154"/>
      <c r="AE28" s="157"/>
      <c r="AF28" s="153">
        <f>IF(T28="",1*AA28,T28*AA28)</f>
        <v>150000</v>
      </c>
      <c r="AG28" s="154"/>
      <c r="AH28" s="154"/>
      <c r="AI28" s="154"/>
      <c r="AJ28" s="154"/>
      <c r="AK28" s="154"/>
      <c r="AL28" s="157"/>
      <c r="AM28" s="209" t="s">
        <v>123</v>
      </c>
      <c r="AN28" s="159"/>
      <c r="AO28" s="159"/>
      <c r="AP28" s="159"/>
      <c r="AQ28" s="159"/>
      <c r="AR28" s="159"/>
      <c r="AS28" s="210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126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 t="s">
        <v>20</v>
      </c>
      <c r="Y29" s="155"/>
      <c r="Z29" s="156"/>
      <c r="AA29" s="153">
        <v>100000</v>
      </c>
      <c r="AB29" s="154"/>
      <c r="AC29" s="154"/>
      <c r="AD29" s="154"/>
      <c r="AE29" s="157"/>
      <c r="AF29" s="153">
        <f t="shared" ref="AF29:AF32" si="1">IF(T29="",1*AA29,T29*AA29)</f>
        <v>100000</v>
      </c>
      <c r="AG29" s="154"/>
      <c r="AH29" s="154"/>
      <c r="AI29" s="154"/>
      <c r="AJ29" s="154"/>
      <c r="AK29" s="154"/>
      <c r="AL29" s="157"/>
      <c r="AM29" s="209" t="s">
        <v>124</v>
      </c>
      <c r="AN29" s="159"/>
      <c r="AO29" s="159"/>
      <c r="AP29" s="159"/>
      <c r="AQ29" s="159"/>
      <c r="AR29" s="159"/>
      <c r="AS29" s="210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126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 t="s">
        <v>20</v>
      </c>
      <c r="Y30" s="155"/>
      <c r="Z30" s="156"/>
      <c r="AA30" s="153">
        <v>120000</v>
      </c>
      <c r="AB30" s="154"/>
      <c r="AC30" s="154"/>
      <c r="AD30" s="154"/>
      <c r="AE30" s="157"/>
      <c r="AF30" s="153">
        <f t="shared" si="1"/>
        <v>120000</v>
      </c>
      <c r="AG30" s="154"/>
      <c r="AH30" s="154"/>
      <c r="AI30" s="154"/>
      <c r="AJ30" s="154"/>
      <c r="AK30" s="154"/>
      <c r="AL30" s="157"/>
      <c r="AM30" s="209" t="s">
        <v>125</v>
      </c>
      <c r="AN30" s="159"/>
      <c r="AO30" s="159"/>
      <c r="AP30" s="159"/>
      <c r="AQ30" s="159"/>
      <c r="AR30" s="159"/>
      <c r="AS30" s="210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127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 t="s">
        <v>20</v>
      </c>
      <c r="Y31" s="155"/>
      <c r="Z31" s="156"/>
      <c r="AA31" s="153">
        <v>125000</v>
      </c>
      <c r="AB31" s="154"/>
      <c r="AC31" s="154"/>
      <c r="AD31" s="154"/>
      <c r="AE31" s="157"/>
      <c r="AF31" s="153">
        <f t="shared" si="1"/>
        <v>125000</v>
      </c>
      <c r="AG31" s="154"/>
      <c r="AH31" s="154"/>
      <c r="AI31" s="154"/>
      <c r="AJ31" s="154"/>
      <c r="AK31" s="154"/>
      <c r="AL31" s="157"/>
      <c r="AM31" s="209" t="s">
        <v>124</v>
      </c>
      <c r="AN31" s="159"/>
      <c r="AO31" s="159"/>
      <c r="AP31" s="159"/>
      <c r="AQ31" s="159"/>
      <c r="AR31" s="159"/>
      <c r="AS31" s="210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127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 t="s">
        <v>20</v>
      </c>
      <c r="Y32" s="155"/>
      <c r="Z32" s="156"/>
      <c r="AA32" s="153">
        <v>145000</v>
      </c>
      <c r="AB32" s="154"/>
      <c r="AC32" s="154"/>
      <c r="AD32" s="154"/>
      <c r="AE32" s="157"/>
      <c r="AF32" s="153">
        <f t="shared" si="1"/>
        <v>145000</v>
      </c>
      <c r="AG32" s="154"/>
      <c r="AH32" s="154"/>
      <c r="AI32" s="154"/>
      <c r="AJ32" s="154"/>
      <c r="AK32" s="154"/>
      <c r="AL32" s="157"/>
      <c r="AM32" s="209" t="s">
        <v>125</v>
      </c>
      <c r="AN32" s="159"/>
      <c r="AO32" s="159"/>
      <c r="AP32" s="159"/>
      <c r="AQ32" s="159"/>
      <c r="AR32" s="159"/>
      <c r="AS32" s="210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 t="s">
        <v>129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 t="s">
        <v>20</v>
      </c>
      <c r="Y33" s="155"/>
      <c r="Z33" s="156"/>
      <c r="AA33" s="153">
        <v>150000</v>
      </c>
      <c r="AB33" s="154"/>
      <c r="AC33" s="154"/>
      <c r="AD33" s="154"/>
      <c r="AE33" s="157"/>
      <c r="AF33" s="153">
        <f>IF(T33="",1*AA33,T33*AA33)</f>
        <v>150000</v>
      </c>
      <c r="AG33" s="154"/>
      <c r="AH33" s="154"/>
      <c r="AI33" s="154"/>
      <c r="AJ33" s="154"/>
      <c r="AK33" s="154"/>
      <c r="AL33" s="157"/>
      <c r="AM33" s="209" t="s">
        <v>128</v>
      </c>
      <c r="AN33" s="159"/>
      <c r="AO33" s="159"/>
      <c r="AP33" s="159"/>
      <c r="AQ33" s="159"/>
      <c r="AR33" s="159"/>
      <c r="AS33" s="210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58" t="s">
        <v>131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60"/>
      <c r="T34" s="153"/>
      <c r="U34" s="154"/>
      <c r="V34" s="154"/>
      <c r="W34" s="154"/>
      <c r="X34" s="155" t="s">
        <v>20</v>
      </c>
      <c r="Y34" s="155"/>
      <c r="Z34" s="156"/>
      <c r="AA34" s="153">
        <v>205000</v>
      </c>
      <c r="AB34" s="154"/>
      <c r="AC34" s="154"/>
      <c r="AD34" s="154"/>
      <c r="AE34" s="157"/>
      <c r="AF34" s="153">
        <f>IF(T34="",1*AA34,T34*AA34)</f>
        <v>205000</v>
      </c>
      <c r="AG34" s="154"/>
      <c r="AH34" s="154"/>
      <c r="AI34" s="154"/>
      <c r="AJ34" s="154"/>
      <c r="AK34" s="154"/>
      <c r="AL34" s="157"/>
      <c r="AM34" s="209" t="s">
        <v>106</v>
      </c>
      <c r="AN34" s="159"/>
      <c r="AO34" s="159"/>
      <c r="AP34" s="159"/>
      <c r="AQ34" s="159"/>
      <c r="AR34" s="159"/>
      <c r="AS34" s="210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133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 t="s">
        <v>20</v>
      </c>
      <c r="Y35" s="155"/>
      <c r="Z35" s="156"/>
      <c r="AA35" s="153">
        <v>50000</v>
      </c>
      <c r="AB35" s="154"/>
      <c r="AC35" s="154"/>
      <c r="AD35" s="154"/>
      <c r="AE35" s="157"/>
      <c r="AF35" s="153">
        <f>IF(T35="",1*AA35,T35*AA35)</f>
        <v>50000</v>
      </c>
      <c r="AG35" s="154"/>
      <c r="AH35" s="154"/>
      <c r="AI35" s="154"/>
      <c r="AJ35" s="154"/>
      <c r="AK35" s="154"/>
      <c r="AL35" s="157"/>
      <c r="AM35" s="209" t="s">
        <v>132</v>
      </c>
      <c r="AN35" s="159"/>
      <c r="AO35" s="159"/>
      <c r="AP35" s="159"/>
      <c r="AQ35" s="159"/>
      <c r="AR35" s="159"/>
      <c r="AS35" s="210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 t="s">
        <v>20</v>
      </c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209"/>
      <c r="AN36" s="159"/>
      <c r="AO36" s="159"/>
      <c r="AP36" s="159"/>
      <c r="AQ36" s="159"/>
      <c r="AR36" s="159"/>
      <c r="AS36" s="210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 t="s">
        <v>20</v>
      </c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209"/>
      <c r="AN37" s="159"/>
      <c r="AO37" s="159"/>
      <c r="AP37" s="159"/>
      <c r="AQ37" s="159"/>
      <c r="AR37" s="159"/>
      <c r="AS37" s="210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220">
        <f>AA38*0.1</f>
        <v>146500</v>
      </c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2"/>
      <c r="T38" s="84" t="s">
        <v>13</v>
      </c>
      <c r="U38" s="106"/>
      <c r="V38" s="106"/>
      <c r="W38" s="106"/>
      <c r="X38" s="106"/>
      <c r="Y38" s="106"/>
      <c r="Z38" s="85"/>
      <c r="AA38" s="223">
        <f>SUM(AF26:AL37)</f>
        <v>1465000</v>
      </c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5"/>
      <c r="AM38" s="214"/>
      <c r="AN38" s="215"/>
      <c r="AO38" s="215"/>
      <c r="AP38" s="215"/>
      <c r="AQ38" s="215"/>
      <c r="AR38" s="215"/>
      <c r="AS38" s="216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217">
        <f>CK115+H38</f>
        <v>1611500</v>
      </c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9"/>
      <c r="AM39" s="211"/>
      <c r="AN39" s="212"/>
      <c r="AO39" s="212"/>
      <c r="AP39" s="212"/>
      <c r="AQ39" s="212"/>
      <c r="AR39" s="212"/>
      <c r="AS39" s="21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1465000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1500w搬入講習費二泊三日　社用車</v>
      </c>
      <c r="FE101" s="61">
        <f>T26</f>
        <v>0</v>
      </c>
      <c r="FF101" s="61" t="str">
        <f>X26</f>
        <v>一式</v>
      </c>
      <c r="FG101" s="61">
        <f>AA26</f>
        <v>270000</v>
      </c>
      <c r="FH101" s="61">
        <f>AF26</f>
        <v>270000</v>
      </c>
      <c r="FI101" s="61" t="str">
        <f>AM26</f>
        <v>福島県内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FL-LCW 1500w搬入講習費一泊二日　社用車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150000</v>
      </c>
      <c r="FH102" s="61">
        <f t="shared" ref="FH102:FH112" si="6">AF27</f>
        <v>150000</v>
      </c>
      <c r="FI102" s="61" t="str">
        <f t="shared" ref="FI102:FI112" si="7">AM27</f>
        <v>長野県伊那市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FL-LCW 1500w搬入講習費一泊二日　公共</v>
      </c>
      <c r="FE103" s="61">
        <f t="shared" si="3"/>
        <v>0</v>
      </c>
      <c r="FF103" s="61" t="str">
        <f t="shared" si="4"/>
        <v>一式</v>
      </c>
      <c r="FG103" s="61">
        <f t="shared" si="5"/>
        <v>150000</v>
      </c>
      <c r="FH103" s="61">
        <f t="shared" si="6"/>
        <v>150000</v>
      </c>
      <c r="FI103" s="61" t="str">
        <f t="shared" si="7"/>
        <v>仙台市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1465000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FL-LCW1500wデモ機持参講習社用車使用日帰平日</v>
      </c>
      <c r="FE104" s="61">
        <f t="shared" si="3"/>
        <v>0</v>
      </c>
      <c r="FF104" s="61" t="str">
        <f t="shared" si="4"/>
        <v>一式</v>
      </c>
      <c r="FG104" s="61">
        <f t="shared" si="5"/>
        <v>100000</v>
      </c>
      <c r="FH104" s="61">
        <f t="shared" si="6"/>
        <v>100000</v>
      </c>
      <c r="FI104" s="61" t="str">
        <f t="shared" si="7"/>
        <v>名古屋支店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 t="str">
        <f t="shared" si="4"/>
        <v>一式</v>
      </c>
      <c r="FG105" s="61">
        <f t="shared" si="5"/>
        <v>120000</v>
      </c>
      <c r="FH105" s="61">
        <f t="shared" si="6"/>
        <v>120000</v>
      </c>
      <c r="FI105" s="61" t="str">
        <f t="shared" si="7"/>
        <v>高山市組合向け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 t="str">
        <f t="shared" si="4"/>
        <v>一式</v>
      </c>
      <c r="FG106" s="61">
        <f t="shared" si="5"/>
        <v>125000</v>
      </c>
      <c r="FH106" s="61">
        <f t="shared" si="6"/>
        <v>125000</v>
      </c>
      <c r="FI106" s="61" t="str">
        <f t="shared" si="7"/>
        <v>名古屋支店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 t="str">
        <f t="shared" si="4"/>
        <v>一式</v>
      </c>
      <c r="FG107" s="61">
        <f t="shared" si="5"/>
        <v>145000</v>
      </c>
      <c r="FH107" s="61">
        <f t="shared" si="6"/>
        <v>145000</v>
      </c>
      <c r="FI107" s="61" t="str">
        <f t="shared" si="7"/>
        <v>高山市組合向け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FL-LCW1500wデモ機持参講習社用車使用日帰土日</v>
      </c>
      <c r="FE108" s="61">
        <f t="shared" si="3"/>
        <v>0</v>
      </c>
      <c r="FF108" s="61" t="str">
        <f t="shared" si="4"/>
        <v>一式</v>
      </c>
      <c r="FG108" s="61">
        <f t="shared" si="5"/>
        <v>150000</v>
      </c>
      <c r="FH108" s="61">
        <f t="shared" si="6"/>
        <v>150000</v>
      </c>
      <c r="FI108" s="61" t="str">
        <f t="shared" si="7"/>
        <v>石川県金沢市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 t="str">
        <f t="shared" si="2"/>
        <v>FL-LCW1500w加工デモ一泊二日  金土　公共交通</v>
      </c>
      <c r="FE109" s="61">
        <f t="shared" si="3"/>
        <v>0</v>
      </c>
      <c r="FF109" s="61" t="str">
        <f t="shared" si="4"/>
        <v>一式</v>
      </c>
      <c r="FG109" s="61">
        <f t="shared" si="5"/>
        <v>205000</v>
      </c>
      <c r="FH109" s="61">
        <f t="shared" si="6"/>
        <v>205000</v>
      </c>
      <c r="FI109" s="61" t="str">
        <f t="shared" si="7"/>
        <v>東京都内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2"/>
        <v>休日割増　土日祝込み　デモ　展示場使用最低2名</v>
      </c>
      <c r="FE110" s="61">
        <f t="shared" si="3"/>
        <v>0</v>
      </c>
      <c r="FF110" s="61" t="str">
        <f t="shared" si="4"/>
        <v>一式</v>
      </c>
      <c r="FG110" s="61">
        <f t="shared" si="5"/>
        <v>50000</v>
      </c>
      <c r="FH110" s="61">
        <f t="shared" si="6"/>
        <v>50000</v>
      </c>
      <c r="FI110" s="61" t="str">
        <f t="shared" si="7"/>
        <v>岐阜市展示場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 t="str">
        <f t="shared" si="4"/>
        <v>一式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 t="str">
        <f t="shared" si="4"/>
        <v>一式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1465000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hiragana" allowBlank="1" showInputMessage="1" showErrorMessage="1" prompt="取引方法を入力_x000a_例：従来通り" sqref="I15:T15" xr:uid="{5A3CDAEA-CE7C-453B-9890-F661FBB0DA48}"/>
    <dataValidation allowBlank="1" showInputMessage="1" showErrorMessage="1" promptTitle="明細書01の状態" prompt="明細書01が表示されているときは 0_x000a_明細書01が非表示のときは 1" sqref="CE107" xr:uid="{2188DAFD-9791-4125-B433-D047A4FEEF69}"/>
    <dataValidation allowBlank="1" showInputMessage="1" showErrorMessage="1" promptTitle="シート数を入力" prompt="明細書が出ていない状態でシート枚数を表示" sqref="CE106" xr:uid="{C44318FB-3CAC-429B-BF31-E84353F23A70}"/>
    <dataValidation type="list" allowBlank="1" showInputMessage="1" showErrorMessage="1" sqref="DM104:DR104" xr:uid="{2E6EAAF9-3824-4221-B185-CD8FBF833D49}">
      <formula1>$EM$102:$EM$103</formula1>
    </dataValidation>
    <dataValidation type="list" allowBlank="1" showInputMessage="1" showErrorMessage="1" sqref="T7:V8" xr:uid="{52C1D09F-74F9-426D-8427-98A464FBE607}">
      <formula1>$CE$109:$CE$111</formula1>
    </dataValidation>
    <dataValidation type="list" imeMode="hiragana" allowBlank="1" showInputMessage="1" showErrorMessage="1" prompt="ボタンを押し単位を入力" sqref="X26:Z37" xr:uid="{B34388A4-9DAD-4889-B003-99043E78782E}">
      <formula1>$CS$104:$CS$116</formula1>
    </dataValidation>
    <dataValidation type="list" allowBlank="1" showInputMessage="1" showErrorMessage="1" sqref="AA2:AJ3" xr:uid="{503D619C-33EF-4BD2-A22A-EDBE12078CBE}">
      <formula1>$DD$104:$DD$108</formula1>
    </dataValidation>
    <dataValidation imeMode="hiragana" allowBlank="1" showInputMessage="1" showErrorMessage="1" prompt="備考があれば入力" sqref="AN35:AS37 AM26:AM37" xr:uid="{610437A3-DA85-48F6-BC2B-DBF1796ADB7E}"/>
    <dataValidation imeMode="off" allowBlank="1" showInputMessage="1" showErrorMessage="1" prompt="単価を入力" sqref="AA26:AE37" xr:uid="{6D7CC3BF-EA26-470E-B6FD-E69A6C7019B7}"/>
    <dataValidation imeMode="off" allowBlank="1" showInputMessage="1" showErrorMessage="1" prompt="数量を入力" sqref="T26:W37" xr:uid="{FC991202-A29D-4BBF-8B80-1B7BD9BD40F3}"/>
    <dataValidation imeMode="hiragana" allowBlank="1" showInputMessage="1" showErrorMessage="1" prompt="品名を入力" sqref="B26:S37" xr:uid="{B2B9BE3A-C4F6-4A89-B19D-994771E938BA}"/>
    <dataValidation imeMode="hiragana" allowBlank="1" showInputMessage="1" showErrorMessage="1" prompt="担当者を入力" sqref="AF17:AL17" xr:uid="{BE44077F-0F2C-4AD3-A262-CBE6CDB18F0E}"/>
    <dataValidation imeMode="hiragana" allowBlank="1" showInputMessage="1" showErrorMessage="1" prompt="受渡場所を入力_x000a_例：貴社指定場所" sqref="H13:T13" xr:uid="{661BDE51-B491-45C8-89CC-2AC06592FC4F}"/>
    <dataValidation imeMode="off" allowBlank="1" showInputMessage="1" showErrorMessage="1" prompt="年を入力" sqref="J17:L17" xr:uid="{AED181B8-0956-4F0D-A3D6-D632DE16A009}"/>
    <dataValidation imeMode="hiragana" allowBlank="1" showInputMessage="1" showErrorMessage="1" sqref="AB9:AS9 B41:AS42 E40:AS40" xr:uid="{4FB8594E-5C02-4B7B-9796-6B5048E014BF}"/>
    <dataValidation allowBlank="1" showInputMessage="1" showErrorMessage="1" prompt="見積書NOを入力" sqref="AN3:AR3" xr:uid="{8A49A343-039F-4DB0-AA1F-B5BAEAC20D97}"/>
    <dataValidation imeMode="hiragana" allowBlank="1" showInputMessage="1" showErrorMessage="1" prompt="お客様名を入力" sqref="D7:S8" xr:uid="{8C9B5CB1-3811-42DF-BF9C-5ED22F1BA012}"/>
    <dataValidation imeMode="hiragana" allowBlank="1" showInputMessage="1" showErrorMessage="1" prompt="お客様の住所でビル名番地など入力" sqref="D5:R5" xr:uid="{3179A75A-4439-4128-979E-99E3AE622204}"/>
    <dataValidation imeMode="hiragana" allowBlank="1" showInputMessage="1" showErrorMessage="1" prompt="お客様の住所を入力" sqref="D4" xr:uid="{7E9C588C-FEFC-4BAB-A8D4-F7C4DA5057BF}"/>
    <dataValidation imeMode="off" allowBlank="1" showInputMessage="1" showErrorMessage="1" prompt="お客様の郵便番号を入力" sqref="E3:H3" xr:uid="{DD325066-62B2-460A-B2CC-00F1A9B4591E}"/>
    <dataValidation imeMode="off" allowBlank="1" showInputMessage="1" showErrorMessage="1" prompt="日を入力" sqref="AP6:AQ6 Q17:R17" xr:uid="{184E836F-B064-45DD-893E-AB4F0564047A}"/>
    <dataValidation imeMode="off" allowBlank="1" showInputMessage="1" showErrorMessage="1" prompt="月を入力" sqref="AM6:AN6 N17:O17" xr:uid="{8712D571-AD3D-4F4B-871E-697C3BEBAFCD}"/>
    <dataValidation imeMode="off" allowBlank="1" showInputMessage="1" showErrorMessage="1" prompt="年を入力  西暦表示の場合、平成を消してください" sqref="AI6:AK6" xr:uid="{72B4FCC0-4F4A-4D0E-AE77-5FE5CCC3FDE1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41F0-ABA0-4FA8-AFE7-01FE5CE99B5A}">
  <sheetPr>
    <pageSetUpPr fitToPage="1"/>
  </sheetPr>
  <dimension ref="A1:FI642"/>
  <sheetViews>
    <sheetView showGridLines="0" showRowColHeaders="0" workbookViewId="0">
      <selection activeCell="B23" sqref="B2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4" t="s">
        <v>74</v>
      </c>
      <c r="N2" s="204"/>
      <c r="O2" s="204"/>
      <c r="P2" s="204"/>
      <c r="Q2" s="204"/>
      <c r="R2" s="204"/>
      <c r="W2" s="4"/>
      <c r="X2" s="4"/>
      <c r="Y2" s="4"/>
      <c r="Z2" s="4"/>
      <c r="AA2" s="169" t="s">
        <v>44</v>
      </c>
      <c r="AB2" s="169"/>
      <c r="AC2" s="169"/>
      <c r="AD2" s="169"/>
      <c r="AE2" s="169"/>
      <c r="AF2" s="169"/>
      <c r="AG2" s="169"/>
      <c r="AH2" s="169"/>
      <c r="AI2" s="169"/>
      <c r="AJ2" s="169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9" t="s">
        <v>103</v>
      </c>
      <c r="F3" s="199"/>
      <c r="G3" s="199"/>
      <c r="H3" s="199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L3" s="5" t="s">
        <v>0</v>
      </c>
      <c r="AM3" s="5"/>
      <c r="AN3" s="180" t="s">
        <v>141</v>
      </c>
      <c r="AO3" s="180"/>
      <c r="AP3" s="180"/>
      <c r="AQ3" s="180"/>
      <c r="AR3" s="180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6" t="s">
        <v>104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6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200">
        <v>7</v>
      </c>
      <c r="AJ6" s="200"/>
      <c r="AK6" s="200"/>
      <c r="AL6" s="9" t="s">
        <v>1</v>
      </c>
      <c r="AM6" s="200">
        <v>7</v>
      </c>
      <c r="AN6" s="200"/>
      <c r="AO6" s="9" t="s">
        <v>2</v>
      </c>
      <c r="AP6" s="200">
        <v>7</v>
      </c>
      <c r="AQ6" s="200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201" t="s">
        <v>102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3" t="s">
        <v>52</v>
      </c>
      <c r="U7" s="203"/>
      <c r="V7" s="20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3"/>
      <c r="U8" s="203"/>
      <c r="V8" s="20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91" t="s">
        <v>138</v>
      </c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81" t="s">
        <v>92</v>
      </c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68"/>
      <c r="Z13" s="72"/>
      <c r="AA13" s="72"/>
      <c r="AB13" s="193" t="s">
        <v>54</v>
      </c>
      <c r="AC13" s="193"/>
      <c r="AD13" s="193"/>
      <c r="AE13" s="194" t="s">
        <v>77</v>
      </c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5" t="s">
        <v>55</v>
      </c>
      <c r="AC15" s="195"/>
      <c r="AD15" s="195"/>
      <c r="AE15" s="194" t="s">
        <v>78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0"/>
      <c r="K17" s="180"/>
      <c r="L17" s="180"/>
      <c r="M17" s="5"/>
      <c r="N17" s="180"/>
      <c r="O17" s="180"/>
      <c r="P17" s="5"/>
      <c r="Q17" s="180"/>
      <c r="R17" s="180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81" t="s">
        <v>86</v>
      </c>
      <c r="AG17" s="181"/>
      <c r="AH17" s="181"/>
      <c r="AI17" s="181"/>
      <c r="AJ17" s="181"/>
      <c r="AK17" s="181"/>
      <c r="AL17" s="18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110000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82"/>
      <c r="AC19" s="183"/>
      <c r="AD19" s="183"/>
      <c r="AE19" s="183"/>
      <c r="AF19" s="184"/>
      <c r="AG19" s="182"/>
      <c r="AH19" s="183"/>
      <c r="AI19" s="183"/>
      <c r="AJ19" s="183"/>
      <c r="AK19" s="184"/>
      <c r="AL19" s="182"/>
      <c r="AM19" s="183"/>
      <c r="AN19" s="183"/>
      <c r="AO19" s="183"/>
      <c r="AP19" s="18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9" t="s">
        <v>87</v>
      </c>
      <c r="E20" s="169"/>
      <c r="F20" s="169"/>
      <c r="G20" s="169"/>
      <c r="H20" s="169"/>
      <c r="I20" s="169"/>
      <c r="J20" s="171">
        <f>H39</f>
        <v>110000</v>
      </c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AB20" s="185"/>
      <c r="AC20" s="186"/>
      <c r="AD20" s="186"/>
      <c r="AE20" s="186"/>
      <c r="AF20" s="187"/>
      <c r="AG20" s="185"/>
      <c r="AH20" s="186"/>
      <c r="AI20" s="186"/>
      <c r="AJ20" s="186"/>
      <c r="AK20" s="187"/>
      <c r="AL20" s="185"/>
      <c r="AM20" s="186"/>
      <c r="AN20" s="186"/>
      <c r="AO20" s="186"/>
      <c r="AP20" s="18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70"/>
      <c r="E21" s="170"/>
      <c r="F21" s="170"/>
      <c r="G21" s="170"/>
      <c r="H21" s="170"/>
      <c r="I21" s="170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AB21" s="185"/>
      <c r="AC21" s="186"/>
      <c r="AD21" s="186"/>
      <c r="AE21" s="186"/>
      <c r="AF21" s="187"/>
      <c r="AG21" s="185"/>
      <c r="AH21" s="186"/>
      <c r="AI21" s="186"/>
      <c r="AJ21" s="186"/>
      <c r="AK21" s="187"/>
      <c r="AL21" s="185"/>
      <c r="AM21" s="186"/>
      <c r="AN21" s="186"/>
      <c r="AO21" s="186"/>
      <c r="AP21" s="18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3" t="s">
        <v>151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72"/>
      <c r="AB22" s="188"/>
      <c r="AC22" s="189"/>
      <c r="AD22" s="189"/>
      <c r="AE22" s="189"/>
      <c r="AF22" s="190"/>
      <c r="AG22" s="188"/>
      <c r="AH22" s="189"/>
      <c r="AI22" s="189"/>
      <c r="AJ22" s="189"/>
      <c r="AK22" s="190"/>
      <c r="AL22" s="188"/>
      <c r="AM22" s="189"/>
      <c r="AN22" s="189"/>
      <c r="AO22" s="189"/>
      <c r="AP22" s="19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4" t="s">
        <v>8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6"/>
      <c r="T24" s="161" t="s">
        <v>9</v>
      </c>
      <c r="U24" s="162"/>
      <c r="V24" s="162"/>
      <c r="W24" s="162"/>
      <c r="X24" s="162"/>
      <c r="Y24" s="162"/>
      <c r="Z24" s="163"/>
      <c r="AA24" s="161" t="s">
        <v>88</v>
      </c>
      <c r="AB24" s="162"/>
      <c r="AC24" s="162"/>
      <c r="AD24" s="162"/>
      <c r="AE24" s="162"/>
      <c r="AF24" s="161" t="s">
        <v>10</v>
      </c>
      <c r="AG24" s="162"/>
      <c r="AH24" s="162"/>
      <c r="AI24" s="162"/>
      <c r="AJ24" s="162"/>
      <c r="AK24" s="162"/>
      <c r="AL24" s="163"/>
      <c r="AM24" s="161" t="s">
        <v>11</v>
      </c>
      <c r="AN24" s="162"/>
      <c r="AO24" s="162"/>
      <c r="AP24" s="162"/>
      <c r="AQ24" s="162"/>
      <c r="AR24" s="162"/>
      <c r="AS24" s="16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7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9"/>
      <c r="T25" s="164"/>
      <c r="U25" s="165"/>
      <c r="V25" s="165"/>
      <c r="W25" s="165"/>
      <c r="X25" s="165"/>
      <c r="Y25" s="165"/>
      <c r="Z25" s="166"/>
      <c r="AA25" s="164"/>
      <c r="AB25" s="165"/>
      <c r="AC25" s="165"/>
      <c r="AD25" s="165"/>
      <c r="AE25" s="165"/>
      <c r="AF25" s="164"/>
      <c r="AG25" s="165"/>
      <c r="AH25" s="165"/>
      <c r="AI25" s="165"/>
      <c r="AJ25" s="165"/>
      <c r="AK25" s="165"/>
      <c r="AL25" s="166"/>
      <c r="AM25" s="164"/>
      <c r="AN25" s="165"/>
      <c r="AO25" s="165"/>
      <c r="AP25" s="165"/>
      <c r="AQ25" s="165"/>
      <c r="AR25" s="165"/>
      <c r="AS25" s="16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140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/>
      <c r="Y26" s="155"/>
      <c r="Z26" s="156"/>
      <c r="AA26" s="153"/>
      <c r="AB26" s="154"/>
      <c r="AC26" s="154"/>
      <c r="AD26" s="154"/>
      <c r="AE26" s="157"/>
      <c r="AF26" s="153">
        <f t="shared" ref="AF26:AF27" si="0">IF(T26="",1*AA26,T26*AA26)</f>
        <v>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136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200000</v>
      </c>
      <c r="AB27" s="154"/>
      <c r="AC27" s="154"/>
      <c r="AD27" s="154"/>
      <c r="AE27" s="157"/>
      <c r="AF27" s="153">
        <f t="shared" si="0"/>
        <v>200000</v>
      </c>
      <c r="AG27" s="154"/>
      <c r="AH27" s="154"/>
      <c r="AI27" s="154"/>
      <c r="AJ27" s="154"/>
      <c r="AK27" s="154"/>
      <c r="AL27" s="157"/>
      <c r="AM27" s="150" t="s">
        <v>135</v>
      </c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142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 t="s">
        <v>20</v>
      </c>
      <c r="Y28" s="155"/>
      <c r="Z28" s="156"/>
      <c r="AA28" s="153">
        <v>-50000</v>
      </c>
      <c r="AB28" s="154"/>
      <c r="AC28" s="154"/>
      <c r="AD28" s="154"/>
      <c r="AE28" s="157"/>
      <c r="AF28" s="153">
        <f>IF(T28="",1*AA28,T28*AA28)</f>
        <v>-50000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143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 t="s">
        <v>20</v>
      </c>
      <c r="Y29" s="155"/>
      <c r="Z29" s="156"/>
      <c r="AA29" s="153">
        <v>-50000</v>
      </c>
      <c r="AB29" s="154"/>
      <c r="AC29" s="154"/>
      <c r="AD29" s="154"/>
      <c r="AE29" s="157"/>
      <c r="AF29" s="153">
        <f t="shared" ref="AF29:AF32" si="1">IF(T29="",1*AA29,T29*AA29)</f>
        <v>-50000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58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60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 t="s">
        <v>20</v>
      </c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 t="s">
        <v>20</v>
      </c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10000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100000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110000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139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 t="s">
        <v>137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100000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講習費一泊二日公共交通　　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FL-LCW 講習費一泊二日　公共交通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200000</v>
      </c>
      <c r="FH102" s="61">
        <f t="shared" ref="FH102:FH112" si="6">AF27</f>
        <v>200000</v>
      </c>
      <c r="FI102" s="61" t="str">
        <f t="shared" ref="FI102:FI112" si="7">AM27</f>
        <v>八木自動車様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交通費前日値引き調整</v>
      </c>
      <c r="FE103" s="61">
        <f t="shared" si="3"/>
        <v>0</v>
      </c>
      <c r="FF103" s="61" t="str">
        <f t="shared" si="4"/>
        <v>一式</v>
      </c>
      <c r="FG103" s="61">
        <f t="shared" si="5"/>
        <v>-50000</v>
      </c>
      <c r="FH103" s="61">
        <f t="shared" si="6"/>
        <v>-50000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100000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前日講習値引き調整</v>
      </c>
      <c r="FE104" s="61">
        <f t="shared" si="3"/>
        <v>0</v>
      </c>
      <c r="FF104" s="61" t="str">
        <f t="shared" si="4"/>
        <v>一式</v>
      </c>
      <c r="FG104" s="61">
        <f t="shared" si="5"/>
        <v>-50000</v>
      </c>
      <c r="FH104" s="61">
        <f t="shared" si="6"/>
        <v>-50000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 t="str">
        <f t="shared" si="4"/>
        <v>一式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 t="str">
        <f t="shared" si="4"/>
        <v>一式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100000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off" allowBlank="1" showInputMessage="1" showErrorMessage="1" prompt="年を入力  西暦表示の場合、平成を消してください" sqref="AI6:AK6" xr:uid="{C6696714-B779-4698-833F-70EE6EF97D60}"/>
    <dataValidation imeMode="off" allowBlank="1" showInputMessage="1" showErrorMessage="1" prompt="月を入力" sqref="AM6:AN6 N17:O17" xr:uid="{2C834E3A-0079-4C42-947E-3DFB7BFEA121}"/>
    <dataValidation imeMode="off" allowBlank="1" showInputMessage="1" showErrorMessage="1" prompt="日を入力" sqref="AP6:AQ6 Q17:R17" xr:uid="{2905FF82-DACF-48B1-B1E4-239557AAD164}"/>
    <dataValidation imeMode="off" allowBlank="1" showInputMessage="1" showErrorMessage="1" prompt="お客様の郵便番号を入力" sqref="E3:H3" xr:uid="{BCEA72AF-A551-44C3-A037-B6BFF607A501}"/>
    <dataValidation imeMode="hiragana" allowBlank="1" showInputMessage="1" showErrorMessage="1" prompt="お客様の住所を入力" sqref="D4" xr:uid="{800136F3-B317-4AAD-B11C-C4A6EE800537}"/>
    <dataValidation imeMode="hiragana" allowBlank="1" showInputMessage="1" showErrorMessage="1" prompt="お客様の住所でビル名番地など入力" sqref="D5:R5" xr:uid="{5BDDD296-9AF2-44F8-B780-C3DBF9F4BD13}"/>
    <dataValidation imeMode="hiragana" allowBlank="1" showInputMessage="1" showErrorMessage="1" prompt="お客様名を入力" sqref="D7:S8" xr:uid="{8D7F4098-F551-47A1-9713-117F59D8E26B}"/>
    <dataValidation allowBlank="1" showInputMessage="1" showErrorMessage="1" prompt="見積書NOを入力" sqref="AN3:AR3" xr:uid="{A0A4E01F-BB7C-4BA2-8BE2-18479C4ED4AA}"/>
    <dataValidation imeMode="hiragana" allowBlank="1" showInputMessage="1" showErrorMessage="1" sqref="AB9:AS9 B41:AS42 E40:AS40" xr:uid="{E2D53716-C0FE-4F62-8026-255B6719BA7F}"/>
    <dataValidation imeMode="off" allowBlank="1" showInputMessage="1" showErrorMessage="1" prompt="年を入力" sqref="J17:L17" xr:uid="{AC3F3FA6-DC93-4075-900C-91F9F784CEF6}"/>
    <dataValidation imeMode="hiragana" allowBlank="1" showInputMessage="1" showErrorMessage="1" prompt="受渡場所を入力_x000a_例：貴社指定場所" sqref="H13:T13" xr:uid="{C683869C-25FE-405C-8663-BB77B9B95DCC}"/>
    <dataValidation imeMode="hiragana" allowBlank="1" showInputMessage="1" showErrorMessage="1" prompt="担当者を入力" sqref="AF17:AL17" xr:uid="{1CC2F9CB-BFF0-4097-9D35-C37ECA51A0DB}"/>
    <dataValidation imeMode="hiragana" allowBlank="1" showInputMessage="1" showErrorMessage="1" prompt="品名を入力" sqref="B26:S37" xr:uid="{EAA63F60-DD65-4A95-B540-9C40D58C381C}"/>
    <dataValidation imeMode="off" allowBlank="1" showInputMessage="1" showErrorMessage="1" prompt="数量を入力" sqref="T26:W37" xr:uid="{D76BAD48-5A8E-451E-95E1-DF0EB1577167}"/>
    <dataValidation imeMode="off" allowBlank="1" showInputMessage="1" showErrorMessage="1" prompt="単価を入力" sqref="AA26:AE37" xr:uid="{6DA2082D-F664-43E8-A9C9-6603A281BDDC}"/>
    <dataValidation imeMode="hiragana" allowBlank="1" showInputMessage="1" showErrorMessage="1" prompt="備考があれば入力" sqref="AN35:AS37 AM26:AM37" xr:uid="{34628188-B33B-47E1-86D0-0FBDC65083C7}"/>
    <dataValidation type="list" allowBlank="1" showInputMessage="1" showErrorMessage="1" sqref="AA2:AJ3" xr:uid="{736D72C6-61A2-4FC8-997A-8C8497FCD4C2}">
      <formula1>$DD$104:$DD$108</formula1>
    </dataValidation>
    <dataValidation type="list" imeMode="hiragana" allowBlank="1" showInputMessage="1" showErrorMessage="1" prompt="ボタンを押し単位を入力" sqref="X26:Z37" xr:uid="{4A77F34F-5493-4087-BE4B-4D2B9C73624E}">
      <formula1>$CS$104:$CS$116</formula1>
    </dataValidation>
    <dataValidation type="list" allowBlank="1" showInputMessage="1" showErrorMessage="1" sqref="T7:V8" xr:uid="{458EEEDF-D65B-4397-8ECB-0F8F74278983}">
      <formula1>$CE$109:$CE$111</formula1>
    </dataValidation>
    <dataValidation type="list" allowBlank="1" showInputMessage="1" showErrorMessage="1" sqref="DM104:DR104" xr:uid="{6F2AE415-096E-4FB6-A205-085A84EAD2CF}">
      <formula1>$EM$102:$EM$103</formula1>
    </dataValidation>
    <dataValidation allowBlank="1" showInputMessage="1" showErrorMessage="1" promptTitle="シート数を入力" prompt="明細書が出ていない状態でシート枚数を表示" sqref="CE106" xr:uid="{E7E825DE-604B-4ACB-8EE6-956EF6C3604D}"/>
    <dataValidation allowBlank="1" showInputMessage="1" showErrorMessage="1" promptTitle="明細書01の状態" prompt="明細書01が表示されているときは 0_x000a_明細書01が非表示のときは 1" sqref="CE107" xr:uid="{E5E96CAD-0FC3-4619-8184-5DA3A17914E2}"/>
    <dataValidation imeMode="hiragana" allowBlank="1" showInputMessage="1" showErrorMessage="1" prompt="取引方法を入力_x000a_例：従来通り" sqref="I15:T15" xr:uid="{BCD7D8F0-01DC-4227-8154-0055A509A22C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8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1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2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9877-70A9-46E7-B4D5-13BEAA5F6E24}">
  <sheetPr>
    <pageSetUpPr fitToPage="1"/>
  </sheetPr>
  <dimension ref="A1:FI642"/>
  <sheetViews>
    <sheetView showGridLines="0" showRowColHeaders="0" workbookViewId="0">
      <selection activeCell="H44" sqref="H44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4" t="s">
        <v>74</v>
      </c>
      <c r="N2" s="204"/>
      <c r="O2" s="204"/>
      <c r="P2" s="204"/>
      <c r="Q2" s="204"/>
      <c r="R2" s="204"/>
      <c r="W2" s="4"/>
      <c r="X2" s="4"/>
      <c r="Y2" s="4"/>
      <c r="Z2" s="4"/>
      <c r="AA2" s="169" t="s">
        <v>44</v>
      </c>
      <c r="AB2" s="169"/>
      <c r="AC2" s="169"/>
      <c r="AD2" s="169"/>
      <c r="AE2" s="169"/>
      <c r="AF2" s="169"/>
      <c r="AG2" s="169"/>
      <c r="AH2" s="169"/>
      <c r="AI2" s="169"/>
      <c r="AJ2" s="169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9" t="s">
        <v>103</v>
      </c>
      <c r="F3" s="199"/>
      <c r="G3" s="199"/>
      <c r="H3" s="199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L3" s="5" t="s">
        <v>0</v>
      </c>
      <c r="AM3" s="5"/>
      <c r="AN3" s="180" t="s">
        <v>150</v>
      </c>
      <c r="AO3" s="180"/>
      <c r="AP3" s="180"/>
      <c r="AQ3" s="180"/>
      <c r="AR3" s="180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6" t="s">
        <v>104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6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200">
        <v>7</v>
      </c>
      <c r="AJ6" s="200"/>
      <c r="AK6" s="200"/>
      <c r="AL6" s="9" t="s">
        <v>1</v>
      </c>
      <c r="AM6" s="200">
        <v>9</v>
      </c>
      <c r="AN6" s="200"/>
      <c r="AO6" s="9" t="s">
        <v>2</v>
      </c>
      <c r="AP6" s="200">
        <v>26</v>
      </c>
      <c r="AQ6" s="200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201" t="s">
        <v>102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3" t="s">
        <v>52</v>
      </c>
      <c r="U7" s="203"/>
      <c r="V7" s="20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3"/>
      <c r="U8" s="203"/>
      <c r="V8" s="20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91" t="s">
        <v>138</v>
      </c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81" t="s">
        <v>92</v>
      </c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68"/>
      <c r="Z13" s="72"/>
      <c r="AA13" s="72"/>
      <c r="AB13" s="193" t="s">
        <v>54</v>
      </c>
      <c r="AC13" s="193"/>
      <c r="AD13" s="193"/>
      <c r="AE13" s="194" t="s">
        <v>77</v>
      </c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5" t="s">
        <v>55</v>
      </c>
      <c r="AC15" s="195"/>
      <c r="AD15" s="195"/>
      <c r="AE15" s="194" t="s">
        <v>78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0"/>
      <c r="K17" s="180"/>
      <c r="L17" s="180"/>
      <c r="M17" s="5"/>
      <c r="N17" s="180"/>
      <c r="O17" s="180"/>
      <c r="P17" s="5"/>
      <c r="Q17" s="180"/>
      <c r="R17" s="180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81" t="s">
        <v>86</v>
      </c>
      <c r="AG17" s="181"/>
      <c r="AH17" s="181"/>
      <c r="AI17" s="181"/>
      <c r="AJ17" s="181"/>
      <c r="AK17" s="181"/>
      <c r="AL17" s="18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187000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82"/>
      <c r="AC19" s="183"/>
      <c r="AD19" s="183"/>
      <c r="AE19" s="183"/>
      <c r="AF19" s="184"/>
      <c r="AG19" s="182"/>
      <c r="AH19" s="183"/>
      <c r="AI19" s="183"/>
      <c r="AJ19" s="183"/>
      <c r="AK19" s="184"/>
      <c r="AL19" s="182"/>
      <c r="AM19" s="183"/>
      <c r="AN19" s="183"/>
      <c r="AO19" s="183"/>
      <c r="AP19" s="18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9" t="s">
        <v>87</v>
      </c>
      <c r="E20" s="169"/>
      <c r="F20" s="169"/>
      <c r="G20" s="169"/>
      <c r="H20" s="169"/>
      <c r="I20" s="169"/>
      <c r="J20" s="171">
        <f>H39</f>
        <v>187000</v>
      </c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AB20" s="185"/>
      <c r="AC20" s="186"/>
      <c r="AD20" s="186"/>
      <c r="AE20" s="186"/>
      <c r="AF20" s="187"/>
      <c r="AG20" s="185"/>
      <c r="AH20" s="186"/>
      <c r="AI20" s="186"/>
      <c r="AJ20" s="186"/>
      <c r="AK20" s="187"/>
      <c r="AL20" s="185"/>
      <c r="AM20" s="186"/>
      <c r="AN20" s="186"/>
      <c r="AO20" s="186"/>
      <c r="AP20" s="18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70"/>
      <c r="E21" s="170"/>
      <c r="F21" s="170"/>
      <c r="G21" s="170"/>
      <c r="H21" s="170"/>
      <c r="I21" s="170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AB21" s="185"/>
      <c r="AC21" s="186"/>
      <c r="AD21" s="186"/>
      <c r="AE21" s="186"/>
      <c r="AF21" s="187"/>
      <c r="AG21" s="185"/>
      <c r="AH21" s="186"/>
      <c r="AI21" s="186"/>
      <c r="AJ21" s="186"/>
      <c r="AK21" s="187"/>
      <c r="AL21" s="185"/>
      <c r="AM21" s="186"/>
      <c r="AN21" s="186"/>
      <c r="AO21" s="186"/>
      <c r="AP21" s="18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3" t="s">
        <v>151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72"/>
      <c r="AB22" s="188"/>
      <c r="AC22" s="189"/>
      <c r="AD22" s="189"/>
      <c r="AE22" s="189"/>
      <c r="AF22" s="190"/>
      <c r="AG22" s="188"/>
      <c r="AH22" s="189"/>
      <c r="AI22" s="189"/>
      <c r="AJ22" s="189"/>
      <c r="AK22" s="190"/>
      <c r="AL22" s="188"/>
      <c r="AM22" s="189"/>
      <c r="AN22" s="189"/>
      <c r="AO22" s="189"/>
      <c r="AP22" s="19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4" t="s">
        <v>8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6"/>
      <c r="T24" s="161" t="s">
        <v>9</v>
      </c>
      <c r="U24" s="162"/>
      <c r="V24" s="162"/>
      <c r="W24" s="162"/>
      <c r="X24" s="162"/>
      <c r="Y24" s="162"/>
      <c r="Z24" s="163"/>
      <c r="AA24" s="161" t="s">
        <v>88</v>
      </c>
      <c r="AB24" s="162"/>
      <c r="AC24" s="162"/>
      <c r="AD24" s="162"/>
      <c r="AE24" s="162"/>
      <c r="AF24" s="161" t="s">
        <v>10</v>
      </c>
      <c r="AG24" s="162"/>
      <c r="AH24" s="162"/>
      <c r="AI24" s="162"/>
      <c r="AJ24" s="162"/>
      <c r="AK24" s="162"/>
      <c r="AL24" s="163"/>
      <c r="AM24" s="161" t="s">
        <v>11</v>
      </c>
      <c r="AN24" s="162"/>
      <c r="AO24" s="162"/>
      <c r="AP24" s="162"/>
      <c r="AQ24" s="162"/>
      <c r="AR24" s="162"/>
      <c r="AS24" s="16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7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9"/>
      <c r="T25" s="164"/>
      <c r="U25" s="165"/>
      <c r="V25" s="165"/>
      <c r="W25" s="165"/>
      <c r="X25" s="165"/>
      <c r="Y25" s="165"/>
      <c r="Z25" s="166"/>
      <c r="AA25" s="164"/>
      <c r="AB25" s="165"/>
      <c r="AC25" s="165"/>
      <c r="AD25" s="165"/>
      <c r="AE25" s="165"/>
      <c r="AF25" s="164"/>
      <c r="AG25" s="165"/>
      <c r="AH25" s="165"/>
      <c r="AI25" s="165"/>
      <c r="AJ25" s="165"/>
      <c r="AK25" s="165"/>
      <c r="AL25" s="166"/>
      <c r="AM25" s="164"/>
      <c r="AN25" s="165"/>
      <c r="AO25" s="165"/>
      <c r="AP25" s="165"/>
      <c r="AQ25" s="165"/>
      <c r="AR25" s="165"/>
      <c r="AS25" s="16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145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170000</v>
      </c>
      <c r="AB26" s="154"/>
      <c r="AC26" s="154"/>
      <c r="AD26" s="154"/>
      <c r="AE26" s="157"/>
      <c r="AF26" s="153">
        <f t="shared" ref="AF26:AF27" si="0">IF(T26="",1*AA26,T26*AA26)</f>
        <v>170000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152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/>
      <c r="Y27" s="155"/>
      <c r="Z27" s="156"/>
      <c r="AA27" s="153"/>
      <c r="AB27" s="154"/>
      <c r="AC27" s="154"/>
      <c r="AD27" s="154"/>
      <c r="AE27" s="157"/>
      <c r="AF27" s="153">
        <f t="shared" si="0"/>
        <v>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148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/>
      <c r="Y28" s="155"/>
      <c r="Z28" s="156"/>
      <c r="AA28" s="153"/>
      <c r="AB28" s="154"/>
      <c r="AC28" s="154"/>
      <c r="AD28" s="154"/>
      <c r="AE28" s="157"/>
      <c r="AF28" s="153">
        <f>IF(T28="",1*AA28,T28*AA28)</f>
        <v>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149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146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147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58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60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17000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170000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187000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144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170000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講習費一泊二日　ハイエース使用　</v>
      </c>
      <c r="FE101" s="61">
        <f>T26</f>
        <v>0</v>
      </c>
      <c r="FF101" s="61" t="str">
        <f>X26</f>
        <v>一式</v>
      </c>
      <c r="FG101" s="61">
        <f>AA26</f>
        <v>170000</v>
      </c>
      <c r="FH101" s="61">
        <f>AF26</f>
        <v>170000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　デモ機持込　RSD-SUNMAX-FL-LCW 1500w</v>
      </c>
      <c r="FE102" s="61">
        <f t="shared" ref="FE102:FE112" si="3">T27</f>
        <v>0</v>
      </c>
      <c r="FF102" s="61">
        <f t="shared" ref="FF102:FF112" si="4">X27</f>
        <v>0</v>
      </c>
      <c r="FG102" s="61">
        <f t="shared" ref="FG102:FG112" si="5">AA27</f>
        <v>0</v>
      </c>
      <c r="FH102" s="61">
        <f t="shared" ref="FH102:FH112" si="6">AF27</f>
        <v>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　セットアップ</v>
      </c>
      <c r="FE103" s="61">
        <f t="shared" si="3"/>
        <v>0</v>
      </c>
      <c r="FF103" s="61">
        <f t="shared" si="4"/>
        <v>0</v>
      </c>
      <c r="FG103" s="61">
        <f t="shared" si="5"/>
        <v>0</v>
      </c>
      <c r="FH103" s="61">
        <f t="shared" si="6"/>
        <v>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170000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　デモ時間17：00～19：00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　出張旅費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170000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22FDCEA9-FCCD-464E-A45A-4507039EC04F}"/>
    <dataValidation allowBlank="1" showInputMessage="1" showErrorMessage="1" promptTitle="明細書01の状態" prompt="明細書01が表示されているときは 0_x000a_明細書01が非表示のときは 1" sqref="CE107" xr:uid="{4604E0D3-DB31-4051-B8CC-712CB06449C4}"/>
    <dataValidation allowBlank="1" showInputMessage="1" showErrorMessage="1" promptTitle="シート数を入力" prompt="明細書が出ていない状態でシート枚数を表示" sqref="CE106" xr:uid="{995C0F4D-519E-4181-8C33-4D9A75A58E00}"/>
    <dataValidation type="list" allowBlank="1" showInputMessage="1" showErrorMessage="1" sqref="DM104:DR104" xr:uid="{43463D69-1F78-40FF-8BB8-F72B94EBD738}">
      <formula1>$EM$102:$EM$103</formula1>
    </dataValidation>
    <dataValidation type="list" allowBlank="1" showInputMessage="1" showErrorMessage="1" sqref="T7:V8" xr:uid="{7ABC56F6-5B9E-4ADE-8946-88B0E071147F}">
      <formula1>$CE$109:$CE$111</formula1>
    </dataValidation>
    <dataValidation type="list" imeMode="hiragana" allowBlank="1" showInputMessage="1" showErrorMessage="1" prompt="ボタンを押し単位を入力" sqref="X26:Z37" xr:uid="{667173B0-D278-4D25-98C7-934C5BE792C0}">
      <formula1>$CS$104:$CS$116</formula1>
    </dataValidation>
    <dataValidation type="list" allowBlank="1" showInputMessage="1" showErrorMessage="1" sqref="AA2:AJ3" xr:uid="{279F1972-426F-4D08-8BBA-EE454104F05E}">
      <formula1>$DD$104:$DD$108</formula1>
    </dataValidation>
    <dataValidation imeMode="hiragana" allowBlank="1" showInputMessage="1" showErrorMessage="1" prompt="備考があれば入力" sqref="AN35:AS37 AM26:AM37" xr:uid="{0AAD00E8-9C59-4D1E-933F-9D0E3C76CDDF}"/>
    <dataValidation imeMode="off" allowBlank="1" showInputMessage="1" showErrorMessage="1" prompt="単価を入力" sqref="AA26:AE37" xr:uid="{8D715748-27B4-4532-912D-BB347248AA94}"/>
    <dataValidation imeMode="off" allowBlank="1" showInputMessage="1" showErrorMessage="1" prompt="数量を入力" sqref="T26:W37" xr:uid="{1EB62263-86CE-4C8B-BA8D-E4ACDC193342}"/>
    <dataValidation imeMode="hiragana" allowBlank="1" showInputMessage="1" showErrorMessage="1" prompt="品名を入力" sqref="B26:S37" xr:uid="{E7A3090C-134C-4E27-B32F-656E394AA787}"/>
    <dataValidation imeMode="hiragana" allowBlank="1" showInputMessage="1" showErrorMessage="1" prompt="担当者を入力" sqref="AF17:AL17" xr:uid="{28FB2BAE-D4F8-402C-A4B8-EB6C5540F2BB}"/>
    <dataValidation imeMode="hiragana" allowBlank="1" showInputMessage="1" showErrorMessage="1" prompt="受渡場所を入力_x000a_例：貴社指定場所" sqref="H13:T13" xr:uid="{A54BDE93-4291-43AC-B1C7-6BF289961534}"/>
    <dataValidation imeMode="off" allowBlank="1" showInputMessage="1" showErrorMessage="1" prompt="年を入力" sqref="J17:L17" xr:uid="{B18F960F-3E0B-4724-96C9-03E88858202B}"/>
    <dataValidation imeMode="hiragana" allowBlank="1" showInputMessage="1" showErrorMessage="1" sqref="AB9:AS9 B41:AS42 E40:AS40" xr:uid="{3174BE31-D656-44F8-BA2F-B480B73E93F0}"/>
    <dataValidation allowBlank="1" showInputMessage="1" showErrorMessage="1" prompt="見積書NOを入力" sqref="AN3:AR3" xr:uid="{F4785939-FCF3-4A86-A29D-00178D6E61D4}"/>
    <dataValidation imeMode="hiragana" allowBlank="1" showInputMessage="1" showErrorMessage="1" prompt="お客様名を入力" sqref="D7:S8" xr:uid="{6B2159C1-A155-4412-AC97-F0B6A4ABD484}"/>
    <dataValidation imeMode="hiragana" allowBlank="1" showInputMessage="1" showErrorMessage="1" prompt="お客様の住所でビル名番地など入力" sqref="D5:R5" xr:uid="{CEFB7590-91E3-451A-B67B-C3BD888ADECB}"/>
    <dataValidation imeMode="hiragana" allowBlank="1" showInputMessage="1" showErrorMessage="1" prompt="お客様の住所を入力" sqref="D4" xr:uid="{E1B65612-ACA5-4549-9D05-BE563F55E90C}"/>
    <dataValidation imeMode="off" allowBlank="1" showInputMessage="1" showErrorMessage="1" prompt="お客様の郵便番号を入力" sqref="E3:H3" xr:uid="{FB5B631F-BE34-40A2-8EE9-945A3A459F26}"/>
    <dataValidation imeMode="off" allowBlank="1" showInputMessage="1" showErrorMessage="1" prompt="日を入力" sqref="AP6:AQ6 Q17:R17" xr:uid="{F0B1CB26-618B-4FC7-B3D5-B1E17D9D3B73}"/>
    <dataValidation imeMode="off" allowBlank="1" showInputMessage="1" showErrorMessage="1" prompt="月を入力" sqref="AM6:AN6 N17:O17" xr:uid="{823F1163-8E85-4758-A738-4A0893EFF29D}"/>
    <dataValidation imeMode="off" allowBlank="1" showInputMessage="1" showErrorMessage="1" prompt="年を入力  西暦表示の場合、平成を消してください" sqref="AI6:AK6" xr:uid="{10CED462-B835-4BF2-97E0-6FD2EDF6381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5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7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8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9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0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1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2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2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5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6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0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1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3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4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5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6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70D2-980E-4CD6-80C5-2876023B0E18}">
  <sheetPr>
    <pageSetUpPr fitToPage="1"/>
  </sheetPr>
  <dimension ref="A1:FI642"/>
  <sheetViews>
    <sheetView showGridLines="0" showRowColHeaders="0" topLeftCell="A17" workbookViewId="0">
      <selection activeCell="E40" sqref="E40:AS40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4" t="s">
        <v>74</v>
      </c>
      <c r="N2" s="204"/>
      <c r="O2" s="204"/>
      <c r="P2" s="204"/>
      <c r="Q2" s="204"/>
      <c r="R2" s="204"/>
      <c r="W2" s="4"/>
      <c r="X2" s="4"/>
      <c r="Y2" s="4"/>
      <c r="Z2" s="4"/>
      <c r="AA2" s="169" t="s">
        <v>44</v>
      </c>
      <c r="AB2" s="169"/>
      <c r="AC2" s="169"/>
      <c r="AD2" s="169"/>
      <c r="AE2" s="169"/>
      <c r="AF2" s="169"/>
      <c r="AG2" s="169"/>
      <c r="AH2" s="169"/>
      <c r="AI2" s="169"/>
      <c r="AJ2" s="169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9" t="s">
        <v>103</v>
      </c>
      <c r="F3" s="199"/>
      <c r="G3" s="199"/>
      <c r="H3" s="199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L3" s="5" t="s">
        <v>0</v>
      </c>
      <c r="AM3" s="5"/>
      <c r="AN3" s="180" t="s">
        <v>159</v>
      </c>
      <c r="AO3" s="180"/>
      <c r="AP3" s="180"/>
      <c r="AQ3" s="180"/>
      <c r="AR3" s="180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6" t="s">
        <v>104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6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200">
        <v>8</v>
      </c>
      <c r="AJ6" s="200"/>
      <c r="AK6" s="200"/>
      <c r="AL6" s="9" t="s">
        <v>1</v>
      </c>
      <c r="AM6" s="200">
        <v>3</v>
      </c>
      <c r="AN6" s="200"/>
      <c r="AO6" s="9" t="s">
        <v>2</v>
      </c>
      <c r="AP6" s="200">
        <v>18</v>
      </c>
      <c r="AQ6" s="200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201" t="s">
        <v>102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3" t="s">
        <v>52</v>
      </c>
      <c r="U7" s="203"/>
      <c r="V7" s="20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3"/>
      <c r="U8" s="203"/>
      <c r="V8" s="20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91" t="s">
        <v>160</v>
      </c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81" t="s">
        <v>92</v>
      </c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68"/>
      <c r="Z13" s="72"/>
      <c r="AA13" s="72"/>
      <c r="AB13" s="193" t="s">
        <v>54</v>
      </c>
      <c r="AC13" s="193"/>
      <c r="AD13" s="193"/>
      <c r="AE13" s="194" t="s">
        <v>77</v>
      </c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5" t="s">
        <v>55</v>
      </c>
      <c r="AC15" s="195"/>
      <c r="AD15" s="195"/>
      <c r="AE15" s="194" t="s">
        <v>78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0"/>
      <c r="K17" s="180"/>
      <c r="L17" s="180"/>
      <c r="M17" s="5"/>
      <c r="N17" s="180"/>
      <c r="O17" s="180"/>
      <c r="P17" s="5"/>
      <c r="Q17" s="180"/>
      <c r="R17" s="180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81" t="s">
        <v>86</v>
      </c>
      <c r="AG17" s="181"/>
      <c r="AH17" s="181"/>
      <c r="AI17" s="181"/>
      <c r="AJ17" s="181"/>
      <c r="AK17" s="181"/>
      <c r="AL17" s="18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236500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82"/>
      <c r="AC19" s="183"/>
      <c r="AD19" s="183"/>
      <c r="AE19" s="183"/>
      <c r="AF19" s="184"/>
      <c r="AG19" s="182"/>
      <c r="AH19" s="183"/>
      <c r="AI19" s="183"/>
      <c r="AJ19" s="183"/>
      <c r="AK19" s="184"/>
      <c r="AL19" s="182"/>
      <c r="AM19" s="183"/>
      <c r="AN19" s="183"/>
      <c r="AO19" s="183"/>
      <c r="AP19" s="18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9" t="s">
        <v>87</v>
      </c>
      <c r="E20" s="169"/>
      <c r="F20" s="169"/>
      <c r="G20" s="169"/>
      <c r="H20" s="169"/>
      <c r="I20" s="169"/>
      <c r="J20" s="171">
        <f>H39</f>
        <v>236500</v>
      </c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AB20" s="185"/>
      <c r="AC20" s="186"/>
      <c r="AD20" s="186"/>
      <c r="AE20" s="186"/>
      <c r="AF20" s="187"/>
      <c r="AG20" s="185"/>
      <c r="AH20" s="186"/>
      <c r="AI20" s="186"/>
      <c r="AJ20" s="186"/>
      <c r="AK20" s="187"/>
      <c r="AL20" s="185"/>
      <c r="AM20" s="186"/>
      <c r="AN20" s="186"/>
      <c r="AO20" s="186"/>
      <c r="AP20" s="18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70"/>
      <c r="E21" s="170"/>
      <c r="F21" s="170"/>
      <c r="G21" s="170"/>
      <c r="H21" s="170"/>
      <c r="I21" s="170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AB21" s="185"/>
      <c r="AC21" s="186"/>
      <c r="AD21" s="186"/>
      <c r="AE21" s="186"/>
      <c r="AF21" s="187"/>
      <c r="AG21" s="185"/>
      <c r="AH21" s="186"/>
      <c r="AI21" s="186"/>
      <c r="AJ21" s="186"/>
      <c r="AK21" s="187"/>
      <c r="AL21" s="185"/>
      <c r="AM21" s="186"/>
      <c r="AN21" s="186"/>
      <c r="AO21" s="186"/>
      <c r="AP21" s="18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3" t="s">
        <v>151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72"/>
      <c r="AB22" s="188"/>
      <c r="AC22" s="189"/>
      <c r="AD22" s="189"/>
      <c r="AE22" s="189"/>
      <c r="AF22" s="190"/>
      <c r="AG22" s="188"/>
      <c r="AH22" s="189"/>
      <c r="AI22" s="189"/>
      <c r="AJ22" s="189"/>
      <c r="AK22" s="190"/>
      <c r="AL22" s="188"/>
      <c r="AM22" s="189"/>
      <c r="AN22" s="189"/>
      <c r="AO22" s="189"/>
      <c r="AP22" s="19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4" t="s">
        <v>8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6"/>
      <c r="T24" s="161" t="s">
        <v>9</v>
      </c>
      <c r="U24" s="162"/>
      <c r="V24" s="162"/>
      <c r="W24" s="162"/>
      <c r="X24" s="162"/>
      <c r="Y24" s="162"/>
      <c r="Z24" s="163"/>
      <c r="AA24" s="161" t="s">
        <v>88</v>
      </c>
      <c r="AB24" s="162"/>
      <c r="AC24" s="162"/>
      <c r="AD24" s="162"/>
      <c r="AE24" s="162"/>
      <c r="AF24" s="161" t="s">
        <v>10</v>
      </c>
      <c r="AG24" s="162"/>
      <c r="AH24" s="162"/>
      <c r="AI24" s="162"/>
      <c r="AJ24" s="162"/>
      <c r="AK24" s="162"/>
      <c r="AL24" s="163"/>
      <c r="AM24" s="161" t="s">
        <v>11</v>
      </c>
      <c r="AN24" s="162"/>
      <c r="AO24" s="162"/>
      <c r="AP24" s="162"/>
      <c r="AQ24" s="162"/>
      <c r="AR24" s="162"/>
      <c r="AS24" s="16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7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9"/>
      <c r="T25" s="164"/>
      <c r="U25" s="165"/>
      <c r="V25" s="165"/>
      <c r="W25" s="165"/>
      <c r="X25" s="165"/>
      <c r="Y25" s="165"/>
      <c r="Z25" s="166"/>
      <c r="AA25" s="164"/>
      <c r="AB25" s="165"/>
      <c r="AC25" s="165"/>
      <c r="AD25" s="165"/>
      <c r="AE25" s="165"/>
      <c r="AF25" s="164"/>
      <c r="AG25" s="165"/>
      <c r="AH25" s="165"/>
      <c r="AI25" s="165"/>
      <c r="AJ25" s="165"/>
      <c r="AK25" s="165"/>
      <c r="AL25" s="166"/>
      <c r="AM25" s="164"/>
      <c r="AN25" s="165"/>
      <c r="AO25" s="165"/>
      <c r="AP25" s="165"/>
      <c r="AQ25" s="165"/>
      <c r="AR25" s="165"/>
      <c r="AS25" s="16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153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50000</v>
      </c>
      <c r="AB26" s="154"/>
      <c r="AC26" s="154"/>
      <c r="AD26" s="154"/>
      <c r="AE26" s="157"/>
      <c r="AF26" s="153">
        <f t="shared" ref="AF26:AF27" si="0">IF(T26="",1*AA26,T26*AA26)</f>
        <v>50000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/>
      <c r="Y27" s="155"/>
      <c r="Z27" s="156"/>
      <c r="AA27" s="153"/>
      <c r="AB27" s="154"/>
      <c r="AC27" s="154"/>
      <c r="AD27" s="154"/>
      <c r="AE27" s="157"/>
      <c r="AF27" s="153">
        <f t="shared" si="0"/>
        <v>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/>
      <c r="Y28" s="155"/>
      <c r="Z28" s="156"/>
      <c r="AA28" s="153"/>
      <c r="AB28" s="154"/>
      <c r="AC28" s="154"/>
      <c r="AD28" s="154"/>
      <c r="AE28" s="157"/>
      <c r="AF28" s="153">
        <f>IF(T28="",1*AA28,T28*AA28)</f>
        <v>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155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146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157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 t="s">
        <v>20</v>
      </c>
      <c r="Y31" s="155"/>
      <c r="Z31" s="156"/>
      <c r="AA31" s="153">
        <v>15000</v>
      </c>
      <c r="AB31" s="154"/>
      <c r="AC31" s="154"/>
      <c r="AD31" s="154"/>
      <c r="AE31" s="157"/>
      <c r="AF31" s="153">
        <f t="shared" si="1"/>
        <v>15000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154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 t="s">
        <v>20</v>
      </c>
      <c r="Y32" s="155"/>
      <c r="Z32" s="156"/>
      <c r="AA32" s="153">
        <v>150000</v>
      </c>
      <c r="AB32" s="154"/>
      <c r="AC32" s="154"/>
      <c r="AD32" s="154"/>
      <c r="AE32" s="157"/>
      <c r="AF32" s="153">
        <f t="shared" si="1"/>
        <v>150000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58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60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156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21500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215000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236500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158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215000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FL-CLC剝離専用機デモ　</v>
      </c>
      <c r="FE101" s="61">
        <f>T26</f>
        <v>0</v>
      </c>
      <c r="FF101" s="61" t="str">
        <f>X26</f>
        <v>一式</v>
      </c>
      <c r="FG101" s="61">
        <f>AA26</f>
        <v>50000</v>
      </c>
      <c r="FH101" s="61">
        <f>AF26</f>
        <v>50000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>
        <f t="shared" ref="FD102:FD112" si="2">B27</f>
        <v>0</v>
      </c>
      <c r="FE102" s="61">
        <f t="shared" ref="FE102:FE112" si="3">T27</f>
        <v>0</v>
      </c>
      <c r="FF102" s="61">
        <f t="shared" ref="FF102:FF112" si="4">X27</f>
        <v>0</v>
      </c>
      <c r="FG102" s="61">
        <f t="shared" ref="FG102:FG112" si="5">AA27</f>
        <v>0</v>
      </c>
      <c r="FH102" s="61">
        <f t="shared" ref="FH102:FH112" si="6">AF27</f>
        <v>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>
        <f t="shared" si="2"/>
        <v>0</v>
      </c>
      <c r="FE103" s="61">
        <f t="shared" si="3"/>
        <v>0</v>
      </c>
      <c r="FF103" s="61">
        <f t="shared" si="4"/>
        <v>0</v>
      </c>
      <c r="FG103" s="61">
        <f t="shared" si="5"/>
        <v>0</v>
      </c>
      <c r="FH103" s="61">
        <f t="shared" si="6"/>
        <v>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215000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　デモ時間14：00～17：30　の範囲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 t="str">
        <f t="shared" si="4"/>
        <v>一式</v>
      </c>
      <c r="FG106" s="61">
        <f t="shared" si="5"/>
        <v>15000</v>
      </c>
      <c r="FH106" s="61">
        <f t="shared" si="6"/>
        <v>15000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 t="str">
        <f t="shared" si="4"/>
        <v>一式</v>
      </c>
      <c r="FG107" s="61">
        <f t="shared" si="5"/>
        <v>150000</v>
      </c>
      <c r="FH107" s="61">
        <f t="shared" si="6"/>
        <v>150000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　宿泊出張旅費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2"/>
        <v>単相200Ｖ　30A電源確保要す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215000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off" allowBlank="1" showInputMessage="1" showErrorMessage="1" prompt="年を入力  西暦表示の場合、平成を消してください" sqref="AI6:AK6" xr:uid="{FCE30FF5-99AC-4671-B56B-9B03A9F7739C}"/>
    <dataValidation imeMode="off" allowBlank="1" showInputMessage="1" showErrorMessage="1" prompt="月を入力" sqref="AM6:AN6 N17:O17" xr:uid="{474C0F19-227F-4CF9-AE98-D443D26486DC}"/>
    <dataValidation imeMode="off" allowBlank="1" showInputMessage="1" showErrorMessage="1" prompt="日を入力" sqref="AP6:AQ6 Q17:R17" xr:uid="{73B65F04-ECA8-4FFD-8075-61A9C6460EA6}"/>
    <dataValidation imeMode="off" allowBlank="1" showInputMessage="1" showErrorMessage="1" prompt="お客様の郵便番号を入力" sqref="E3:H3" xr:uid="{C7A042D3-259F-413D-B11F-19823934A5D6}"/>
    <dataValidation imeMode="hiragana" allowBlank="1" showInputMessage="1" showErrorMessage="1" prompt="お客様の住所を入力" sqref="D4" xr:uid="{A47EEAED-0313-4352-85EA-90A515D6B37A}"/>
    <dataValidation imeMode="hiragana" allowBlank="1" showInputMessage="1" showErrorMessage="1" prompt="お客様の住所でビル名番地など入力" sqref="D5:R5" xr:uid="{E07C1B02-099D-4520-BB08-F1EA0B0F56C6}"/>
    <dataValidation imeMode="hiragana" allowBlank="1" showInputMessage="1" showErrorMessage="1" prompt="お客様名を入力" sqref="D7:S8" xr:uid="{4AC548A2-32F6-4B47-A5D3-289E6AB7F2C1}"/>
    <dataValidation allowBlank="1" showInputMessage="1" showErrorMessage="1" prompt="見積書NOを入力" sqref="AN3:AR3" xr:uid="{409D5189-7747-41E4-9BE6-C0AA2D5E832F}"/>
    <dataValidation imeMode="hiragana" allowBlank="1" showInputMessage="1" showErrorMessage="1" sqref="AB9:AS9 B41:AS42 E40:AS40" xr:uid="{5AD1A422-98B2-4FCC-919C-C46964625CE8}"/>
    <dataValidation imeMode="off" allowBlank="1" showInputMessage="1" showErrorMessage="1" prompt="年を入力" sqref="J17:L17" xr:uid="{EF4D1524-B880-4A51-909C-532091890FC4}"/>
    <dataValidation imeMode="hiragana" allowBlank="1" showInputMessage="1" showErrorMessage="1" prompt="受渡場所を入力_x000a_例：貴社指定場所" sqref="H13:T13" xr:uid="{34F120CE-5DF2-4FFD-BD28-438B52AF0BEC}"/>
    <dataValidation imeMode="hiragana" allowBlank="1" showInputMessage="1" showErrorMessage="1" prompt="担当者を入力" sqref="AF17:AL17" xr:uid="{E770F614-C018-45E4-B3A0-7A4F3C0B459E}"/>
    <dataValidation imeMode="hiragana" allowBlank="1" showInputMessage="1" showErrorMessage="1" prompt="品名を入力" sqref="B26:S37" xr:uid="{F8BDC170-280D-4197-9E52-967881E0D5AC}"/>
    <dataValidation imeMode="off" allowBlank="1" showInputMessage="1" showErrorMessage="1" prompt="数量を入力" sqref="T26:W37" xr:uid="{DE29A2D1-DB82-49D4-89D6-36FD47AA350D}"/>
    <dataValidation imeMode="off" allowBlank="1" showInputMessage="1" showErrorMessage="1" prompt="単価を入力" sqref="AA26:AE37" xr:uid="{DC04B325-DC7D-4901-B657-0761CFDC90A4}"/>
    <dataValidation imeMode="hiragana" allowBlank="1" showInputMessage="1" showErrorMessage="1" prompt="備考があれば入力" sqref="AN35:AS37 AM26:AM37" xr:uid="{B98E89FA-0CBA-421C-844A-EA7E2D7EC48C}"/>
    <dataValidation type="list" allowBlank="1" showInputMessage="1" showErrorMessage="1" sqref="AA2:AJ3" xr:uid="{566659F5-B740-4089-B816-EB8941F32F07}">
      <formula1>$DD$104:$DD$108</formula1>
    </dataValidation>
    <dataValidation type="list" imeMode="hiragana" allowBlank="1" showInputMessage="1" showErrorMessage="1" prompt="ボタンを押し単位を入力" sqref="X26:Z37" xr:uid="{D5B34B89-087E-4E23-BAB8-425D72DAF19F}">
      <formula1>$CS$104:$CS$116</formula1>
    </dataValidation>
    <dataValidation type="list" allowBlank="1" showInputMessage="1" showErrorMessage="1" sqref="T7:V8" xr:uid="{297DDFBB-ACAE-49FD-A155-6F740BC0543E}">
      <formula1>$CE$109:$CE$111</formula1>
    </dataValidation>
    <dataValidation type="list" allowBlank="1" showInputMessage="1" showErrorMessage="1" sqref="DM104:DR104" xr:uid="{AA641271-8B9C-47A0-9DD3-49A88E92B555}">
      <formula1>$EM$102:$EM$103</formula1>
    </dataValidation>
    <dataValidation allowBlank="1" showInputMessage="1" showErrorMessage="1" promptTitle="シート数を入力" prompt="明細書が出ていない状態でシート枚数を表示" sqref="CE106" xr:uid="{78680C19-A2A0-4CF8-89B8-119814B69EB7}"/>
    <dataValidation allowBlank="1" showInputMessage="1" showErrorMessage="1" promptTitle="明細書01の状態" prompt="明細書01が表示されているときは 0_x000a_明細書01が非表示のときは 1" sqref="CE107" xr:uid="{D89AB85C-F22E-4AC0-8395-25380186DC16}"/>
    <dataValidation imeMode="hiragana" allowBlank="1" showInputMessage="1" showErrorMessage="1" prompt="取引方法を入力_x000a_例：従来通り" sqref="I15:T15" xr:uid="{E8CE9C86-DCC7-4439-9B2C-830012303BBD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8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1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2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0935-12A0-4D56-A598-8E546A535ECB}">
  <sheetPr>
    <pageSetUpPr fitToPage="1"/>
  </sheetPr>
  <dimension ref="A1:FI642"/>
  <sheetViews>
    <sheetView showGridLines="0" showRowColHeaders="0" tabSelected="1" workbookViewId="0">
      <selection activeCell="AN3" sqref="AN3:AR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4" t="s">
        <v>74</v>
      </c>
      <c r="N2" s="204"/>
      <c r="O2" s="204"/>
      <c r="P2" s="204"/>
      <c r="Q2" s="204"/>
      <c r="R2" s="204"/>
      <c r="W2" s="4"/>
      <c r="X2" s="4"/>
      <c r="Y2" s="4"/>
      <c r="Z2" s="4"/>
      <c r="AA2" s="169" t="s">
        <v>44</v>
      </c>
      <c r="AB2" s="169"/>
      <c r="AC2" s="169"/>
      <c r="AD2" s="169"/>
      <c r="AE2" s="169"/>
      <c r="AF2" s="169"/>
      <c r="AG2" s="169"/>
      <c r="AH2" s="169"/>
      <c r="AI2" s="169"/>
      <c r="AJ2" s="169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9" t="s">
        <v>103</v>
      </c>
      <c r="F3" s="199"/>
      <c r="G3" s="199"/>
      <c r="H3" s="199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L3" s="5" t="s">
        <v>0</v>
      </c>
      <c r="AM3" s="5"/>
      <c r="AN3" s="180" t="s">
        <v>164</v>
      </c>
      <c r="AO3" s="180"/>
      <c r="AP3" s="180"/>
      <c r="AQ3" s="180"/>
      <c r="AR3" s="180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6" t="s">
        <v>104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6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200">
        <v>8</v>
      </c>
      <c r="AJ6" s="200"/>
      <c r="AK6" s="200"/>
      <c r="AL6" s="9" t="s">
        <v>1</v>
      </c>
      <c r="AM6" s="200">
        <v>3</v>
      </c>
      <c r="AN6" s="200"/>
      <c r="AO6" s="9" t="s">
        <v>2</v>
      </c>
      <c r="AP6" s="200">
        <v>23</v>
      </c>
      <c r="AQ6" s="200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201" t="s">
        <v>102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3" t="s">
        <v>52</v>
      </c>
      <c r="U7" s="203"/>
      <c r="V7" s="20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3"/>
      <c r="U8" s="203"/>
      <c r="V8" s="20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91" t="s">
        <v>160</v>
      </c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81" t="s">
        <v>92</v>
      </c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68"/>
      <c r="Z13" s="72"/>
      <c r="AA13" s="72"/>
      <c r="AB13" s="193" t="s">
        <v>54</v>
      </c>
      <c r="AC13" s="193"/>
      <c r="AD13" s="193"/>
      <c r="AE13" s="194" t="s">
        <v>77</v>
      </c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5" t="s">
        <v>55</v>
      </c>
      <c r="AC15" s="195"/>
      <c r="AD15" s="195"/>
      <c r="AE15" s="194" t="s">
        <v>78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80"/>
      <c r="K17" s="180"/>
      <c r="L17" s="180"/>
      <c r="M17" s="5"/>
      <c r="N17" s="180"/>
      <c r="O17" s="180"/>
      <c r="P17" s="5"/>
      <c r="Q17" s="180"/>
      <c r="R17" s="180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81" t="s">
        <v>86</v>
      </c>
      <c r="AG17" s="181"/>
      <c r="AH17" s="181"/>
      <c r="AI17" s="181"/>
      <c r="AJ17" s="181"/>
      <c r="AK17" s="181"/>
      <c r="AL17" s="18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115500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82"/>
      <c r="AC19" s="183"/>
      <c r="AD19" s="183"/>
      <c r="AE19" s="183"/>
      <c r="AF19" s="184"/>
      <c r="AG19" s="182"/>
      <c r="AH19" s="183"/>
      <c r="AI19" s="183"/>
      <c r="AJ19" s="183"/>
      <c r="AK19" s="184"/>
      <c r="AL19" s="182"/>
      <c r="AM19" s="183"/>
      <c r="AN19" s="183"/>
      <c r="AO19" s="183"/>
      <c r="AP19" s="18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9" t="s">
        <v>87</v>
      </c>
      <c r="E20" s="169"/>
      <c r="F20" s="169"/>
      <c r="G20" s="169"/>
      <c r="H20" s="169"/>
      <c r="I20" s="169"/>
      <c r="J20" s="171">
        <f>H39</f>
        <v>115500</v>
      </c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AB20" s="185"/>
      <c r="AC20" s="186"/>
      <c r="AD20" s="186"/>
      <c r="AE20" s="186"/>
      <c r="AF20" s="187"/>
      <c r="AG20" s="185"/>
      <c r="AH20" s="186"/>
      <c r="AI20" s="186"/>
      <c r="AJ20" s="186"/>
      <c r="AK20" s="187"/>
      <c r="AL20" s="185"/>
      <c r="AM20" s="186"/>
      <c r="AN20" s="186"/>
      <c r="AO20" s="186"/>
      <c r="AP20" s="18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70"/>
      <c r="E21" s="170"/>
      <c r="F21" s="170"/>
      <c r="G21" s="170"/>
      <c r="H21" s="170"/>
      <c r="I21" s="170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AB21" s="185"/>
      <c r="AC21" s="186"/>
      <c r="AD21" s="186"/>
      <c r="AE21" s="186"/>
      <c r="AF21" s="187"/>
      <c r="AG21" s="185"/>
      <c r="AH21" s="186"/>
      <c r="AI21" s="186"/>
      <c r="AJ21" s="186"/>
      <c r="AK21" s="187"/>
      <c r="AL21" s="185"/>
      <c r="AM21" s="186"/>
      <c r="AN21" s="186"/>
      <c r="AO21" s="186"/>
      <c r="AP21" s="18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3" t="s">
        <v>151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72"/>
      <c r="AB22" s="188"/>
      <c r="AC22" s="189"/>
      <c r="AD22" s="189"/>
      <c r="AE22" s="189"/>
      <c r="AF22" s="190"/>
      <c r="AG22" s="188"/>
      <c r="AH22" s="189"/>
      <c r="AI22" s="189"/>
      <c r="AJ22" s="189"/>
      <c r="AK22" s="190"/>
      <c r="AL22" s="188"/>
      <c r="AM22" s="189"/>
      <c r="AN22" s="189"/>
      <c r="AO22" s="189"/>
      <c r="AP22" s="19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4" t="s">
        <v>8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6"/>
      <c r="T24" s="161" t="s">
        <v>9</v>
      </c>
      <c r="U24" s="162"/>
      <c r="V24" s="162"/>
      <c r="W24" s="162"/>
      <c r="X24" s="162"/>
      <c r="Y24" s="162"/>
      <c r="Z24" s="163"/>
      <c r="AA24" s="161" t="s">
        <v>88</v>
      </c>
      <c r="AB24" s="162"/>
      <c r="AC24" s="162"/>
      <c r="AD24" s="162"/>
      <c r="AE24" s="162"/>
      <c r="AF24" s="161" t="s">
        <v>10</v>
      </c>
      <c r="AG24" s="162"/>
      <c r="AH24" s="162"/>
      <c r="AI24" s="162"/>
      <c r="AJ24" s="162"/>
      <c r="AK24" s="162"/>
      <c r="AL24" s="163"/>
      <c r="AM24" s="161" t="s">
        <v>11</v>
      </c>
      <c r="AN24" s="162"/>
      <c r="AO24" s="162"/>
      <c r="AP24" s="162"/>
      <c r="AQ24" s="162"/>
      <c r="AR24" s="162"/>
      <c r="AS24" s="16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7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9"/>
      <c r="T25" s="164"/>
      <c r="U25" s="165"/>
      <c r="V25" s="165"/>
      <c r="W25" s="165"/>
      <c r="X25" s="165"/>
      <c r="Y25" s="165"/>
      <c r="Z25" s="166"/>
      <c r="AA25" s="164"/>
      <c r="AB25" s="165"/>
      <c r="AC25" s="165"/>
      <c r="AD25" s="165"/>
      <c r="AE25" s="165"/>
      <c r="AF25" s="164"/>
      <c r="AG25" s="165"/>
      <c r="AH25" s="165"/>
      <c r="AI25" s="165"/>
      <c r="AJ25" s="165"/>
      <c r="AK25" s="165"/>
      <c r="AL25" s="166"/>
      <c r="AM25" s="164"/>
      <c r="AN25" s="165"/>
      <c r="AO25" s="165"/>
      <c r="AP25" s="165"/>
      <c r="AQ25" s="165"/>
      <c r="AR25" s="165"/>
      <c r="AS25" s="16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162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/>
      <c r="AB26" s="154"/>
      <c r="AC26" s="154"/>
      <c r="AD26" s="154"/>
      <c r="AE26" s="157"/>
      <c r="AF26" s="153">
        <f t="shared" ref="AF26:AF27" si="0">IF(T26="",1*AA26,T26*AA26)</f>
        <v>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/>
      <c r="Y27" s="155"/>
      <c r="Z27" s="156"/>
      <c r="AA27" s="153"/>
      <c r="AB27" s="154"/>
      <c r="AC27" s="154"/>
      <c r="AD27" s="154"/>
      <c r="AE27" s="157"/>
      <c r="AF27" s="153">
        <f t="shared" si="0"/>
        <v>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161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 t="s">
        <v>20</v>
      </c>
      <c r="Y28" s="155"/>
      <c r="Z28" s="156"/>
      <c r="AA28" s="153">
        <v>20000</v>
      </c>
      <c r="AB28" s="154"/>
      <c r="AC28" s="154"/>
      <c r="AD28" s="154"/>
      <c r="AE28" s="157"/>
      <c r="AF28" s="153">
        <f>IF(T28="",1*AA28,T28*AA28)</f>
        <v>20000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163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 t="s">
        <v>20</v>
      </c>
      <c r="Y31" s="155"/>
      <c r="Z31" s="156"/>
      <c r="AA31" s="153">
        <v>85000</v>
      </c>
      <c r="AB31" s="154"/>
      <c r="AC31" s="154"/>
      <c r="AD31" s="154"/>
      <c r="AE31" s="157"/>
      <c r="AF31" s="153">
        <f t="shared" si="1"/>
        <v>85000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58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60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10500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105000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115500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105000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FL-CLC剝離専用機</v>
      </c>
      <c r="FE101" s="61">
        <f>T26</f>
        <v>0</v>
      </c>
      <c r="FF101" s="61" t="str">
        <f>X26</f>
        <v>一式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>
        <f t="shared" ref="FD102:FD112" si="2">B27</f>
        <v>0</v>
      </c>
      <c r="FE102" s="61">
        <f t="shared" ref="FE102:FE112" si="3">T27</f>
        <v>0</v>
      </c>
      <c r="FF102" s="61">
        <f t="shared" ref="FF102:FF112" si="4">X27</f>
        <v>0</v>
      </c>
      <c r="FG102" s="61">
        <f t="shared" ref="FG102:FG112" si="5">AA27</f>
        <v>0</v>
      </c>
      <c r="FH102" s="61">
        <f t="shared" ref="FH102:FH112" si="6">AF27</f>
        <v>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〒475-0828愛知県半田市瑞穂町7丁目2-9</v>
      </c>
      <c r="FE103" s="61">
        <f t="shared" si="3"/>
        <v>0</v>
      </c>
      <c r="FF103" s="61" t="str">
        <f t="shared" si="4"/>
        <v>一式</v>
      </c>
      <c r="FG103" s="61">
        <f t="shared" si="5"/>
        <v>20000</v>
      </c>
      <c r="FH103" s="61">
        <f t="shared" si="6"/>
        <v>20000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105000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>
        <f>B29</f>
        <v>0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 t="str">
        <f t="shared" si="4"/>
        <v>一式</v>
      </c>
      <c r="FG106" s="61">
        <f t="shared" si="5"/>
        <v>85000</v>
      </c>
      <c r="FH106" s="61">
        <f t="shared" si="6"/>
        <v>85000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納品　操作講習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105000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F54A148C-B018-4FA3-93CF-570E644C1695}"/>
    <dataValidation allowBlank="1" showInputMessage="1" showErrorMessage="1" promptTitle="明細書01の状態" prompt="明細書01が表示されているときは 0_x000a_明細書01が非表示のときは 1" sqref="CE107" xr:uid="{CB1A8D01-C915-40F2-8566-C635A6936DA6}"/>
    <dataValidation allowBlank="1" showInputMessage="1" showErrorMessage="1" promptTitle="シート数を入力" prompt="明細書が出ていない状態でシート枚数を表示" sqref="CE106" xr:uid="{AB04A1DF-2925-4ABC-B040-B6B9E9E75D6B}"/>
    <dataValidation type="list" allowBlank="1" showInputMessage="1" showErrorMessage="1" sqref="DM104:DR104" xr:uid="{C1A59ED2-77DD-4614-B870-696660CBD9B5}">
      <formula1>$EM$102:$EM$103</formula1>
    </dataValidation>
    <dataValidation type="list" allowBlank="1" showInputMessage="1" showErrorMessage="1" sqref="T7:V8" xr:uid="{F770EBDD-2357-4331-A777-7BE4568B4ECC}">
      <formula1>$CE$109:$CE$111</formula1>
    </dataValidation>
    <dataValidation type="list" imeMode="hiragana" allowBlank="1" showInputMessage="1" showErrorMessage="1" prompt="ボタンを押し単位を入力" sqref="X26:Z37" xr:uid="{BE1C03F8-7F12-495F-96A3-37D071E92A09}">
      <formula1>$CS$104:$CS$116</formula1>
    </dataValidation>
    <dataValidation type="list" allowBlank="1" showInputMessage="1" showErrorMessage="1" sqref="AA2:AJ3" xr:uid="{8FC6539B-69DA-48EB-8951-A3077BFFB85E}">
      <formula1>$DD$104:$DD$108</formula1>
    </dataValidation>
    <dataValidation imeMode="hiragana" allowBlank="1" showInputMessage="1" showErrorMessage="1" prompt="備考があれば入力" sqref="AN35:AS37 AM26:AM37" xr:uid="{BC8C46D5-349D-4B54-B83B-EAF0305053B3}"/>
    <dataValidation imeMode="off" allowBlank="1" showInputMessage="1" showErrorMessage="1" prompt="単価を入力" sqref="AA26:AE37" xr:uid="{2A5082D7-AB29-44F7-93C8-FF6E705CFC40}"/>
    <dataValidation imeMode="off" allowBlank="1" showInputMessage="1" showErrorMessage="1" prompt="数量を入力" sqref="T26:W37" xr:uid="{B9F0389A-4ED0-461F-8C9D-8AA68CFF975E}"/>
    <dataValidation imeMode="hiragana" allowBlank="1" showInputMessage="1" showErrorMessage="1" prompt="品名を入力" sqref="B26:S37" xr:uid="{ACCC5BE9-9A20-40FF-B0AE-59FE0A370DE2}"/>
    <dataValidation imeMode="hiragana" allowBlank="1" showInputMessage="1" showErrorMessage="1" prompt="担当者を入力" sqref="AF17:AL17" xr:uid="{D515F26C-1EA1-49E0-AE94-9741D1BE4D4E}"/>
    <dataValidation imeMode="hiragana" allowBlank="1" showInputMessage="1" showErrorMessage="1" prompt="受渡場所を入力_x000a_例：貴社指定場所" sqref="H13:T13" xr:uid="{BE35EF00-0617-4219-A1D7-4EE47A4842C2}"/>
    <dataValidation imeMode="off" allowBlank="1" showInputMessage="1" showErrorMessage="1" prompt="年を入力" sqref="J17:L17" xr:uid="{8A3A9010-6755-41B0-A357-21D6AE0E1A7A}"/>
    <dataValidation imeMode="hiragana" allowBlank="1" showInputMessage="1" showErrorMessage="1" sqref="AB9:AS9 B41:AS42 E40:AS40" xr:uid="{14EEE58B-D2C5-44E0-BFE1-45F6D5658A27}"/>
    <dataValidation allowBlank="1" showInputMessage="1" showErrorMessage="1" prompt="見積書NOを入力" sqref="AN3:AR3" xr:uid="{B8078139-29F9-4E1B-836B-A585AF60B1A4}"/>
    <dataValidation imeMode="hiragana" allowBlank="1" showInputMessage="1" showErrorMessage="1" prompt="お客様名を入力" sqref="D7:S8" xr:uid="{6D0E5581-8694-4B67-B8DE-EA16DDD0433B}"/>
    <dataValidation imeMode="hiragana" allowBlank="1" showInputMessage="1" showErrorMessage="1" prompt="お客様の住所でビル名番地など入力" sqref="D5:R5" xr:uid="{388BB6CF-4DAE-4A26-9D4F-01FE3643F337}"/>
    <dataValidation imeMode="hiragana" allowBlank="1" showInputMessage="1" showErrorMessage="1" prompt="お客様の住所を入力" sqref="D4" xr:uid="{50C0A9BE-9704-4532-83BF-78B74266A132}"/>
    <dataValidation imeMode="off" allowBlank="1" showInputMessage="1" showErrorMessage="1" prompt="お客様の郵便番号を入力" sqref="E3:H3" xr:uid="{ABC381CB-AB92-42ED-9E53-751B4551476C}"/>
    <dataValidation imeMode="off" allowBlank="1" showInputMessage="1" showErrorMessage="1" prompt="日を入力" sqref="AP6:AQ6 Q17:R17" xr:uid="{815CE66C-6992-4097-BB06-8DB411758D43}"/>
    <dataValidation imeMode="off" allowBlank="1" showInputMessage="1" showErrorMessage="1" prompt="月を入力" sqref="AM6:AN6 N17:O17" xr:uid="{B1269258-1DF7-4CC8-83CE-2025038C5578}"/>
    <dataValidation imeMode="off" allowBlank="1" showInputMessage="1" showErrorMessage="1" prompt="年を入力  西暦表示の場合、平成を消してください" sqref="AI6:AK6" xr:uid="{164218A9-A3AE-4FF2-9A31-463BAAF96B8D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8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1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2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出張デモ1</vt:lpstr>
      <vt:lpstr>出張デモ2</vt:lpstr>
      <vt:lpstr>出張デモ3</vt:lpstr>
      <vt:lpstr>出張デモ3 (2)</vt:lpstr>
      <vt:lpstr>出張デモ3 (3)</vt:lpstr>
      <vt:lpstr>納品半田市</vt:lpstr>
      <vt:lpstr>出張デモ1!Print_Area</vt:lpstr>
      <vt:lpstr>出張デモ2!Print_Area</vt:lpstr>
      <vt:lpstr>出張デモ3!Print_Area</vt:lpstr>
      <vt:lpstr>'出張デモ3 (2)'!Print_Area</vt:lpstr>
      <vt:lpstr>'出張デモ3 (3)'!Print_Area</vt:lpstr>
      <vt:lpstr>納品半田市!Print_Area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2026-03-18T08:43:50Z</cp:lastPrinted>
  <dcterms:created xsi:type="dcterms:W3CDTF">2001-10-18T00:35:45Z</dcterms:created>
  <dcterms:modified xsi:type="dcterms:W3CDTF">2026-03-23T03:16:13Z</dcterms:modified>
</cp:coreProperties>
</file>